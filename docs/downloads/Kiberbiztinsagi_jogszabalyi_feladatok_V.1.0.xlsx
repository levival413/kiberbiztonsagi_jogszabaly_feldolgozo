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4.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1.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Áttekintő" sheetId="1" state="visible" r:id="rId3"/>
    <sheet name="Hatály" sheetId="2" state="visible" r:id="rId4"/>
    <sheet name="Feladatok" sheetId="3" state="visible" r:id="rId5"/>
    <sheet name="Jogok" sheetId="4" state="visible" r:id="rId6"/>
    <sheet name="Fogalmak" sheetId="5" state="visible" r:id="rId7"/>
    <sheet name="Mutató" sheetId="6" state="visible" r:id="rId8"/>
    <sheet name="Forrásszöveg" sheetId="7" state="visible" r:id="rId9"/>
    <sheet name="Kapcsolatok" sheetId="8" state="visible" r:id="rId10"/>
    <sheet name="Források" sheetId="9" state="visible" r:id="rId11"/>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<sst xmlns="http://schemas.openxmlformats.org/spreadsheetml/2006/main" count="13312" uniqueCount="8416">
  <si>
    <t xml:space="preserve">Kiberbiztonsági jogszabályi feladatok</t>
  </si>
  <si>
    <t xml:space="preserve">V.1.0. Törvény és végrehajtási rendelet. 2026.09.13.</t>
  </si>
  <si>
    <t xml:space="preserve">Első tételes kivonat, teljes forrásszöveggel. A feladat- és jogjegyzék még nem teljes körű; a feldolgozottságot a Mutató mutatja.</t>
  </si>
  <si>
    <t xml:space="preserve">Feladatok és kötelezettségek</t>
  </si>
  <si>
    <t xml:space="preserve">Jogok és hatáskörök</t>
  </si>
  <si>
    <t xml:space="preserve">Jogszabályi fogalmak</t>
  </si>
  <si>
    <t xml:space="preserve">Mit szeretnél megtalálni?</t>
  </si>
  <si>
    <t xml:space="preserve">Kikre és mire vonatkozik?</t>
  </si>
  <si>
    <t xml:space="preserve">Mi az érintett feladata?</t>
  </si>
  <si>
    <t xml:space="preserve">Mire jogosult, milyen hatáskörrel rendelkezik?</t>
  </si>
  <si>
    <t xml:space="preserve">Mit jelent a jogszabályban használt fogalom?</t>
  </si>
  <si>
    <t xml:space="preserve">Hol tart a tételes feldolgozás?</t>
  </si>
  <si>
    <t xml:space="preserve">Mi a pontos rendelkezés?</t>
  </si>
  <si>
    <t xml:space="preserve">Hol hivatkozik a Vhr. a törvényre?</t>
  </si>
  <si>
    <t xml:space="preserve">Melyik változatból készült, hogyan bővíthető?</t>
  </si>
  <si>
    <t xml:space="preserve">Használat: válassz modult, szűrj az érintettre vagy témára, majd kattints a jogalapra. A „Teljes §” az összefüggő rendelkezések elejére visz.</t>
  </si>
  <si>
    <t xml:space="preserve">A kifejtés a két jogszabály tartalmára korlátozódik. Saját workflow, belső felelőskiosztás és bizonyítékigény nem szerepel benne.</t>
  </si>
  <si>
    <t xml:space="preserve">Hatály, feltételek és kivételek</t>
  </si>
  <si>
    <t xml:space="preserve">A szöveg együtt olvasandó a kapcsolódó mellékletekkel. A táblázat nem hoz szervezetre vonatkozó hatálydöntést.</t>
  </si>
  <si>
    <t xml:space="preserve">Azonosító</t>
  </si>
  <si>
    <t xml:space="preserve">Terület</t>
  </si>
  <si>
    <t xml:space="preserve">Jogszabályhely</t>
  </si>
  <si>
    <t xml:space="preserve">Szó szerinti rendelkezés / szövegkezdet</t>
  </si>
  <si>
    <t xml:space="preserve">Forrás</t>
  </si>
  <si>
    <t xml:space="preserve">Mellékletek</t>
  </si>
  <si>
    <t xml:space="preserve">H-TV-S0010</t>
  </si>
  <si>
    <t xml:space="preserve">Személyi és tárgyi hatály, minősítés</t>
  </si>
  <si>
    <t xml:space="preserve">Tv. 1. § (1)</t>
  </si>
  <si>
    <t xml:space="preserve">1. § (1) E törvénynek a szervezetek kötelezettségeire és a kiberbiztonsági hatósági felügyeletre vonatkozó rendelkezéseit kell alkalmazni
a) az 1. mellékletben felsorolt, a közigazgatási ágazathoz tartozó szervezetekre,
b) a többségi állami befolyás alatt álló azon gazdálkodó szervezetekre, amelyek nem tartoznak az a) pont hatálya alá és amelyek vonatkozásában legalább az egyik feltétel teljesül az alábbiak közül:
ba) összes foglalkoztatotti létszáma eléri vagy meghaladja az 50 főt, vagy
bb) éves nettó árbevétele vagy éves költségvetési bevételi előirányzata meghaladja a 10 millió eurónak megfelelő forintösszeget, és – a számvitelről szóló 2000. évi C. törvény 8. § (2) bekezdése szerinti beszámoló készítésére köteles szervezet esetében – mérlegfőösszege meghaladja a 10 millió eurónak megfelelő forintösszeget,
c) a 23. § (1) bekezdés a) pontja szerinti nemzeti kiberbiztonsági hatóság (a továbbiakban: nemzeti kiberbiztonsági hatóság), vagy a 23. § (2) bekezdése szerinti honvédelmi kiberbiztonsági hatóság (a továbbiakban: honvédelmi kibe … [a teljes bekezdés a Forrás hivatkozáson]</t>
  </si>
  <si>
    <t xml:space="preserve">H-TV-S0026</t>
  </si>
  <si>
    <t xml:space="preserve">Tv. 1. § (1a)</t>
  </si>
  <si>
    <t xml:space="preserve">(1a) Az (1) bekezdésben euróban meghatározott összegek forintra történő átszámításakor a Magyar Nemzeti Bank által közzétett, a szervezet üzleti évének lezárásakor vagy – költségvetési szerv esetében – a költségvetési év zárásakor érvényes hivatalos devizaárfolyamot kell alkalmazni. Újonnan alapított szervezet esetén a tárgyévet megelőző év utolsó napján érvényes, a Magyar Nemzeti Bank által közzétett hivatalos devizaárfolyamot kell alkalmazni.</t>
  </si>
  <si>
    <t xml:space="preserve">H-TV-S0027</t>
  </si>
  <si>
    <t xml:space="preserve">Tv. 1. § (2)</t>
  </si>
  <si>
    <t xml:space="preserve">(2) A kritikus szervezetek ellenálló képességéről szóló törvény (a továbbiakban: Kszetv.) alapján kijelölt kritikus szervezetek és kritikus infrastruktúrák (a továbbiakban együtt: kritikus szervezet), valamint a védelmi és biztonsági tevékenységek összehangolásáról szóló törvény (a továbbiakban: Vbö.) alapján kijelölt, az ország védelme és biztonsága szempontjából jelentős szervezetek és infrastruktúrák (a továbbiakban együtt: az ország védelme és biztonsága szempontjából jelentős szervezet) vonatkozásában a szervezetnek az (1) bekezdés szerinti minősülése az irányadó e törvény rendelkezéseinek az alkalmazása során, kivéve, ha a kritikus szervezet vagy az ország védelme és biztonsága szempontjából jelentős szervezet az (EU) 2022/2554 európai parlamenti és tanácsi rendelet hatálya alá tartozik.</t>
  </si>
  <si>
    <t xml:space="preserve">H-TV-S0028</t>
  </si>
  <si>
    <t xml:space="preserve">Tv. 1. § (2a)</t>
  </si>
  <si>
    <t xml:space="preserve">(2a) E törvénynek – a 9. § és a 13–15. § kivételével – az 1. § (1) bekezdés a) pontja szerinti szervezetekre irányadó rendelkezéseit kell alkalmazni arra a kritikus szervezetre vagy az ország védelme és biztonsága szempontjából jelentős szervezetre, amely nem minősül az (1) bekezdés szerinti szervezetnek.</t>
  </si>
  <si>
    <t xml:space="preserve">H-TV-S0029</t>
  </si>
  <si>
    <t xml:space="preserve">Tv. 1. § (3)</t>
  </si>
  <si>
    <t xml:space="preserve">(3) A szervezetek – az általuk nyújtott szolgáltatásnak az állam, a társadalom, a gazdaság működése szempontjából való kritikussága, valamint bizonyos esetekben a szervezet mérete alapján – alapvető vagy fontos szervezeteknek minősülnek.</t>
  </si>
  <si>
    <t xml:space="preserve">H-TV-S0030</t>
  </si>
  <si>
    <t xml:space="preserve">Tv. 1. § (4)</t>
  </si>
  <si>
    <t xml:space="preserve">(4) Az (1) bekezdés szerinti szervezetek közül alapvető szervezetnek minősülnek az alábbi szervezetek:
a) az 1. melléklet szerinti szervezetek, kivéve a 20 000 főt meg nem haladó lakosságszámú települések képviselő-testületének hivatalai,
b) az (1) bekezdés b) pontja szerinti szervezetek,
c) azon szervezetek, amelyeket a nemzeti kiberbiztonsági hatóság vagy a honvédelmi kiberbiztonsági hatóság alapvető szervezetként azonosított,
d) a Kszetv. alapján kijelölt kritikus szervezetek,
e) a Vbö. alapján kijelölt, az ország védelme és biztonsága szempontjából jelentős szervezetek,
f) a 2. melléklet szerinti azon szervezetek, amelyek a kis- és középvállalkozásokról, fejlődésük támogatásáról szóló törvény szerint középvállalkozásnak minősülnek vagy meghaladják a középvállalkozásokra vonatkozóan előírt küszöbértékeket, valamint
g) a minősített bizalmi szolgáltatók és a legfelső szintű doménnév-nyilvántartók, valamint a DNS-szolgáltatók, méretüktől függetlenül,
h) a honvédelmi érdekhez kapcsolódó tevékenységet folytató gazdasági társaságok.</t>
  </si>
  <si>
    <t xml:space="preserve">H-TV-S0039</t>
  </si>
  <si>
    <t xml:space="preserve">Tv. 1. § (5)</t>
  </si>
  <si>
    <t xml:space="preserve">(5) Az (1) bekezdés szerinti szervezetek közül fontos szervezetnek minősülnek és a szervezetekre vonatkozó rendelkezéseket az e törvényben foglalt eltérésekkel kell alkalmazni az alábbi szervezetekre:
a) a 20 000 főt meg nem haladó lakosságszámú települések képviselő-testületének hivatalai,
b) azon szervezetek, amelyeket a nemzeti kiberbiztonsági hatóság vagy a honvédelmi kiberbiztonsági hatóság fontos szervezetként azonosított,
c) a 2. melléklet szerinti szervezet, amely nem minősül alapvető szervezetnek, valamint
d) a 3. melléklet szerinti szervezet, amely a (4) bekezdés b)–e) pontja alapján nem minősül alapvető szervezetnek.</t>
  </si>
  <si>
    <t xml:space="preserve">H-TV-S0044</t>
  </si>
  <si>
    <t xml:space="preserve">Tv. 1. § (6)</t>
  </si>
  <si>
    <t xml:space="preserve">(6) Az (1) bekezdés c) pontja szerinti azonosítási eljárás feltétele, hogy a szervezet
1. Magyarországon egyedüli szolgáltatója egy olyan szolgáltatásnak, amely elengedhetetlen a kritikus társadalmi vagy gazdasági tevékenységek fenntartásához;
2. által nyújtott szolgáltatás zavara jelentős hatással lehet a közrendre, a közbiztonságra vagy a közegészségre;
3. által nyújtott szolgáltatás zavara jelentős hatást gyakorolhat kritikus fontosságú társadalmi vagy gazdasági tevékenységekre;
4. által nyújtott szolgáltatás zavara jelentős rendszerszintű kockázatot idézhet elő, különösen azokban az ágazatokban, ahol az említett zavarnak határokon átnyúló hatása lehet;
5. nemzeti vagy regionális szinten különös fontossággal bír az adott ágazat vagy szolgáltatás típusa, vagy más, hazai kölcsönösen függő ágazatok szempontjából;
6. a nemzetbiztonsági védelem alá eső szervek és létesítmények köréről szóló kormányhatározat alapján nemzetbiztonsági védelem alatt áll; vagy nemzetbiztonsági okból a nemzeti kiberbiztonsági hatóság, honvédelmi vagy katonai  … [a teljes bekezdés a Forrás hivatkozáson]</t>
  </si>
  <si>
    <t xml:space="preserve">H-TV-S0058</t>
  </si>
  <si>
    <t xml:space="preserve">Tv. 1. § (7)</t>
  </si>
  <si>
    <t xml:space="preserve">(7) E törvény kiberbiztonsági tanúsításra vonatkozó rendelkezéseit az információs és kommunikációs technológiai (a továbbiakban: IKT) termékek, IKT-szolgáltatások vagy IKT-folyamatok tanúsításával kapcsolatos tevékenységre kell alkalmazni.</t>
  </si>
  <si>
    <t xml:space="preserve">H-TV-S0059</t>
  </si>
  <si>
    <t xml:space="preserve">Tv. 1. § (8)</t>
  </si>
  <si>
    <t xml:space="preserve">(8) E törvény poszt-kvantumtitkosításra vonatkozó rendelkezéseit a Szabályozott Tevékenységek Felügyeleti Hatósága (a továbbiakban: SZTFH) elnökének rendeletében meghatározott, a következő szervezetekre (a továbbiakban: poszt-kvantumtitkosítás alkalmazására kötelezett szervezet) és hatósági felügyeletükre irányuló tevékenységre kell alkalmazni:
a) a kormányzati célú hálózatokról szóló kormányrendelet szerinti igénybevételre kötelezett szervezet, valamint
b) a következő törvények hatálya alá tartozó közműszolgáltató és a következő törvények felhatalmazása alapján kiadott jogszabályok hatálya alá tartozó, közszolgáltatást nyújtó szervezet:
ba) a földgázellátásról szóló törvény,
bb) a földgáz biztonsági készletezéséről szóló törvény,
bc) a villamos energiáról szóló törvény,
bd) a távhőszolgáltatásról szóló törvény,
be) a víziközmű-szolgáltatásról szóló törvény, valamint
bf) a hulladékról szóló törvény.</t>
  </si>
  <si>
    <t xml:space="preserve">H-TV-S0068</t>
  </si>
  <si>
    <t xml:space="preserve">Tv. 1. § (9)</t>
  </si>
  <si>
    <t xml:space="preserve">(9) E törvény sérülékenységvizsgálatra vonatkozó rendelkezéseit kell alkalmazni:
a) az (1) bekezdés a)–c) és f) pontja szerinti szervezetek elektronikus információs rendszereit, valamint
b) a megállapodásban foglalt eltérésekkel a 61. § szerinti megállapodásban meghatározott elektronikus információs rendszereket
érintő sérülékenységvizsgálatokra.</t>
  </si>
  <si>
    <t xml:space="preserve">H-TV-S0072</t>
  </si>
  <si>
    <t xml:space="preserve">Tv. 1. § (10)</t>
  </si>
  <si>
    <t xml:space="preserve">(10) E törvény kiberbiztonsági incidenskezelésre vonatkozó rendelkezéseit kell alkalmazni:
a) az (1) bekezdés szerinti szervezetek, valamint
b) az e törvényben meghatározott eltérésekkel az (EU) 2022/2554 európai parlamenti és tanácsi rendelet hatálya alá tartozó szervezetek
elektronikus információs rendszereit érintő kiberbiztonsági incidensek kezelésére.</t>
  </si>
  <si>
    <t xml:space="preserve">H-TV-S0076</t>
  </si>
  <si>
    <t xml:space="preserve">Tv. 1. § (11)</t>
  </si>
  <si>
    <t xml:space="preserve">(11) A (10) bekezdésben meghatározott szervezeteken kívüli szervezetek, illetve személyek által önkéntesen bejelentett kiberbiztonsági incidensek esetén a nemzeti kiberbiztonsági incidenskezelő központ az e törvényben meghatározottak szerint jár el.</t>
  </si>
  <si>
    <t xml:space="preserve">H-TV-S0077</t>
  </si>
  <si>
    <t xml:space="preserve">Területi alkalmazás</t>
  </si>
  <si>
    <t xml:space="preserve">Tv. 2. § (1)</t>
  </si>
  <si>
    <t xml:space="preserve">2. § (1) E törvény rendelkezéseit kell alkalmazni
a) a Magyarország területén letelepedett vagy letelepedett képviselővel rendelkező 1. § szerinti szervezetekre,
b) a Magyarország területén szolgáltatást nyújtó elektronikus hírközlési szolgáltatókra,
c) azokra a DNS-szolgáltatókra, legfelső szintű doménnév-nyilvántartókra, doménnév-nyilvántartási szolgáltatásokat nyújtó szervezetekre, felhőszolgáltatókra, adatközpont-szolgáltatókra, tartalomszolgáltató hálózati szolgáltatókra, kihelyezett (irányított) infokommunikációs szolgáltatást nyújtó szolgáltatókra, kihelyezett (irányított) infokommunikációs biztonsági szolgáltatást nyújtó szolgáltatókra, az online piacterek, online keresőprogramok és közösségimédia-szolgáltatási platformok szolgáltatóira, amelyek üzleti tevékenységének fő helye Magyarország területén található.</t>
  </si>
  <si>
    <t xml:space="preserve">H-TV-S0081</t>
  </si>
  <si>
    <t xml:space="preserve">Tv. 2. § (2)</t>
  </si>
  <si>
    <t xml:space="preserve">(2) Az (1) bekezdés c) pontja szerinti szervezet üzleti tevékenységének fő helye abban az esetben van Magyarországon, ha
a) a kiberbiztonsági kockázatkezelési intézkedésekkel kapcsolatos döntéseket túlnyomórészt Magyarországon hozzák meg,
b) a szervezet elektronikus információs rendszereivel kapcsolatos kiberbiztonsági műveleteket Magyarországon végzik, vagy
c) a szervezetnek a legmagasabb munkavállalói létszámmal rendelkező telephelye Magyarországon van.</t>
  </si>
  <si>
    <t xml:space="preserve">H-TV-S0085</t>
  </si>
  <si>
    <t xml:space="preserve">Kivételek és eltérések</t>
  </si>
  <si>
    <t xml:space="preserve">Tv. 3. § (1)</t>
  </si>
  <si>
    <t xml:space="preserve">3. § (1) E törvény hatálya nem terjed ki
a) a minősített adatot kezelő elektronikus információs rendszerekre,
b) a műveleti célú elektronikus információs rendszerekre,
c) az atomenergia alkalmazása körében a fizikai védelemről és a kapcsolódó engedélyezési, jelentési és ellenőrzési rendszerről szóló kormányrendelet hatálya alá tartozó programozható rendszerekre, valamint
d) a Kormány rendeletében kijelölt szerv által nyújtott kiberbiztonsági szolgáltatásokra.</t>
  </si>
  <si>
    <t xml:space="preserve">H-TV-S0090</t>
  </si>
  <si>
    <t xml:space="preserve">Tv. 3. § (2)</t>
  </si>
  <si>
    <t xml:space="preserve">(2) A Kormány rendeletében határozza meg az (1) bekezdés d) pontja szerinti kiberbiztonsági szolgáltatások körét és az igénybevételére kötelezett, illetve jogosult szervezetek körét.</t>
  </si>
  <si>
    <t xml:space="preserve">H-TV-S0091</t>
  </si>
  <si>
    <t xml:space="preserve">Tv. 3. § (3)</t>
  </si>
  <si>
    <t xml:space="preserve">(3) E törvény rendelkezéseit a honvédelmi célú elektronikus információs rendszerek vonatkozásában az e törvényben meghatározott eltérésekkel kell alkalmazni.</t>
  </si>
  <si>
    <t xml:space="preserve">H-TV-S0276</t>
  </si>
  <si>
    <t xml:space="preserve">Különös feltétel / kivétel</t>
  </si>
  <si>
    <t xml:space="preserve">Tv. 6. § (10)</t>
  </si>
  <si>
    <t xml:space="preserve">(10) Az 1. § (1) bekezdés a) és c) pontja hatálya alá tartozó fontos szervezet, valamint a 2. és 3. melléklet szerinti szervezetnek nem minősülő, 1. § (1) bekezdés b) pontja hatálya alá tartozó szervezet rendelkezésében lévő elektronikus információs rendszerek vonatkozásában
a) nem szükséges a (2) bekezdésben foglalt teljes körű kockázatmenedzsment keretrendszert működtetni,
b) nem kell teljesíteni a (3) bekezdés 4–5. és 9. pontjában foglaltakat, valamint
c) legalább az „alap” biztonsági osztályra irányadó követelményeket kell teljesíteni.</t>
  </si>
  <si>
    <t xml:space="preserve">H-TV-S0298</t>
  </si>
  <si>
    <t xml:space="preserve">Tv. 8. § (6)</t>
  </si>
  <si>
    <t xml:space="preserve">(6) A (4) és (5) bekezdés alkalmazása szempontjából az e törvény hatálya alá kerülés időpontja
a) új szervezet esetében a szervezet létesítésének,
b) az 1. § (1) bekezdés b) vagy d) pontja szerinti esetben
ba) az e törvény hatálya alá kerülésre okot adó feltétel bekövetkezését követő év első, vagy
bb) ha a szervezet a ba) alpont szerinti napot megelőzően benyújtott nyilvántartásba vételi kérelmében ezt kéri, a szervezet nyilvántartásba vételéről szóló döntés véglegessé válásának,
c) a hatály alá kerülést eredményező jogállást megalapozó jogi aktus hatálybalépésének
napja.</t>
  </si>
  <si>
    <t xml:space="preserve">H-TV-S0305</t>
  </si>
  <si>
    <t xml:space="preserve">Tv. 8. § (6a)</t>
  </si>
  <si>
    <t xml:space="preserve">(6a) Ha az 1. § (1) bekezdés b) vagy d) pontja szerinti szervezet esetében az e törvény hatálya alá kerülésre okot adó 1. § (1) bekezdés b) pont ba) vagy bb) alpontja, illetve 1. § (1) bekezdés d) pont da) vagy db) alpontja szerinti feltétel megszűnik, az e törvény hatálya alól történő kikerülés időpontja a feltétel megszűnését követő második év vége.</t>
  </si>
  <si>
    <t xml:space="preserve">H-TV-S0324</t>
  </si>
  <si>
    <t xml:space="preserve">Tv. 11. § (3)</t>
  </si>
  <si>
    <t xml:space="preserve">(3) Az elektronikus információs rendszer biztonságáért felelős személy feladatait csak olyan személy végezheti, aki
a) cselekvőképes, büntetlen előéletű és
b) az 1. § (1) bekezdés a)–c) és f) pontja szerinti szervezet, a Kszetv. alapján kritikus szervezetként kijelölt szervezet, valamint a Vbö. alapján az ország védelme és biztonsága szempontjából jelentős szervezetként kijelölt szervezet esetében rendelkezik a feladatellátáshoz szükséges, az informatikáért felelős miniszter rendeletében előírt végzettséggel, valamint rendelkezik
ba) a 75. § (1) bekezdése szerinti nemzeti koordinációs központ által – az informatikáért felelős miniszter rendeletében foglaltak szerint – közzétett szakképzettséggel, akkreditált nemzetközi képzettséggel (a továbbiakban együtt: szakképzettség), vagy
bb) az informatikáért felelős miniszter rendeletében meghatározott szakterületen szerzett szakmai tapasztalattal.</t>
  </si>
  <si>
    <t xml:space="preserve">H-TV-S0329</t>
  </si>
  <si>
    <t xml:space="preserve">Tv. 11. § (4)</t>
  </si>
  <si>
    <t xml:space="preserve">(4) Elektronikus információs rendszer biztonságáért felelős személyként – az (5) bekezdésben foglalt kivétellel – nem jelölhető ki vagy bízható meg a szervezet gazdasági vezetői feladatait ellátó személy vagy az a személy, aki a szervezeten belül informatikai üzemeltetéssel, informatikai fejlesztéssel kapcsolatos munkakört lát el, illetve ilyen személy közvetlen alárendeltségébe tartozik.</t>
  </si>
  <si>
    <t xml:space="preserve">H-TV-S0330</t>
  </si>
  <si>
    <t xml:space="preserve">Tv. 11. § (5)</t>
  </si>
  <si>
    <t xml:space="preserve">(5) A (4) bekezdést nem kell alkalmazni a következő szervezetek vonatkozásában:
a) az 1. § (1) bekezdés a)–c) pontja szerinti fontos szervezetek,
b) az 1. § (1) bekezdés d) és e) pontja szerinti szervezetek.</t>
  </si>
  <si>
    <t xml:space="preserve">H-TV-S0357</t>
  </si>
  <si>
    <t xml:space="preserve">Tv. 13. § (1)</t>
  </si>
  <si>
    <t xml:space="preserve">13. § (1) Új elektronikus információs rendszerek fejlesztése, vagy már meglévő elektronikus információs rendszerek továbbfejlesztése (a továbbiakban együtt: fejlesztés) vonatkozásában jelen alcím rendelkezéseit kell alkalmazni az alábbi, alapvető szervezetnek minősülő szervezetek esetében
a) az 1. § (1) bekezdés a) és c) pontja szerinti szervezet, valamint
b) az 1. § (1) bekezdés b) pontja szerinti és egyben a 2. és 3. melléklet szerinti szervezetnek minősülő szervezet.</t>
  </si>
  <si>
    <t xml:space="preserve">H-TV-S0372</t>
  </si>
  <si>
    <t xml:space="preserve">Tv. 13/A. §</t>
  </si>
  <si>
    <t xml:space="preserve">13/A. § A jelen alcím rendelkezéseit az 1. § (1) bekezdés f) pontja szerinti szervezet honvédelmi célú elektronikus információs rendszerei fejlesztésére is alkalmazni kell.</t>
  </si>
  <si>
    <t xml:space="preserve">H-TV-S0373</t>
  </si>
  <si>
    <t xml:space="preserve">Tv. 14. § (1)</t>
  </si>
  <si>
    <t xml:space="preserve">14. § (1) Ha az elektronikus információs rendszer fejlesztése
a) a 2. vagy 3. melléklet szerinti szervezetnek nem minősülő, az 1. § (1) bekezdés b) pontja szerinti alapvető szervezet vagy
b) az 1. § (1) bekezdés a) és c) pontja szerinti fontos szervezet által történik,
a 13. §-ban foglaltak helyett e § rendelkezései az irányadóak.</t>
  </si>
  <si>
    <t xml:space="preserve">H-TV-S0387</t>
  </si>
  <si>
    <t xml:space="preserve">Tv. 16. § (1)</t>
  </si>
  <si>
    <t xml:space="preserve">16. § (1) Az 1. § (1) bekezdés b) pontja szerinti azon szervezet, amely egyúttal a 2. és 3. melléklet szerinti szervezet is, valamint az 1. § (1) bekezdés d) pontja és – a kis- és középvállalkozásokról, fejlődésük támogatásáról szóló törvény szerinti mikrovállalkozás kivételével – az 1. § (1) bekezdés e) pontja szerinti szervezet az e törvény szerinti kiberbiztonsági követelményeknek való megfelelés bizonyítására köteles kétévente, illetve a 23. § (1) bekezdése szerint illetékes kiberbiztonsági hatóság általi elrendelés esetén kiberbiztonsági auditot végeztetni.</t>
  </si>
  <si>
    <t xml:space="preserve">H-TV-S0391</t>
  </si>
  <si>
    <t xml:space="preserve">Tv. 16. § (3)</t>
  </si>
  <si>
    <t xml:space="preserve">(3) A honvédelmi célú elektronikus információs rendszerek tekintetében kiberbiztonsági audit nem végezhető.</t>
  </si>
  <si>
    <t xml:space="preserve">H-TV-S0992</t>
  </si>
  <si>
    <t xml:space="preserve">Tv. 71. § (1)</t>
  </si>
  <si>
    <t xml:space="preserve">71. § (1) Az (EU) 2022/2554 európai parlamenti és tanácsi rendelet hatálya alá tartozó szervezetek kiberbiztonsági incidenseinek kezelése során a 63–64. §, a 67. §, a 68. § (1) bekezdése, a 69. §, valamint a 70. § (10), (13) és (14) bekezdése szerinti rendelkezések alkalmazandóak.</t>
  </si>
  <si>
    <t xml:space="preserve">H-TV-S1203</t>
  </si>
  <si>
    <t xml:space="preserve">Tv. 83. § (1)</t>
  </si>
  <si>
    <t xml:space="preserve">83. § (1) Az állami és önkormányzati szervek elektronikus információbiztonságáról szóló 2013. évi L. törvény (a továbbiakban: Ibtv.) szerinti nyilvántartásban 2024. december 31. napján szereplő – 8. § (4) bekezdés szerinti adatok körébe tartozó – adatokat nem kell ismételten bejelenteni, azokat a nemzeti kiberbiztonsági hatóság a 28. § (1) bekezdése szerinti nyilvántartás részeként kezeli.</t>
  </si>
  <si>
    <t xml:space="preserve">H-TV-S1207</t>
  </si>
  <si>
    <t xml:space="preserve">Tv. 83. § (3)</t>
  </si>
  <si>
    <t xml:space="preserve">(3) Ha az 1. § (1) bekezdés a) és b) pontja szerinti szervezet az elektronikus információs rendszer biztonságáért felelős személy adatait az Ibtv. alapján már bejelentette a nemzeti kiberbiztonsági hatóság részére, úgy annak ismételt bejelentésére nem köteles.</t>
  </si>
  <si>
    <t xml:space="preserve">H-TV-S1226</t>
  </si>
  <si>
    <t xml:space="preserve">Tv. 89. § (3)</t>
  </si>
  <si>
    <t xml:space="preserve">(3) Az a gazdálkodó szervezet, amely a kiberbiztonsági tanúsításról és a kiberbiztonsági felügyeletről szóló 2023. évi XXIII. törvény 26. § (1) bekezdése szerint vezetett nyilvántartásban érintett szervezetként szerepel, és 2024. december 31. napjáig a kiberbiztonsági tanúsításról és a kiberbiztonsági felügyeletről szóló 2023. évi XXIII. törvény 20. § (1) bekezdése szerint az elektronikus információs rendszereinek, valamint az azon tárolt, továbbított vagy feldolgozott adatoknak a biztonsági osztályba sorolását elvégezte, nem köteles a 10. § (1) bekezdése alapján ismételten elvégezni a biztonsági osztályba sorolást.</t>
  </si>
  <si>
    <t xml:space="preserve">H-VHR-S0032</t>
  </si>
  <si>
    <t xml:space="preserve">Vhr. alkalmazási köre</t>
  </si>
  <si>
    <t xml:space="preserve">Vhr. 1. § (1)</t>
  </si>
  <si>
    <t xml:space="preserve">1. § (1) E rendeletnek a szervezetek kötelezettségeire és a kiberbiztonság hatósági felügyeletére vonatkozó rendelkezéseit – a (2) bekezdésben foglalt kivétellel – a Magyarország kiberbiztonságáról szóló 2024. évi LXIX. törvény (a továbbiakban: Kiberbiztonsági tv.) 1. § (1) bekezdés a)–c) és f) pontja, valamint 1. § (2a) bekezdése szerinti szervezetekre kell alkalmazni.</t>
  </si>
  <si>
    <t xml:space="preserve">H-VHR-S0033</t>
  </si>
  <si>
    <t xml:space="preserve">Vhr. 1. § (2)</t>
  </si>
  <si>
    <t xml:space="preserve">(2) E rendeletnek az elektronikus információs rendszer biztonságáért felelős személyre vonatkozó rendelkezéseit az alábbi szervezetekre kell alkalmazni:
a) a Kiberbiztonsági tv. 1. § (1) bekezdés a)–c) és f) pontja, valamint 1. § (2a) bekezdése szerinti szervezetekre,
b) a Kiberbiztonsági tv. 1. § (1) bekezdés d) és e) pontja szerinti azon szervezetekre, amelyek a kritikus szervezetek ellenálló képességéről szóló 2024. évi LXXXIV. törvény (a továbbiakban: Kszetv.) alapján kritikus szervezetként vannak kijelölve, vagy a Kszetv. alapján kritikus infrastruktúraként kijelölt infrastruktúrát üzemeltetnek (a továbbiakban együtt: kritikus szervezet), valamint
c) a Kiberbiztonsági tv. 1. § (1) bekezdés d) és e) pontja szerinti azon szervezetekre, amelyek a védelmi és biztonsági tevékenységek összehangolásáról szóló 2021. évi XCIII. törvény (a továbbiakban: Vbö.) alapján az ország védelme és biztonsága szempontjából jelentős szervezetként kerültek kijelölésre vagy a Vbö. alapján az ország védelme és biztonsága szempontjából jelentős infrastruk … [a teljes bekezdés a Forrás hivatkozáson]</t>
  </si>
  <si>
    <t xml:space="preserve">H-VHR-S0037</t>
  </si>
  <si>
    <t xml:space="preserve">Vhr. 1. § (3)</t>
  </si>
  <si>
    <t xml:space="preserve">(3) E rendeletnek a kiberbiztonsági gyakorlatokra, valamint a kiberbiztonsági bírságokra vonatkozó rendelkezéseit a Kiberbiztonsági tv. 1. § (1) bekezdése szerinti szervezetekre kell alkalmazni.</t>
  </si>
  <si>
    <t xml:space="preserve">H-VHR-S0038</t>
  </si>
  <si>
    <t xml:space="preserve">Vhr. 1. § (4)</t>
  </si>
  <si>
    <t xml:space="preserve">(4) E rendelet kiberbiztonsági tanúsításra vonatkozó rendelkezéseit az információs és kommunikációs technológiai (a továbbiakban: IKT) termékek, IKT-szolgáltatások vagy IKT-folyamatok (a továbbiakban együtt: IKT-termék) tanúsításával kapcsolatos tevékenység vonatkozásában kell alkalmazni.</t>
  </si>
  <si>
    <t xml:space="preserve">H-VHR-S0039</t>
  </si>
  <si>
    <t xml:space="preserve">Vhr. 1. § (5)</t>
  </si>
  <si>
    <t xml:space="preserve">(5) E rendelet sérülékenységvizsgálatra vonatkozó rendelkezései
a) a Kiberbiztonsági tv. 1. § (1) bekezdés a)–c) és f) pontja, valamint 1. § (2a) bekezdése szerinti szervezetek elektronikus információs rendszereit, valamint
b) a megállapodásban foglalt eltérésekkel a Kiberbiztonsági tv. 61. §-a szerinti megállapodásban meghatározott elektronikus információs rendszereket
érintő sérülékenységvizsgálatokra alkalmazandóak.</t>
  </si>
  <si>
    <t xml:space="preserve">H-VHR-S0043</t>
  </si>
  <si>
    <t xml:space="preserve">Vhr. 1. § (6)</t>
  </si>
  <si>
    <t xml:space="preserve">(6) E rendelet kiberbiztonsági incidenskezelésre, valamint a kiberbiztonsági válsághelyzet kezelésére vonatkozó rendelkezéseit
a) a Kiberbiztonsági tv. 1. § (1) bekezdése szerinti szervezetek, valamint
b) az e rendeletben meghatározott eltérésekkel az (EU) 2022/2554 európai parlamenti és tanácsi rendelet hatálya alá tartozó szervezetek
elektronikus információs rendszereit érintő kiberbiztonsági incidensek kezelésére kell alkalmazni.</t>
  </si>
  <si>
    <t xml:space="preserve">H-VHR-S0047</t>
  </si>
  <si>
    <t xml:space="preserve">Vhr. 1. § (7)</t>
  </si>
  <si>
    <t xml:space="preserve">(7) E rendelet sebezhetőségek kezelésére vonatkozó rendelkezései
a) a Kiberbiztonsági tv. 1. § (1) bekezdése szerinti szervezetek elektronikus információs rendszerei kapcsán felfedezett sérülékenységek, valamint
b) az IKT-termék kapcsán felfedezett sebezhetőségek
kezelésére, bejelentésére alkalmazandóak.</t>
  </si>
  <si>
    <t xml:space="preserve">H-VHR-S0191</t>
  </si>
  <si>
    <t xml:space="preserve">Vhr. 16. § (3)</t>
  </si>
  <si>
    <t xml:space="preserve">(3) A honvédelmi kiberbiztonsági hatóság tevékenységére – a 17. § (1) bekezdés e) pontjában, a 18. § e) pontjában, a 25. §-ban, a 30. § (6) bekezdésében, a 39. § (3) és (4) bekezdésében foglaltak kivételével – a nemzeti kiberbiztonsági hatóságra vonatkozó rendelkezéseket kell alkalmazni.</t>
  </si>
  <si>
    <t xml:space="preserve">H-VHR-S0791</t>
  </si>
  <si>
    <t xml:space="preserve">Vhr. 77. § (2)</t>
  </si>
  <si>
    <t xml:space="preserve">(2) Kiberfenyegetés, kiberbiztonsági incidensközeli helyzet és üzemeltetési kiberbiztonsági incidens bejelentése során az (1) bekezdés rendelkezései a Központ által meghatározott módon alkalmazandók, ha azok az adott esemény kapcsán értelmezhetők.</t>
  </si>
  <si>
    <t xml:space="preserve">H-VHR-S0792</t>
  </si>
  <si>
    <t xml:space="preserve">Vhr. 77. § (3)</t>
  </si>
  <si>
    <t xml:space="preserve">(3) A szervezetnek nem kell bejelentenie azt a kiberbiztonsági incidensközeli helyzetet és üzemeltetési kiberbiztonsági incidenst, amely az incidenskezelési folyamatba kerülés során, automatizmus által kezelésre, elhárításra került és nem járt a szolgáltatás degradációjával. Az ismétlődő kiberbiztonsági incidensközeli helyzetet és üzemeltetési kiberbiztonsági incidenst a szervezet ez esetben is bejelenti.</t>
  </si>
  <si>
    <t xml:space="preserve">H-VHR-S0793</t>
  </si>
  <si>
    <t xml:space="preserve">Vhr. 77. § (4)</t>
  </si>
  <si>
    <t xml:space="preserve">(4) Az (1) bekezdés 3. pontjától eltérően a bizalmi szolgáltató indokolatlan késedelem nélkül és minden esetben az incidensről való tudomásszerzést követő 24 órán belül értesíti a Központot a bizalmi szolgáltatásai nyújtására hatást gyakorló kiberbiztonsági incidensekről.</t>
  </si>
  <si>
    <t xml:space="preserve">Első tételes kivonat, nem teljes körű. Szűrés: érintett vagy téma; a jogalapra kattintva a pontos szöveg nyílik meg.</t>
  </si>
  <si>
    <t xml:space="preserve">Érintett</t>
  </si>
  <si>
    <t xml:space="preserve">Feladat röviden</t>
  </si>
  <si>
    <t xml:space="preserve">Feltétel / kivétel</t>
  </si>
  <si>
    <t xml:space="preserve">Időzítés</t>
  </si>
  <si>
    <t xml:space="preserve">Jogalap</t>
  </si>
  <si>
    <t xml:space="preserve">Téma</t>
  </si>
  <si>
    <t xml:space="preserve">Teljes §</t>
  </si>
  <si>
    <t xml:space="preserve">F-TV-0241</t>
  </si>
  <si>
    <t xml:space="preserve">Szervezet vezetője</t>
  </si>
  <si>
    <t xml:space="preserve">Kockázatmenedzsment keretrendszer létrehozása és működtetése</t>
  </si>
  <si>
    <t xml:space="preserve">Figyelembe veendő a Tv. 6. § (10) szerinti eltérés.</t>
  </si>
  <si>
    <t xml:space="preserve">A tétel jogalapjában nincs külön időpont kiemelve.</t>
  </si>
  <si>
    <t xml:space="preserve">Az alapvető és fontos szervezetek általános kötelezettségei</t>
  </si>
  <si>
    <t xml:space="preserve">F-TV-0243</t>
  </si>
  <si>
    <t xml:space="preserve">Használt rendszerek és központi szolgáltatások felmérése, nyilvántartása</t>
  </si>
  <si>
    <t xml:space="preserve">A Tv. 6. § (3) 1. pont a)–d) alpontja szerinti bontásban.</t>
  </si>
  <si>
    <t xml:space="preserve">F-TV-0248</t>
  </si>
  <si>
    <t xml:space="preserve">Szerepkörök, felelősök és hatáskörök meghatározása; felelős személy kinevezése vagy megbízása</t>
  </si>
  <si>
    <t xml:space="preserve">A Tv. 6. § (3) szerinti feltételekkel; a 6. § (10) eltérései külön vizsgálandók.</t>
  </si>
  <si>
    <t xml:space="preserve">F-TV-0249</t>
  </si>
  <si>
    <t xml:space="preserve">Adatok felméréséről és osztályozásáról gondoskodás</t>
  </si>
  <si>
    <t xml:space="preserve">A Tv. 1. melléklete szerinti szervezet; a 6. § (3) 1. a) szerinti EIR adatai.</t>
  </si>
  <si>
    <t xml:space="preserve">F-TV-0250</t>
  </si>
  <si>
    <t xml:space="preserve">Hatáselemzés és kockázatmenedzsment végzése</t>
  </si>
  <si>
    <t xml:space="preserve">F-TV-0251</t>
  </si>
  <si>
    <t xml:space="preserve">Elektronikus információs rendszerek biztonsági osztályba sorolása</t>
  </si>
  <si>
    <t xml:space="preserve">F-TV-0252</t>
  </si>
  <si>
    <t xml:space="preserve">Kockázatarányos védelmi intézkedések meghatározása</t>
  </si>
  <si>
    <t xml:space="preserve">F-TV-0253</t>
  </si>
  <si>
    <t xml:space="preserve">Információbiztonsági szabályzat kiadása és felülvizsgálata</t>
  </si>
  <si>
    <t xml:space="preserve">Legalább kétévente, vagy jogszabályban meghatározott esetben.</t>
  </si>
  <si>
    <t xml:space="preserve">F-TV-0254</t>
  </si>
  <si>
    <t xml:space="preserve">Védelmi intézkedések teljesülésének biztosítása</t>
  </si>
  <si>
    <t xml:space="preserve">F-TV-0255</t>
  </si>
  <si>
    <t xml:space="preserve">Védelmi intézkedések értékelése az első besoroláskor</t>
  </si>
  <si>
    <t xml:space="preserve">F-TV-0256</t>
  </si>
  <si>
    <t xml:space="preserve">Védelmi intézkedések rendszeres értékelése</t>
  </si>
  <si>
    <t xml:space="preserve">F-TV-0257</t>
  </si>
  <si>
    <t xml:space="preserve">Feltárt hiányosságok orvoslása</t>
  </si>
  <si>
    <t xml:space="preserve">F-TV-0258</t>
  </si>
  <si>
    <t xml:space="preserve">Döntés a használatbavételről vagy a használat folytatásáról</t>
  </si>
  <si>
    <t xml:space="preserve">F-TV-0259</t>
  </si>
  <si>
    <t xml:space="preserve">Hatósági kötelezések teljesítése</t>
  </si>
  <si>
    <t xml:space="preserve">F-TV-0260</t>
  </si>
  <si>
    <t xml:space="preserve">A 6. § (3) 10. pont szerinti értékelések végrehajtása</t>
  </si>
  <si>
    <t xml:space="preserve">Az IBSZ felülvizsgálatával, és ha kötelező, a besorolás felülvizsgálatával együtt.</t>
  </si>
  <si>
    <t xml:space="preserve">Legalább kétévente.</t>
  </si>
  <si>
    <t xml:space="preserve">F-TV-0262</t>
  </si>
  <si>
    <t xml:space="preserve">Védelmi feladatok oktatása és kiberbiztonsági képzés, továbbképzés biztosítása</t>
  </si>
  <si>
    <t xml:space="preserve">A hivatkozott rendelkezés és az alkalmazandó hatályszabályok szerint.</t>
  </si>
  <si>
    <t xml:space="preserve">F-TV-0263</t>
  </si>
  <si>
    <t xml:space="preserve">Kötelező gyakorlaton részvétel vagy önálló gyakorlat megtartásának biztosítása</t>
  </si>
  <si>
    <t xml:space="preserve">F-TV-0264</t>
  </si>
  <si>
    <t xml:space="preserve">Elektronikus információs rendszer eseményei nyomonkövethetőségének biztosítása</t>
  </si>
  <si>
    <t xml:space="preserve">F-TV-0265</t>
  </si>
  <si>
    <t xml:space="preserve">Közreműködőre vonatkozó kiberbiztonsági követelmények szerződéses előírása</t>
  </si>
  <si>
    <t xml:space="preserve">F-TV-0266</t>
  </si>
  <si>
    <t xml:space="preserve">Reagálás, incidensbejelentés, kezelés és helyreállítás biztosítása</t>
  </si>
  <si>
    <t xml:space="preserve">F-TV-0267</t>
  </si>
  <si>
    <t xml:space="preserve">Érintettek haladéktalan tájékoztatása incidensekről és fenyegetésekről</t>
  </si>
  <si>
    <t xml:space="preserve">Haladéktalanul.</t>
  </si>
  <si>
    <t xml:space="preserve">F-TV-0268</t>
  </si>
  <si>
    <t xml:space="preserve">Hatósági és incidenskezelő központi ajánlások figyelembevétele</t>
  </si>
  <si>
    <t xml:space="preserve">F-TV-0269</t>
  </si>
  <si>
    <t xml:space="preserve">Törekvés a feladatok lehető legrövidebb időn belüli végrehajtására</t>
  </si>
  <si>
    <t xml:space="preserve">F-TV-0270</t>
  </si>
  <si>
    <t xml:space="preserve">Kiberbiztonsági fejlesztési ráfordítás biztosítása</t>
  </si>
  <si>
    <t xml:space="preserve">A Tv. 1. § (1) a)–c) pontja szerinti szervezet.</t>
  </si>
  <si>
    <t xml:space="preserve">A tárgyév során; az informatikai fejlesztési költségek legalább 5%-ának megfelelő összeg.</t>
  </si>
  <si>
    <t xml:space="preserve">F-TV-0271</t>
  </si>
  <si>
    <t xml:space="preserve">További szükséges védelmi intézkedések megtétele</t>
  </si>
  <si>
    <t xml:space="preserve">F-TV-0275</t>
  </si>
  <si>
    <t xml:space="preserve">Szervezet</t>
  </si>
  <si>
    <t xml:space="preserve">Előírt tanúsított IKT-termék, szolgáltatás vagy folyamat használata</t>
  </si>
  <si>
    <t xml:space="preserve">A hivatkozott miniszteri vagy SZTFH-rendeletben meghatározott szervezetek és termékek. Külső részletszabály nincs kibontva.</t>
  </si>
  <si>
    <t xml:space="preserve">F-TV-0279</t>
  </si>
  <si>
    <t xml:space="preserve">Legalább az alap biztonsági osztály követelményeinek teljesítése</t>
  </si>
  <si>
    <t xml:space="preserve">Kizárólag a Tv. 6. § (10) bevezető részében megjelölt szervezetek és rendszerek.</t>
  </si>
  <si>
    <t xml:space="preserve">F-TV-0280</t>
  </si>
  <si>
    <t xml:space="preserve">Honvédelmi rendszerhez kapcsolódó bejelentések és kötelezettségek teljesítése</t>
  </si>
  <si>
    <t xml:space="preserve">Honvédelmi célú EIR; címzett a honvédelmi kiberbiztonsági hatóság.</t>
  </si>
  <si>
    <t xml:space="preserve">F-TV-0282</t>
  </si>
  <si>
    <t xml:space="preserve">Kiberbiztonsági felügyeleti díj fizetése</t>
  </si>
  <si>
    <t xml:space="preserve">A Tv. 7. § (1) szerinti kör, költségvetési kivétel és vállalatcsoport-szabály mellett.</t>
  </si>
  <si>
    <t xml:space="preserve">Az SZTFH elnökének rendelete szerint.</t>
  </si>
  <si>
    <t xml:space="preserve">F-TV-0285</t>
  </si>
  <si>
    <t xml:space="preserve">Magyarországon működő képviselő írásbeli kijelölése</t>
  </si>
  <si>
    <t xml:space="preserve">Nem Magyarországon bejegyzett, a törvény hatálya alá tartozó EIR-t működtető szervezet.</t>
  </si>
  <si>
    <t xml:space="preserve">F-TV-0286</t>
  </si>
  <si>
    <t xml:space="preserve">Hatósággal való együttműködés biztosítása</t>
  </si>
  <si>
    <t xml:space="preserve">F-TV-0288</t>
  </si>
  <si>
    <t xml:space="preserve">Nyilvántartási adatok, iratok és változásaik megküldése</t>
  </si>
  <si>
    <t xml:space="preserve">A jogszabályban és a hatóság honlapján meghatározottak szerint.</t>
  </si>
  <si>
    <t xml:space="preserve">Változás esetén a változást követő 14 napon belül.</t>
  </si>
  <si>
    <t xml:space="preserve">F-TV-0289</t>
  </si>
  <si>
    <t xml:space="preserve">Hatósági ellenőrzés feltételeinek biztosítása</t>
  </si>
  <si>
    <t xml:space="preserve">F-TV-0291</t>
  </si>
  <si>
    <t xml:space="preserve">Szervezeti adatok bejelentése</t>
  </si>
  <si>
    <t xml:space="preserve">Tv. 1. § (1) a)–c), f); a Tv. 8. § (4), (6) és az 51. alcím figyelembevételével.</t>
  </si>
  <si>
    <t xml:space="preserve">A hatály alá kerülést követő 30 napon belül; átmeneti eltérések: Tv. 83–89. §.</t>
  </si>
  <si>
    <t xml:space="preserve">F-TV-0292</t>
  </si>
  <si>
    <t xml:space="preserve">Biztonságért felelős személy adatainak bejelentése</t>
  </si>
  <si>
    <t xml:space="preserve">F-TV-0293</t>
  </si>
  <si>
    <t xml:space="preserve">Használt elektronikus információs rendszerek felmérése</t>
  </si>
  <si>
    <t xml:space="preserve">A hatály alá kerülést követő 90 napon belül; átmeneti eltérések: Tv. 83–89. §.</t>
  </si>
  <si>
    <t xml:space="preserve">F-TV-0294</t>
  </si>
  <si>
    <t xml:space="preserve">Adatosztályozás elvégzése, ha releváns</t>
  </si>
  <si>
    <t xml:space="preserve">A hatály alá kerülést követő 120 napon belül; átmeneti eltérések: Tv. 83–89. §.</t>
  </si>
  <si>
    <t xml:space="preserve">F-TV-0295</t>
  </si>
  <si>
    <t xml:space="preserve">Információbiztonsági szabályzat megküldése</t>
  </si>
  <si>
    <t xml:space="preserve">A hatály alá kerülést követő 180 napon belül; átmeneti eltérések: Tv. 83–89. §.</t>
  </si>
  <si>
    <t xml:space="preserve">F-TV-0296</t>
  </si>
  <si>
    <t xml:space="preserve">Besorolás, védelmi intézkedések felmérése és bejelentés</t>
  </si>
  <si>
    <t xml:space="preserve">F-TV-0297</t>
  </si>
  <si>
    <t xml:space="preserve">Nyilvántartásba vételi adatok megküldése az SZTFH-nak</t>
  </si>
  <si>
    <t xml:space="preserve">Tv. 8. § (5) szerinti kör és adatkivétel; átmeneti szabály: 89. §.</t>
  </si>
  <si>
    <t xml:space="preserve">Működés megkezdését vagy hatály alá kerülést követő 30 napon belül.</t>
  </si>
  <si>
    <t xml:space="preserve">F-TV-0306</t>
  </si>
  <si>
    <t xml:space="preserve">Információmegosztási megállapodásról a hatóság tájékoztatása</t>
  </si>
  <si>
    <t xml:space="preserve">Megkötés, részvétel vagy felmondás esetén. A megállapodás megkötése lehetőség.</t>
  </si>
  <si>
    <t xml:space="preserve">F-TV-0308</t>
  </si>
  <si>
    <t xml:space="preserve">Kezelt adatok osztályozása</t>
  </si>
  <si>
    <t xml:space="preserve">A Tv. 9. § adott bekezdésében megjelölt szervezeti kör és feltételek szerint.</t>
  </si>
  <si>
    <t xml:space="preserve">Adatosztályozás</t>
  </si>
  <si>
    <t xml:space="preserve">F-TV-0309</t>
  </si>
  <si>
    <t xml:space="preserve">Adatosztályozás felhőhasználathoz és külföldi adatkezeléshez</t>
  </si>
  <si>
    <t xml:space="preserve">F-TV-0310</t>
  </si>
  <si>
    <t xml:space="preserve">Együttesen kezelt adatok biztonsági igényének figyelembevétele</t>
  </si>
  <si>
    <t xml:space="preserve">F-TV-0312</t>
  </si>
  <si>
    <t xml:space="preserve">Adatosztályozás felülvizsgálata</t>
  </si>
  <si>
    <t xml:space="preserve">Besorolás keretében, illetve a kezelendő adatok körének változásakor.</t>
  </si>
  <si>
    <t xml:space="preserve">F-TV-0314</t>
  </si>
  <si>
    <t xml:space="preserve">Rendelkezésben lévő EIR-ek biztonsági osztályba sorolása</t>
  </si>
  <si>
    <t xml:space="preserve">Tv. 10. § (1); a Tv. 6. § (10) szerinti eltéréssel.</t>
  </si>
  <si>
    <t xml:space="preserve">A biztonsági osztályba sorolás</t>
  </si>
  <si>
    <t xml:space="preserve">F-TV-0315</t>
  </si>
  <si>
    <t xml:space="preserve">Besorolásról döntés és megfelelőségéért való felelősség</t>
  </si>
  <si>
    <t xml:space="preserve">A felhasznált adatok teljességéért és időszerűségéért is felel.</t>
  </si>
  <si>
    <t xml:space="preserve">F-TV-0315-2</t>
  </si>
  <si>
    <t xml:space="preserve">Besorolás eredményének rögzítése</t>
  </si>
  <si>
    <t xml:space="preserve">Az EIR-nyilvántartásban vagy egyéb belső szabályzatban.</t>
  </si>
  <si>
    <t xml:space="preserve">F-TV-0317</t>
  </si>
  <si>
    <t xml:space="preserve">Biztonsági osztályhoz előírt védelmi intézkedések meghatározása és megvalósítása</t>
  </si>
  <si>
    <t xml:space="preserve">Az informatikáért felelős miniszter rendelete szerinti intézkedések; külső részletszabály nincs kibontva.</t>
  </si>
  <si>
    <t xml:space="preserve">F-TV-0318</t>
  </si>
  <si>
    <t xml:space="preserve">Legalább az alap szintű védelmi intézkedések teljesítése</t>
  </si>
  <si>
    <t xml:space="preserve">A Tv. 10. § (5) szerinti szervezeti és rendszerkör.</t>
  </si>
  <si>
    <t xml:space="preserve">A hatály alá kerüléskor.</t>
  </si>
  <si>
    <t xml:space="preserve">F-TV-0319</t>
  </si>
  <si>
    <t xml:space="preserve">Magasabb biztonsági osztály intézkedéseinek kivitelezése</t>
  </si>
  <si>
    <t xml:space="preserve">A Tv. 10. § (5) szerinti EIR, ha alapnál magasabb osztályt állapítottak meg.</t>
  </si>
  <si>
    <t xml:space="preserve">Besorolást követően legfeljebb 2 év.</t>
  </si>
  <si>
    <t xml:space="preserve">F-TV-0320</t>
  </si>
  <si>
    <t xml:space="preserve">Besorolás dokumentált felülvizsgálata</t>
  </si>
  <si>
    <t xml:space="preserve">Jogszabály szerinti biztonságot érintő változáskor soron kívül is.</t>
  </si>
  <si>
    <t xml:space="preserve">F-TV-0322</t>
  </si>
  <si>
    <t xml:space="preserve">Biztonságért felelős személy kijelölése vagy külső megállapodás megkötése</t>
  </si>
  <si>
    <t xml:space="preserve">Az elektronikus információs rendszer biztonságáért felelős személy</t>
  </si>
  <si>
    <t xml:space="preserve">F-TV-0323</t>
  </si>
  <si>
    <t xml:space="preserve">Külső megállapodásban feladatot ellátó természetes személy megjelölése</t>
  </si>
  <si>
    <t xml:space="preserve">A Tv. 11. § (2) szerinti megállapodás esetén.</t>
  </si>
  <si>
    <t xml:space="preserve">F-TV-0334</t>
  </si>
  <si>
    <t xml:space="preserve">Felelős személy bevonása a védelmet érintő döntések előkészítésébe</t>
  </si>
  <si>
    <t xml:space="preserve">F-TV-0335</t>
  </si>
  <si>
    <t xml:space="preserve">Feltételek, jogosultságok, információk és erőforrások biztosítása</t>
  </si>
  <si>
    <t xml:space="preserve">F-TV-0336</t>
  </si>
  <si>
    <t xml:space="preserve">Feladathoz szükséges rendszer-, adat- és információhozzáférés biztosítása</t>
  </si>
  <si>
    <t xml:space="preserve">F-TV-0337</t>
  </si>
  <si>
    <t xml:space="preserve">Belső felelős személy továbbképzési részvételének biztosítása</t>
  </si>
  <si>
    <t xml:space="preserve">F-TV-0338</t>
  </si>
  <si>
    <t xml:space="preserve">Elektronikus információs rendszer biztonságáért felelős személy</t>
  </si>
  <si>
    <t xml:space="preserve">Titoktartás a feladatellátás során megismert adatokról</t>
  </si>
  <si>
    <t xml:space="preserve">A szervezet vezetője felmentést adhat.</t>
  </si>
  <si>
    <t xml:space="preserve">F-TV-0339</t>
  </si>
  <si>
    <t xml:space="preserve">Előírt továbbképzésen részvétel</t>
  </si>
  <si>
    <t xml:space="preserve">Az informatikáért felelős miniszter rendelete szerint; külső részletszabály nincs kibontva.</t>
  </si>
  <si>
    <t xml:space="preserve">F-TV-0341</t>
  </si>
  <si>
    <t xml:space="preserve">Feladatok és felelősség megosztásáról rendelkezés</t>
  </si>
  <si>
    <t xml:space="preserve">Ha helyettes kijelölésére vagy megbízására kerül sor.</t>
  </si>
  <si>
    <t xml:space="preserve">F-TV-0344</t>
  </si>
  <si>
    <t xml:space="preserve">Nemzeti kiberbiztonsági hatóság</t>
  </si>
  <si>
    <t xml:space="preserve">Alkalmas biztonsági felelős személyek nyilvántartásának vezetése</t>
  </si>
  <si>
    <t xml:space="preserve">F-TV-0360</t>
  </si>
  <si>
    <t xml:space="preserve">Fejlesztés esetén előírt eljárás követése</t>
  </si>
  <si>
    <t xml:space="preserve">A Tv. 13. § (1), 13/A. § szerinti kör; a 14. § eltérő eljárást szabályoz.</t>
  </si>
  <si>
    <t xml:space="preserve">Az elektronikus információs rendszer fejlesztése, továbbfejlesztése</t>
  </si>
  <si>
    <t xml:space="preserve">F-TV-0361</t>
  </si>
  <si>
    <t xml:space="preserve">Tervezéskor osztályozás, besorolás és jóváhagyásra benyújtás</t>
  </si>
  <si>
    <t xml:space="preserve">F-TV-0364</t>
  </si>
  <si>
    <t xml:space="preserve">Jóváhagyott besorolás követelményeinek szerződéses rögzítése és érvényesítése</t>
  </si>
  <si>
    <t xml:space="preserve">Tv. 13. § szerinti fejlesztés.</t>
  </si>
  <si>
    <t xml:space="preserve">F-TV-0365</t>
  </si>
  <si>
    <t xml:space="preserve">Fejlesztés végrehajtása a jóváhagyott védelmi követelmények szerint</t>
  </si>
  <si>
    <t xml:space="preserve">F-TV-0366</t>
  </si>
  <si>
    <t xml:space="preserve">Biztonságot befolyásoló új körülmény esetén feladatok ismételt elvégzése</t>
  </si>
  <si>
    <t xml:space="preserve">F-TV-0368</t>
  </si>
  <si>
    <t xml:space="preserve">Besorolási követelmények teljesítése a használatbavételig</t>
  </si>
  <si>
    <t xml:space="preserve">Új rendszer bevezetése vagy meglévő továbbfejlesztése a Tv. 13. § szerint.</t>
  </si>
  <si>
    <t xml:space="preserve">A használatbavételig.</t>
  </si>
  <si>
    <t xml:space="preserve">F-TV-0370</t>
  </si>
  <si>
    <t xml:space="preserve">EIR-adatok bejelentése a használati döntéssel együtt</t>
  </si>
  <si>
    <t xml:space="preserve">Tv. 13. § szerinti eljárás.</t>
  </si>
  <si>
    <t xml:space="preserve">A Tv. 6. § (3) 12. pont szerinti döntéssel egyidejűleg.</t>
  </si>
  <si>
    <t xml:space="preserve">F-TV-0371</t>
  </si>
  <si>
    <t xml:space="preserve">Központi rendszer felett rendelkezési jogot gyakorló szervezet</t>
  </si>
  <si>
    <t xml:space="preserve">Hatóság tájékoztatása központi rendszer fejlesztéséről</t>
  </si>
  <si>
    <t xml:space="preserve">A rendszer biztonságát érintő kérdésekben.</t>
  </si>
  <si>
    <t xml:space="preserve">Tervezéskor, majd minden mérföldkő elérésekor.</t>
  </si>
  <si>
    <t xml:space="preserve">F-TV-0377</t>
  </si>
  <si>
    <t xml:space="preserve">Védelmi követelmények érvényesítése a fejlesztő felé</t>
  </si>
  <si>
    <t xml:space="preserve">A Tv. 14. § (1) szerinti szervezeti kör.</t>
  </si>
  <si>
    <t xml:space="preserve">F-TV-0379</t>
  </si>
  <si>
    <t xml:space="preserve">Fejlesztendő EIR bejelentése a tervezési életciklusban</t>
  </si>
  <si>
    <t xml:space="preserve">A Tv. 14. § (1) szerinti kör; a (3) bekezdés a)–b) pontja szerint.</t>
  </si>
  <si>
    <t xml:space="preserve">F-TV-0380</t>
  </si>
  <si>
    <t xml:space="preserve">EIR bejelentése a használatbavételi vagy továbbhasználati döntés után</t>
  </si>
  <si>
    <t xml:space="preserve">F-TV-0382</t>
  </si>
  <si>
    <t xml:space="preserve">Védelmi követelmények teljesítése a használati döntéshez</t>
  </si>
  <si>
    <t xml:space="preserve">A Tv. 14. § szerinti fejlesztés.</t>
  </si>
  <si>
    <t xml:space="preserve">A rendszer használatbavételéig.</t>
  </si>
  <si>
    <t xml:space="preserve">F-TV-0384</t>
  </si>
  <si>
    <t xml:space="preserve">Teljes körű sérülékenységvizsgálat kezdeményezése</t>
  </si>
  <si>
    <t xml:space="preserve">Tv. 15. § (1)–(2): jelentős vagy magas osztály; az állami vizsgáló szerv döntésével mentesülhet.</t>
  </si>
  <si>
    <t xml:space="preserve">F-TV-0387</t>
  </si>
  <si>
    <t xml:space="preserve">Kiberbiztonsági audit végeztetése</t>
  </si>
  <si>
    <t xml:space="preserve">Tv. 16. § (1) szerinti kör, a mikrovállalkozási és honvédelmi eltérésekkel.</t>
  </si>
  <si>
    <t xml:space="preserve">Kétévente, illetve hatósági elrendelés esetén.</t>
  </si>
  <si>
    <t xml:space="preserve">Kiberbiztonsági audit</t>
  </si>
  <si>
    <t xml:space="preserve">F-TV-0389</t>
  </si>
  <si>
    <t xml:space="preserve">Megállapodás kötése nyilvántartott auditorral</t>
  </si>
  <si>
    <t xml:space="preserve">Auditkötelezett szervezet; átmeneti eltérés: Tv. 89. § (1a).</t>
  </si>
  <si>
    <t xml:space="preserve">Nyilvántartásba vételt követő 120 napon belül.</t>
  </si>
  <si>
    <t xml:space="preserve">F-TV-0390</t>
  </si>
  <si>
    <t xml:space="preserve">Első audit elvégeztetése</t>
  </si>
  <si>
    <t xml:space="preserve">Auditkötelezett szervezet; átmeneti eltérés: Tv. 89. § (2).</t>
  </si>
  <si>
    <t xml:space="preserve">Nyilvántartásba vételt követő 2 éven belül.</t>
  </si>
  <si>
    <t xml:space="preserve">F-TV-0391</t>
  </si>
  <si>
    <t xml:space="preserve">Honvédelmi célú EIR auditálásának tilalma</t>
  </si>
  <si>
    <t xml:space="preserve">Honvédelmi célú elektronikus információs rendszer.</t>
  </si>
  <si>
    <t xml:space="preserve">F-TV-0395</t>
  </si>
  <si>
    <t xml:space="preserve">Támogató rendszer védelme és védelmi intézkedéseinek felmérése</t>
  </si>
  <si>
    <t xml:space="preserve">A támogatott EIR-nek megfelelő védelem, kockázatarányos alkalmazhatóság mellett.</t>
  </si>
  <si>
    <t xml:space="preserve">A támogató rendszerekre vonatkozó speciális rendelkezések</t>
  </si>
  <si>
    <t xml:space="preserve">F-TV-0396</t>
  </si>
  <si>
    <t xml:space="preserve">Támogató rendszert szolgáltató szervezet</t>
  </si>
  <si>
    <t xml:space="preserve">Felhasználó tájékoztatása a támogató rendszer védelmi megfeleléséről</t>
  </si>
  <si>
    <t xml:space="preserve">Ha a támogató rendszert szolgáltatásként nyújtja.</t>
  </si>
  <si>
    <t xml:space="preserve">F-TV-0397</t>
  </si>
  <si>
    <t xml:space="preserve">Csak megfelelő védelmű támogató rendszer igénybevétele</t>
  </si>
  <si>
    <t xml:space="preserve">A támogatott EIR védelmi igényeinek való megfelelés szükséges.</t>
  </si>
  <si>
    <t xml:space="preserve">F-TV-0400</t>
  </si>
  <si>
    <t xml:space="preserve">Általános szervezeti feladatok ellátása a központi rendszerre</t>
  </si>
  <si>
    <t xml:space="preserve">A központi rendszerekre vonatkozó speciális rendelkezések</t>
  </si>
  <si>
    <t xml:space="preserve">F-TV-0401</t>
  </si>
  <si>
    <t xml:space="preserve">Felhasználó szervezetek bejelentése a hatóságnak</t>
  </si>
  <si>
    <t xml:space="preserve">F-TV-0402</t>
  </si>
  <si>
    <t xml:space="preserve">Felhasználói biztonsági követelmények meghatározása és elérhetővé tétele</t>
  </si>
  <si>
    <t xml:space="preserve">F-TV-0404</t>
  </si>
  <si>
    <t xml:space="preserve">Felhasználói hiányosságok pótlására felszólítás, szükség esetén hatóság tájékoztatása</t>
  </si>
  <si>
    <t xml:space="preserve">Ellenőrzés során feltárt hiányosság esetén; a felszólítás határidőt tartalmaz.</t>
  </si>
  <si>
    <t xml:space="preserve">F-TV-0406</t>
  </si>
  <si>
    <t xml:space="preserve">Felhasználó értesítése tervezett eseményről</t>
  </si>
  <si>
    <t xml:space="preserve">Legalább 5 nappal az esemény előtt.</t>
  </si>
  <si>
    <t xml:space="preserve">F-TV-0407</t>
  </si>
  <si>
    <t xml:space="preserve">Felhasználó soron kívüli tájékoztatása incidensről</t>
  </si>
  <si>
    <t xml:space="preserve">F-TV-0408</t>
  </si>
  <si>
    <t xml:space="preserve">Felhasználó tájékoztatása a szükséges megelőző és helyreállító intézkedésekről</t>
  </si>
  <si>
    <t xml:space="preserve">F-TV-0409</t>
  </si>
  <si>
    <t xml:space="preserve">Központi rendszert érintő vizsgálati hibák kijavítása</t>
  </si>
  <si>
    <t xml:space="preserve">F-TV-0410</t>
  </si>
  <si>
    <t xml:space="preserve">Fenyegetések és incidensközeli helyzetek bejelentése</t>
  </si>
  <si>
    <t xml:space="preserve">F-TV-0411</t>
  </si>
  <si>
    <t xml:space="preserve">Incidenskezelő központ által előírt intézkedések végrehajtása</t>
  </si>
  <si>
    <t xml:space="preserve">F-TV-0413</t>
  </si>
  <si>
    <t xml:space="preserve">Felhasználó szervezet</t>
  </si>
  <si>
    <t xml:space="preserve">Központi rendszer használatának bejelentése</t>
  </si>
  <si>
    <t xml:space="preserve">F-TV-0414</t>
  </si>
  <si>
    <t xml:space="preserve">Központi rendszer biztonsági követelményeinek teljesítése és IBSZ-ben rögzítése</t>
  </si>
  <si>
    <t xml:space="preserve">F-TV-0415</t>
  </si>
  <si>
    <t xml:space="preserve">Központi rendszert érintő incidensek bejelentése</t>
  </si>
  <si>
    <t xml:space="preserve">F-TV-0416</t>
  </si>
  <si>
    <t xml:space="preserve">Központi rendszer szolgáltatója és felhasználója</t>
  </si>
  <si>
    <t xml:space="preserve">Szolgáltatási szerződés kötése a feladat- és felelősségmegosztáshoz</t>
  </si>
  <si>
    <t xml:space="preserve">Önkéntes igénybevételnél, illetve a bekezdés szerinti jogszabályi rendezés hiányában.</t>
  </si>
  <si>
    <t xml:space="preserve">F-TV-0417</t>
  </si>
  <si>
    <t xml:space="preserve">Központi rendszerek nyilvántartásának vezetése</t>
  </si>
  <si>
    <t xml:space="preserve">F-TV-0420</t>
  </si>
  <si>
    <t xml:space="preserve">Központi szolgáltató</t>
  </si>
  <si>
    <t xml:space="preserve">Tájékoztatás a központi szolgáltatás védelmi megfeleléséről</t>
  </si>
  <si>
    <t xml:space="preserve">A központi szolgáltatók által nyújtott rendszerekre vonatkozó speciális rendelkezések</t>
  </si>
  <si>
    <t xml:space="preserve">F-TV-0420-2</t>
  </si>
  <si>
    <t xml:space="preserve">Szolgáltatás igénybevételének és helyettesítő intézkedéseknek kezelése</t>
  </si>
  <si>
    <t xml:space="preserve">A bekezdés szerinti megfelelőségi feltételek és kötelező igénybevétel szerint.</t>
  </si>
  <si>
    <t xml:space="preserve">F-TV-0422</t>
  </si>
  <si>
    <t xml:space="preserve">Folyamatos kapcsolattartás a hatósággal</t>
  </si>
  <si>
    <t xml:space="preserve">F-TV-0423</t>
  </si>
  <si>
    <t xml:space="preserve">Szolgáltatást igénybe vevő szervezetek bejelentése</t>
  </si>
  <si>
    <t xml:space="preserve">F-TV-0424</t>
  </si>
  <si>
    <t xml:space="preserve">Kockázatarányos védelmi intézkedések megvalósítása</t>
  </si>
  <si>
    <t xml:space="preserve">F-TV-0425</t>
  </si>
  <si>
    <t xml:space="preserve">F-TV-0427</t>
  </si>
  <si>
    <t xml:space="preserve">F-TV-0428</t>
  </si>
  <si>
    <t xml:space="preserve">F-TV-0429</t>
  </si>
  <si>
    <t xml:space="preserve">Felhasználó tájékoztatása a szükséges intézkedésekről</t>
  </si>
  <si>
    <t xml:space="preserve">F-TV-0430</t>
  </si>
  <si>
    <t xml:space="preserve">Szolgáltatást érintő vizsgálati hibák kijavítása</t>
  </si>
  <si>
    <t xml:space="preserve">F-TV-0431</t>
  </si>
  <si>
    <t xml:space="preserve">Fenyegetések, incidensközeli helyzetek és incidensek bejelentése</t>
  </si>
  <si>
    <t xml:space="preserve">F-TV-0432</t>
  </si>
  <si>
    <t xml:space="preserve">Incidenskezelő központ intézkedéseinek végrehajtása</t>
  </si>
  <si>
    <t xml:space="preserve">F-TV-0434</t>
  </si>
  <si>
    <t xml:space="preserve">Központi szolgáltatás vagy támogató rendszer használatának bejelentése</t>
  </si>
  <si>
    <t xml:space="preserve">F-TV-0435</t>
  </si>
  <si>
    <t xml:space="preserve">Előírt biztonsági követelmények teljesítése és IBSZ-ben rögzítése</t>
  </si>
  <si>
    <t xml:space="preserve">F-TV-0436</t>
  </si>
  <si>
    <t xml:space="preserve">Incidensek bejelentése a központ és a szolgáltató részére</t>
  </si>
  <si>
    <t xml:space="preserve">F-TV-0941</t>
  </si>
  <si>
    <t xml:space="preserve">Prevenciós eszközök igénybevétele</t>
  </si>
  <si>
    <t xml:space="preserve">Tv. 1. § (1) a)–c) szerinti szervezet, az incidenskezelő központ megkeresése esetén.</t>
  </si>
  <si>
    <t xml:space="preserve">A kiberbiztonsági incidensek megelőzése</t>
  </si>
  <si>
    <t xml:space="preserve">F-TV-0942</t>
  </si>
  <si>
    <t xml:space="preserve">Csatlakozás fenyegetettségi információmegosztó rendszerhez</t>
  </si>
  <si>
    <t xml:space="preserve">F-TV-0947</t>
  </si>
  <si>
    <t xml:space="preserve">Tv. 1. § (1) a)–c), f); üzemeltetési incidens is. Honvédelmi címzett: (4).</t>
  </si>
  <si>
    <t xml:space="preserve">Haladéktalanul, a Vhr. szerint.</t>
  </si>
  <si>
    <t xml:space="preserve">A kiberbiztonsági incidensek bejelentése és kezelése</t>
  </si>
  <si>
    <t xml:space="preserve">F-TV-0948</t>
  </si>
  <si>
    <t xml:space="preserve">Súlyos zavart vagy kárt okozó események bejelentése</t>
  </si>
  <si>
    <t xml:space="preserve">Tv. 1. § (1) d)–e); a 66. § (2) szerinti küszöbfeltételekkel.</t>
  </si>
  <si>
    <t xml:space="preserve">A Vhr. szerint.</t>
  </si>
  <si>
    <t xml:space="preserve">F-TV-0950</t>
  </si>
  <si>
    <t xml:space="preserve">Honvédelmi EIR-t érintő események bejelentése</t>
  </si>
  <si>
    <t xml:space="preserve">A honvédelmi kiberbiztonsági incidenskezelő központnak.</t>
  </si>
  <si>
    <t xml:space="preserve">F-TV-0951</t>
  </si>
  <si>
    <t xml:space="preserve">Érintett kiberbiztonsági incidenskezelő központ</t>
  </si>
  <si>
    <t xml:space="preserve">Eseményadatok továbbítása a nemzeti központnak</t>
  </si>
  <si>
    <t xml:space="preserve">A Tv. 66. § (5)–(6) szerinti szerepkörben.</t>
  </si>
  <si>
    <t xml:space="preserve">F-TV-0952</t>
  </si>
  <si>
    <t xml:space="preserve">Illetékesség hiányában bejelentés továbbítása az illetékes központnak</t>
  </si>
  <si>
    <t xml:space="preserve">F-TV-0966</t>
  </si>
  <si>
    <t xml:space="preserve">Intézkedés az incidens kezelése érdekében</t>
  </si>
  <si>
    <t xml:space="preserve">Kiberbiztonsági incidens bekövetkezése esetén.</t>
  </si>
  <si>
    <t xml:space="preserve">Kiberbiztonsági incidensek kezelése</t>
  </si>
  <si>
    <t xml:space="preserve">F-TV-0982</t>
  </si>
  <si>
    <t xml:space="preserve">Nyilvántartott incidenskezelő gazdálkodó szervezet választása</t>
  </si>
  <si>
    <t xml:space="preserve">Tv. 1. § (1) d)–e), ha nem maga kezeli; kapacitáshiánynál központ megkereshető.</t>
  </si>
  <si>
    <t xml:space="preserve">F-TV-0983</t>
  </si>
  <si>
    <t xml:space="preserve">Külső incidenskezelés megszervezése</t>
  </si>
  <si>
    <t xml:space="preserve">Tv. 1. § (1) a)–c), ha nem maga kezeli; a (8) bekezdés alternatívái szerint.</t>
  </si>
  <si>
    <t xml:space="preserve">F-TV-1224</t>
  </si>
  <si>
    <t xml:space="preserve">Átmeneti auditmegállapodási kötelezettség teljesítése</t>
  </si>
  <si>
    <t xml:space="preserve">Tv. 89. § (1a) szerinti kör; működés 2025. január 1. előtt megkezdve.</t>
  </si>
  <si>
    <t xml:space="preserve">2025. augusztus 31. (átmeneti, már eltelt határidő).</t>
  </si>
  <si>
    <t xml:space="preserve">Átmeneti rendelkezések</t>
  </si>
  <si>
    <t xml:space="preserve">F-TV-1225</t>
  </si>
  <si>
    <t xml:space="preserve">Átmeneti első audit elvégeztetése</t>
  </si>
  <si>
    <t xml:space="preserve">Tv. 89. § (1a) szerinti szervezet.</t>
  </si>
  <si>
    <t xml:space="preserve">2026. június 30. (átmeneti, már eltelt határidő).</t>
  </si>
  <si>
    <t xml:space="preserve">F-VHR-0084</t>
  </si>
  <si>
    <t xml:space="preserve">Adatosztályozás az 1. melléklet szempontjai szerint</t>
  </si>
  <si>
    <t xml:space="preserve">A Tv. 9. § szerint adatosztályozásra köteles szervezet.</t>
  </si>
  <si>
    <t xml:space="preserve">F-VHR-0086</t>
  </si>
  <si>
    <t xml:space="preserve">Költség-haszon elemzés és kilépési terv készítése</t>
  </si>
  <si>
    <t xml:space="preserve">Tv. 1. § (1) a) szerinti szervezet; Vhr. 3. § (2)–(3).</t>
  </si>
  <si>
    <t xml:space="preserve">A tervezett külföldi adatkezelésről vagy nem privát felhőről szóló döntés előtt.</t>
  </si>
  <si>
    <t xml:space="preserve">F-VHR-0087</t>
  </si>
  <si>
    <t xml:space="preserve">Legalább kilépési terv készítése</t>
  </si>
  <si>
    <t xml:space="preserve">Tv. 1. § (1) b)–c), és honvédelmi célú EIR-re f); Vhr. 3. § (2)–(3).</t>
  </si>
  <si>
    <t xml:space="preserve">F-VHR-0091</t>
  </si>
  <si>
    <t xml:space="preserve">Adatosztályozási eredmény bejelentése</t>
  </si>
  <si>
    <t xml:space="preserve">A biztonsági osztályba sorolás eredményének bejelentése keretében.</t>
  </si>
  <si>
    <t xml:space="preserve">F-VHR-0093</t>
  </si>
  <si>
    <t xml:space="preserve">Uniós ellátásilánc-kockázatértékelések figyelembevétele</t>
  </si>
  <si>
    <t xml:space="preserve">Ha rendelkezésre áll; védelmi intézkedések meghatározásánál és megfelelőségénél.</t>
  </si>
  <si>
    <t xml:space="preserve">Védelmi intézkedésekre vonatkozó rendelkezések</t>
  </si>
  <si>
    <t xml:space="preserve">F-VHR-0094</t>
  </si>
  <si>
    <t xml:space="preserve">Intézkedési terv készítése és benyújtása jóváhagyásra</t>
  </si>
  <si>
    <t xml:space="preserve">Védelmi intézkedések értékelése vagy audit során megállapított hiányosság esetén; Vhr. 1. § szerinti kör.</t>
  </si>
  <si>
    <t xml:space="preserve">Vizsgálati vagy auditeredmény kézhezvételét követő 90 napon belül.</t>
  </si>
  <si>
    <t xml:space="preserve">F-VHR-0096</t>
  </si>
  <si>
    <t xml:space="preserve">Biztonsági osztályba sorolás soron kívüli felülvizsgálata</t>
  </si>
  <si>
    <t xml:space="preserve">Kockázati környezet vagy adatosztályozás változásakor.</t>
  </si>
  <si>
    <t xml:space="preserve">Biztonsági osztályba sorolás felülvizsgálata</t>
  </si>
  <si>
    <t xml:space="preserve">F-VHR-0097</t>
  </si>
  <si>
    <t xml:space="preserve">Besorolás-felülvizsgálati eredmény megküldése</t>
  </si>
  <si>
    <t xml:space="preserve">A nemzeti kiberbiztonsági hatóság részére.</t>
  </si>
  <si>
    <t xml:space="preserve">15 napon belül.</t>
  </si>
  <si>
    <t xml:space="preserve">F-VHR-0099</t>
  </si>
  <si>
    <t xml:space="preserve">IBSZ soron kívüli felülvizsgálata és módosítása</t>
  </si>
  <si>
    <t xml:space="preserve">Vhr. 6. § a)–c): biztonságot érintő változás, új kockázat, feltárt hiányosság.</t>
  </si>
  <si>
    <t xml:space="preserve">Az információbiztonsági szabályzat felülvizsgálata</t>
  </si>
  <si>
    <t xml:space="preserve">F-VHR-0103</t>
  </si>
  <si>
    <t xml:space="preserve">Érzékeny információk tiszteletben tartása információmegosztáskor</t>
  </si>
  <si>
    <t xml:space="preserve">Tv. 8. § (7) szerinti megállapodás.</t>
  </si>
  <si>
    <t xml:space="preserve">F-VHR-0105</t>
  </si>
  <si>
    <t xml:space="preserve">Elektronikus bejelentés és igazoló dokumentumok megküldése</t>
  </si>
  <si>
    <t xml:space="preserve">Hatóság által meghatározott és közzétett formátumban.</t>
  </si>
  <si>
    <t xml:space="preserve">A nemzeti kiberbiztonsági hatósággal való együttműködés</t>
  </si>
  <si>
    <t xml:space="preserve">F-VHR-0106</t>
  </si>
  <si>
    <t xml:space="preserve">Besorolás és védelmi intézkedések adatainak megküldése</t>
  </si>
  <si>
    <t xml:space="preserve">Tv. 8. § (4) f); a Vhr. 8. § (2) a)–d) szerinti tartalommal.</t>
  </si>
  <si>
    <t xml:space="preserve">F-VHR-0111</t>
  </si>
  <si>
    <t xml:space="preserve">Jogutód</t>
  </si>
  <si>
    <t xml:space="preserve">Jogutódlás bejelentése</t>
  </si>
  <si>
    <t xml:space="preserve">Jogutódlással megszűnéskor.</t>
  </si>
  <si>
    <t xml:space="preserve">Változást követő 15 napon belül.</t>
  </si>
  <si>
    <t xml:space="preserve">F-VHR-0112</t>
  </si>
  <si>
    <t xml:space="preserve">Jogutód nélküli megszűnés bejelentése</t>
  </si>
  <si>
    <t xml:space="preserve">Jogutód nélküli megszűnéskor.</t>
  </si>
  <si>
    <t xml:space="preserve">Legkésőbb a megszűnés időpontjáig.</t>
  </si>
  <si>
    <t xml:space="preserve">F-VHR-0113</t>
  </si>
  <si>
    <t xml:space="preserve">Megszűnés hivatalbóli rögzítése a nyilvántartásban</t>
  </si>
  <si>
    <t xml:space="preserve">Ha tudomást szerez a jogutód nélküli megszűnésről.</t>
  </si>
  <si>
    <t xml:space="preserve">F-VHR-0115</t>
  </si>
  <si>
    <t xml:space="preserve">Kiberbiztonsági gyakorlat lefolytatása</t>
  </si>
  <si>
    <t xml:space="preserve">Vhr. 10. § (1) a)–c); önállóan vagy a Központ irányításával.</t>
  </si>
  <si>
    <t xml:space="preserve">Alapvető szervezetnél kétévente; továbbá központi vagy hatósági kötelezés alapján.</t>
  </si>
  <si>
    <t xml:space="preserve">Kiberbiztonsági gyakorlatok</t>
  </si>
  <si>
    <t xml:space="preserve">F-VHR-0120</t>
  </si>
  <si>
    <t xml:space="preserve">Közreműködők bevonása a kiberbiztonsági gyakorlatba</t>
  </si>
  <si>
    <t xml:space="preserve">Szükség szerint, az üzemeltetésben és szolgáltatásokban részt vevő közreműködők.</t>
  </si>
  <si>
    <t xml:space="preserve">F-VHR-0122</t>
  </si>
  <si>
    <t xml:space="preserve">Önálló gyakorlat értékelő beszámolójának megküldése</t>
  </si>
  <si>
    <t xml:space="preserve">A Központ módszertana szerint, legalább az előírt tartalommal.</t>
  </si>
  <si>
    <t xml:space="preserve">Gyakorlat lefolytatását követő 30 napon belül.</t>
  </si>
  <si>
    <t xml:space="preserve">F-VHR-0124</t>
  </si>
  <si>
    <t xml:space="preserve">Részvétel az elrendelt gyakorlaton</t>
  </si>
  <si>
    <t xml:space="preserve">Vhr. 10. § (1) b)–c) szerinti kötelezés esetén.</t>
  </si>
  <si>
    <t xml:space="preserve">F-VHR-0128</t>
  </si>
  <si>
    <t xml:space="preserve">Biztonsági felelős követelményeknek való megfelelésének ellenőrzése</t>
  </si>
  <si>
    <t xml:space="preserve">A kijelölést vagy megbízást megelőzően, illetve követően, az adott pont szerint.</t>
  </si>
  <si>
    <t xml:space="preserve">F-VHR-0129</t>
  </si>
  <si>
    <t xml:space="preserve">Biztonsági felelős bejelentése és igazoló dokumentumok megküldése</t>
  </si>
  <si>
    <t xml:space="preserve">F-VHR-0130</t>
  </si>
  <si>
    <t xml:space="preserve">Felelős személy megállapodásának és igazolásainak megküldése</t>
  </si>
  <si>
    <t xml:space="preserve">A hatóság számára releváns adatokra korlátozott szerződésmásolat és a felsorolt igazolások.</t>
  </si>
  <si>
    <t xml:space="preserve">F-VHR-0131</t>
  </si>
  <si>
    <t xml:space="preserve">Megállapodás kötelező tartalmának biztosítása</t>
  </si>
  <si>
    <t xml:space="preserve">Vhr. 11. § (4) a)–d) szerinti adatok, tárgy, jogok és kötelezettségek.</t>
  </si>
  <si>
    <t xml:space="preserve">F-VHR-0136</t>
  </si>
  <si>
    <t xml:space="preserve">Biztonsági felelős büntetlen előéletének igazolása</t>
  </si>
  <si>
    <t xml:space="preserve">A hatóság által meghatározott módon.</t>
  </si>
  <si>
    <t xml:space="preserve">F-VHR-0140</t>
  </si>
  <si>
    <t xml:space="preserve">Tevékenységek jogszabályi összhangjának biztosítása</t>
  </si>
  <si>
    <t xml:space="preserve">A Vhr. 1. § (2) szerinti körre alkalmazandó.</t>
  </si>
  <si>
    <t xml:space="preserve">F-VHR-0141</t>
  </si>
  <si>
    <t xml:space="preserve">Kockázatkezelési tevékenységek tervezése, szervezése, koordinálása, elvégzése és ellenőrzése</t>
  </si>
  <si>
    <t xml:space="preserve">F-VHR-0142</t>
  </si>
  <si>
    <t xml:space="preserve">IBSZ előkészítése és vezetői jóváhagyás után megküldése</t>
  </si>
  <si>
    <t xml:space="preserve">F-VHR-0143</t>
  </si>
  <si>
    <t xml:space="preserve">Biztonsági osztályba sorolás előkészítése</t>
  </si>
  <si>
    <t xml:space="preserve">F-VHR-0144</t>
  </si>
  <si>
    <t xml:space="preserve">Engedélyezési eljárások előkészítése és vezetői egyetértéssel kezdeményezése</t>
  </si>
  <si>
    <t xml:space="preserve">F-VHR-0145</t>
  </si>
  <si>
    <t xml:space="preserve">Előírt továbbképzések megtartása vagy megszervezése</t>
  </si>
  <si>
    <t xml:space="preserve">F-VHR-0146</t>
  </si>
  <si>
    <t xml:space="preserve">Szabályzatok és szerződések biztonsági véleményezése</t>
  </si>
  <si>
    <t xml:space="preserve">F-VHR-0147</t>
  </si>
  <si>
    <t xml:space="preserve">Folyamatos és tervezett ellenőrzések, írásbeli megállapítások</t>
  </si>
  <si>
    <t xml:space="preserve">F-VHR-0148</t>
  </si>
  <si>
    <t xml:space="preserve">Belső szabályzatok összhangjának felülvizsgálata</t>
  </si>
  <si>
    <t xml:space="preserve">F-VHR-0149</t>
  </si>
  <si>
    <t xml:space="preserve">Biztonsági helyzetértékelés készítése</t>
  </si>
  <si>
    <t xml:space="preserve">F-VHR-0150</t>
  </si>
  <si>
    <t xml:space="preserve">Intézkedési terv vizsgálata és előrehaladási beszámoló készítése</t>
  </si>
  <si>
    <t xml:space="preserve">Legalább évente.</t>
  </si>
  <si>
    <t xml:space="preserve">F-VHR-0151</t>
  </si>
  <si>
    <t xml:space="preserve">Kapcsolattartás a hatósággal és az incidenskezelő központtal</t>
  </si>
  <si>
    <t xml:space="preserve">F-VHR-0152</t>
  </si>
  <si>
    <t xml:space="preserve">Incidensről az előírt szerv tájékoztatása</t>
  </si>
  <si>
    <t xml:space="preserve">F-VHR-0153</t>
  </si>
  <si>
    <t xml:space="preserve">Együttműködés az ellenálló képességért felelős vezetőkkel</t>
  </si>
  <si>
    <t xml:space="preserve">F-VHR-0154</t>
  </si>
  <si>
    <t xml:space="preserve">Külső biztonsági felelős dokumentált helyszíni feladatellátása</t>
  </si>
  <si>
    <t xml:space="preserve">Ha a feladatot szervezeten kívüli személy végzi; Vhr. 1. § (2) szerinti kör.</t>
  </si>
  <si>
    <t xml:space="preserve">Alapvető: legalább kéthavonta egy nap; fontos: legalább háromhavonta egy nap.</t>
  </si>
  <si>
    <t xml:space="preserve">F-VHR-0156</t>
  </si>
  <si>
    <t xml:space="preserve">Fejlesztési szerződésben sérülékenységjavítási feltételek rögzítése</t>
  </si>
  <si>
    <t xml:space="preserve">EIR fejlesztése vagy továbbfejlesztése.</t>
  </si>
  <si>
    <t xml:space="preserve">Elektronikus információs rendszer fejlesztése, továbbfejlesztése esetén követendő eljárásrend</t>
  </si>
  <si>
    <t xml:space="preserve">F-VHR-0157</t>
  </si>
  <si>
    <t xml:space="preserve">Tervezési osztályozás és besorolás benyújtása indokolással</t>
  </si>
  <si>
    <t xml:space="preserve">Hatósági nyomtatványon, mellékletekkel együtt.</t>
  </si>
  <si>
    <t xml:space="preserve">F-VHR-0159</t>
  </si>
  <si>
    <t xml:space="preserve">Védelmi követelmények megvalósulásának biztosítása</t>
  </si>
  <si>
    <t xml:space="preserve">A fejlesztés során.</t>
  </si>
  <si>
    <t xml:space="preserve">F-VHR-0160</t>
  </si>
  <si>
    <t xml:space="preserve">Osztályozás és besorolás felülvizsgálata fejlesztés közben</t>
  </si>
  <si>
    <t xml:space="preserve">Kezelendő adatok körének vagy EIR kockázati környezetének változásakor.</t>
  </si>
  <si>
    <t xml:space="preserve">F-VHR-0164</t>
  </si>
  <si>
    <t xml:space="preserve">Felülvizsgált besorolás benyújtása jóváhagyásra</t>
  </si>
  <si>
    <t xml:space="preserve">A nemzeti kiberbiztonsági hatóságnak.</t>
  </si>
  <si>
    <t xml:space="preserve">F-VHR-0165</t>
  </si>
  <si>
    <t xml:space="preserve">Használati döntés hatósági jóváhagyásának kérelmezése</t>
  </si>
  <si>
    <t xml:space="preserve">Vhr. 14. §, hatósági nyomtatvány. A Tv. szerinti eljárási körrel együtt olvasandó.</t>
  </si>
  <si>
    <t xml:space="preserve">F-VHR-0166</t>
  </si>
  <si>
    <t xml:space="preserve">Védelmi intézkedések teljes dokumentációjának csatolása</t>
  </si>
  <si>
    <t xml:space="preserve">Vhr. 14. § (1) szerinti kérelemhez.</t>
  </si>
  <si>
    <t xml:space="preserve">F-VHR-0169</t>
  </si>
  <si>
    <t xml:space="preserve">EIR és kapcsolattartói adatok megküldése a központi szolgáltatónak</t>
  </si>
  <si>
    <t xml:space="preserve">Vhr. 15. § (1) a)–d) szerinti adatok.</t>
  </si>
  <si>
    <t xml:space="preserve">A központi rendszerek és a központi szolgáltatások esetén irányadó rendelkezések</t>
  </si>
  <si>
    <t xml:space="preserve">F-VHR-0177</t>
  </si>
  <si>
    <t xml:space="preserve">Központi rendszer felett rendelkezési jogot gyakorló szervezet vagy Központi szolgáltató</t>
  </si>
  <si>
    <t xml:space="preserve">Szolgáltatás minősülésének előzetes egyeztetése a hatósággal</t>
  </si>
  <si>
    <t xml:space="preserve">F-VHR-0178</t>
  </si>
  <si>
    <t xml:space="preserve">Szolgáltatást nyújtó</t>
  </si>
  <si>
    <t xml:space="preserve">Szolgáltatáskatalógusban minősülés és védelmi megfelelés rögzítése</t>
  </si>
  <si>
    <t xml:space="preserve">Vhr. 15. § (3) a)–c) szerinti tartalommal.</t>
  </si>
  <si>
    <t xml:space="preserve">F-VHR-0182</t>
  </si>
  <si>
    <t xml:space="preserve">Központi szolgáltatást közösen nyújtó szolgáltatók</t>
  </si>
  <si>
    <t xml:space="preserve">Felelősségi határok és védelmi intézkedések megállapodásba foglalása</t>
  </si>
  <si>
    <t xml:space="preserve">Több szolgáltató által együttesen nyújtott központi szolgáltatásnál.</t>
  </si>
  <si>
    <t xml:space="preserve">F-VHR-0212</t>
  </si>
  <si>
    <t xml:space="preserve">Megkeresett szervezet vagy szerv</t>
  </si>
  <si>
    <t xml:space="preserve">Hatóság által igényelt adatok térítésmentes biztosítása</t>
  </si>
  <si>
    <t xml:space="preserve">Vhr. 17. § (2) szerinti tényállástisztázó adatigénylés.</t>
  </si>
  <si>
    <t xml:space="preserve">A nemzeti kiberbiztonsági hatóságra vonatkozó általános rendelkezések</t>
  </si>
  <si>
    <t xml:space="preserve">F-VHR-0526</t>
  </si>
  <si>
    <t xml:space="preserve">Érintett szervezetek írásos tájékoztatása a sérülékenységvizsgálatról</t>
  </si>
  <si>
    <t xml:space="preserve">Vhr. 59. § (2) tartalommal; a tájékoztatás változásairól is.</t>
  </si>
  <si>
    <t xml:space="preserve">A sérülékenységvizsgálat lefolytatása</t>
  </si>
  <si>
    <t xml:space="preserve">F-VHR-0534</t>
  </si>
  <si>
    <t xml:space="preserve">Adatkezelő, illetve üzemeltetésben érintett szervezet</t>
  </si>
  <si>
    <t xml:space="preserve">Írásbeli hozzájáruló vagy tudomásul vevő nyilatkozat</t>
  </si>
  <si>
    <t xml:space="preserve">A Vhr. 59. § (3) a) és b) eltérő nyilatkozatai szerint.</t>
  </si>
  <si>
    <t xml:space="preserve">F-VHR-0538</t>
  </si>
  <si>
    <t xml:space="preserve">Vizsgálati tájékoztatás és nyilatkozatok bemutatása</t>
  </si>
  <si>
    <t xml:space="preserve">Hatóság kérésére.</t>
  </si>
  <si>
    <t xml:space="preserve">F-VHR-0539</t>
  </si>
  <si>
    <t xml:space="preserve">Üzemeltetésben érintett szervezet</t>
  </si>
  <si>
    <t xml:space="preserve">Vizsgálat akadályozásának tilalma és megfelelő hozzáférések biztosítása</t>
  </si>
  <si>
    <t xml:space="preserve">Sérülékenységvizsgálat lefolytatásához.</t>
  </si>
  <si>
    <t xml:space="preserve">F-VHR-0540</t>
  </si>
  <si>
    <t xml:space="preserve">EIR felett rendelkezési jogot gyakorló szervezet</t>
  </si>
  <si>
    <t xml:space="preserve">Vizsgálat akadályozásáról hatóság értesítése</t>
  </si>
  <si>
    <t xml:space="preserve">Ha a működésben érintett szervezet akadályozza a vizsgálatot.</t>
  </si>
  <si>
    <t xml:space="preserve">F-VHR-0542</t>
  </si>
  <si>
    <t xml:space="preserve">Vizsgálatot végző szerv</t>
  </si>
  <si>
    <t xml:space="preserve">Sérülékenységvizsgálati állásfoglalás megküldése</t>
  </si>
  <si>
    <t xml:space="preserve">A szervezet és a hatóság részére.</t>
  </si>
  <si>
    <t xml:space="preserve">Lezáráskor: 8 nap; jelentősen eltérő EIR esetén 21 nap.</t>
  </si>
  <si>
    <t xml:space="preserve">F-VHR-0568</t>
  </si>
  <si>
    <t xml:space="preserve">Kritikus vagy magas sérülékenységek javítása, kezelése vagy kockázatcsökkentése</t>
  </si>
  <si>
    <t xml:space="preserve">Vhr. 63. § (1) szerinti sérülékenység.</t>
  </si>
  <si>
    <t xml:space="preserve">Új EIR: használatbavételig. Egyéb: haladéktalanul, legfeljebb 30 nap az állásfoglalás kézhezvételétől.</t>
  </si>
  <si>
    <t xml:space="preserve">F-VHR-0571</t>
  </si>
  <si>
    <t xml:space="preserve">Rendszerhasználat felfüggesztésének mérlegelése</t>
  </si>
  <si>
    <t xml:space="preserve">Vhr. 63. § (1) b); vizsgálóval és hatósággal egyeztetés után.</t>
  </si>
  <si>
    <t xml:space="preserve">F-VHR-0573</t>
  </si>
  <si>
    <t xml:space="preserve">Sérülékenységkezelési terv készítése és megküldése</t>
  </si>
  <si>
    <t xml:space="preserve">Vhr. 63. § (5) szerinti tartalommal.</t>
  </si>
  <si>
    <t xml:space="preserve">Állásfoglalás kézhezvételét követő 30 napon belül.</t>
  </si>
  <si>
    <t xml:space="preserve">F-VHR-0578</t>
  </si>
  <si>
    <t xml:space="preserve">Kötelező utóvizsgálat kezdeményezése</t>
  </si>
  <si>
    <t xml:space="preserve">Kötelező utóvizsgálat esetén.</t>
  </si>
  <si>
    <t xml:space="preserve">Jóváhagyott sérülékenységkezelési terv utolsó határidejének letelte után.</t>
  </si>
  <si>
    <t xml:space="preserve">Az utóvizsgálat</t>
  </si>
  <si>
    <t xml:space="preserve">F-TV-0437</t>
  </si>
  <si>
    <t xml:space="preserve">Központi szolgáltató és felhasználó szervezet</t>
  </si>
  <si>
    <t xml:space="preserve">Direktfinanszírozási szerződés kötése</t>
  </si>
  <si>
    <t xml:space="preserve">Önkéntes igénybevételnél, illetve a Tv. 19. § (4) szerinti jogszabályi rendezés hiányában.</t>
  </si>
  <si>
    <t xml:space="preserve">F-VHR-0766</t>
  </si>
  <si>
    <t xml:space="preserve">Első incidensbejelentés benyújtása</t>
  </si>
  <si>
    <t xml:space="preserve">A Tv. 66. § és a Vhr. 77. § (1) 1. a)–n) pont szerinti tartalom, a (2)–(4) eltérésekkel.</t>
  </si>
  <si>
    <t xml:space="preserve">Indokolatlan késedelem nélkül, a tudomásszerzéstől legfeljebb 24 órán belül.</t>
  </si>
  <si>
    <t xml:space="preserve">A kiberbiztonsági incidensek bejelentése</t>
  </si>
  <si>
    <t xml:space="preserve">F-VHR-0781</t>
  </si>
  <si>
    <t xml:space="preserve">Fertőzöttségi mutatók benyújtása</t>
  </si>
  <si>
    <t xml:space="preserve">A Tv. 66. § szerinti bejelentés keretében.</t>
  </si>
  <si>
    <t xml:space="preserve">Amint rendelkezésre állnak.</t>
  </si>
  <si>
    <t xml:space="preserve">F-VHR-0782</t>
  </si>
  <si>
    <t xml:space="preserve">Eseménybejelentés és első incidensértékelés benyújtása</t>
  </si>
  <si>
    <t xml:space="preserve">A Tv. 66. § szerinti kör; bizalmi szolgáltatói eltérés: Vhr. 77. § (4).</t>
  </si>
  <si>
    <t xml:space="preserve">Indokolatlan késedelem nélkül, a tudomásszerzéstől legfeljebb 72 órán belül.</t>
  </si>
  <si>
    <t xml:space="preserve">F-VHR-0783</t>
  </si>
  <si>
    <t xml:space="preserve">Közbenső helyzetjelentés benyújtása</t>
  </si>
  <si>
    <t xml:space="preserve">A Központ kérésére.</t>
  </si>
  <si>
    <t xml:space="preserve">A rendelkezés külön határidőt nem rögzít.</t>
  </si>
  <si>
    <t xml:space="preserve">F-VHR-0784</t>
  </si>
  <si>
    <t xml:space="preserve">Zárójelentés benyújtása</t>
  </si>
  <si>
    <t xml:space="preserve">Vhr. 77. § (1) 5. a)–d) tartalommal; folyamatban lévő incidensnél a 6–7. pont eltér.</t>
  </si>
  <si>
    <t xml:space="preserve">Eseménybejelentés benyújtását követő legfeljebb egy hónapon belül.</t>
  </si>
  <si>
    <t xml:space="preserve">F-VHR-0789</t>
  </si>
  <si>
    <t xml:space="preserve">Jelentés az addigi eredményekről</t>
  </si>
  <si>
    <t xml:space="preserve">Ha a zárójelentés benyújtásakor még folyamatban van az incidens.</t>
  </si>
  <si>
    <t xml:space="preserve">A zárójelentés benyújtásának időpontjában.</t>
  </si>
  <si>
    <t xml:space="preserve">F-VHR-0790</t>
  </si>
  <si>
    <t xml:space="preserve">Folyamatban maradt incidens utólagos zárójelentése</t>
  </si>
  <si>
    <t xml:space="preserve">Vhr. 77. § (1) 6. pont szerinti eset.</t>
  </si>
  <si>
    <t xml:space="preserve">Az incidens kezelését követő egy hónapon belül.</t>
  </si>
  <si>
    <t xml:space="preserve">F-VHR-0793</t>
  </si>
  <si>
    <t xml:space="preserve">Bizalmi szolgáltató</t>
  </si>
  <si>
    <t xml:space="preserve">Bizalmi szolgáltatást érintő incidens eseménybejelentése</t>
  </si>
  <si>
    <t xml:space="preserve">Bizalmi szolgáltató; a bizalmi szolgáltatás nyújtását érintő incidens.</t>
  </si>
  <si>
    <t xml:space="preserve">F-VHR-0794</t>
  </si>
  <si>
    <t xml:space="preserve">Bejelentés az előírt elektronikus módon</t>
  </si>
  <si>
    <t xml:space="preserve">Ha az EIR sérülése miatt nem lehetséges, bármely más mód is megengedett.</t>
  </si>
  <si>
    <t xml:space="preserve">A vonatkozó bejelentési határidő szerint.</t>
  </si>
  <si>
    <t xml:space="preserve">F-VHR-0795</t>
  </si>
  <si>
    <t xml:space="preserve">Telefonos bejelentés is</t>
  </si>
  <si>
    <t xml:space="preserve">Jelentős vagy nagykiterjedésű incidens esetén.</t>
  </si>
  <si>
    <t xml:space="preserve">F-VHR-0800</t>
  </si>
  <si>
    <t xml:space="preserve">Szolgáltatást igénybe vevők értesítése az incidensről</t>
  </si>
  <si>
    <t xml:space="preserve">Valószínű hátrányos szolgáltatási hatás és az igénybe vevő részéről szükséges intézkedés esetén; térítésmentesen.</t>
  </si>
  <si>
    <t xml:space="preserve">Indokolatlan késedelem nélkül.</t>
  </si>
  <si>
    <t xml:space="preserve">Kiberbiztonsági incidensek kezelése és vizsgálata</t>
  </si>
  <si>
    <t xml:space="preserve">F-VHR-0801</t>
  </si>
  <si>
    <t xml:space="preserve">Igénybe vevők tájékoztatása a fenyegetést orvosló intézkedésekről</t>
  </si>
  <si>
    <t xml:space="preserve">Jelentős kiberfenyegetés által potenciálisan érintett igénybe vevők.</t>
  </si>
  <si>
    <t xml:space="preserve">Indokolatlan késedelem nélkül, vagy amint az információ rendelkezésre áll.</t>
  </si>
  <si>
    <t xml:space="preserve">F-VHR-0823</t>
  </si>
  <si>
    <t xml:space="preserve">Incidenskezelési műszaki adatok összegyűjtése és hozzáférhetővé tétele</t>
  </si>
  <si>
    <t xml:space="preserve">F-VHR-0824</t>
  </si>
  <si>
    <t xml:space="preserve">Központ hozzáférésének biztosítása az adatokhoz</t>
  </si>
  <si>
    <t xml:space="preserve">Ha a szervezet nem képes az adatok összegyűjtésére.</t>
  </si>
  <si>
    <t xml:space="preserve">F-VHR-0826</t>
  </si>
  <si>
    <t xml:space="preserve">Incidensfelszámoló intézkedések kidolgozása és végrehajtása</t>
  </si>
  <si>
    <t xml:space="preserve">A Központ támogatásával.</t>
  </si>
  <si>
    <t xml:space="preserve">F-VHR-0827</t>
  </si>
  <si>
    <t xml:space="preserve">Hatóság tájékoztatása az incidenskezelési tervről</t>
  </si>
  <si>
    <t xml:space="preserve">Feltárt hiányosságok megszüntetésére vonatkozó terv.</t>
  </si>
  <si>
    <t xml:space="preserve">A vizsgálatok lezárását követően.</t>
  </si>
  <si>
    <t xml:space="preserve">F-VHR-0828</t>
  </si>
  <si>
    <t xml:space="preserve">Kockázatelemzés és kockázatkezelés felülvizsgálata, szükséges módosítások</t>
  </si>
  <si>
    <t xml:space="preserve">Az incidens felszámolását követően.</t>
  </si>
  <si>
    <t xml:space="preserve">F-VHR-0815</t>
  </si>
  <si>
    <t xml:space="preserve">Bejelentéssel kapcsolatos információk átadása</t>
  </si>
  <si>
    <t xml:space="preserve">Vhr. 83. § (1) szerinti együttműködés; telepítésnél a (2) bekezdés korlátai is irányadók.</t>
  </si>
  <si>
    <t xml:space="preserve">F-VHR-0816</t>
  </si>
  <si>
    <t xml:space="preserve">Érintettek azonosításához szükséges technikai adatok átadása</t>
  </si>
  <si>
    <t xml:space="preserve">F-VHR-0817</t>
  </si>
  <si>
    <t xml:space="preserve">Vizsgálati adatok, eszközök és hiteles bitazonos másolatok rendelkezésre bocsátása</t>
  </si>
  <si>
    <t xml:space="preserve">F-VHR-0818</t>
  </si>
  <si>
    <t xml:space="preserve">Speciális ágazati infrastruktúra-sajátosságok megosztása</t>
  </si>
  <si>
    <t xml:space="preserve">F-VHR-0819</t>
  </si>
  <si>
    <t xml:space="preserve">Központ tájékoztatása az intézkedésekről és beállításokról</t>
  </si>
  <si>
    <t xml:space="preserve">F-VHR-0820</t>
  </si>
  <si>
    <t xml:space="preserve">Hozzáférés biztosítása az érintett infrastruktúrához</t>
  </si>
  <si>
    <t xml:space="preserve">F-VHR-0821</t>
  </si>
  <si>
    <t xml:space="preserve">Szükségesnek ítélt figyelmeztető és csapdarendszerek telepítése</t>
  </si>
  <si>
    <t xml:space="preserve">Jogok, lehetőségek és hatáskörök</t>
  </si>
  <si>
    <t xml:space="preserve">Jog / hatáskör röviden</t>
  </si>
  <si>
    <t xml:space="preserve">J-TV-0274</t>
  </si>
  <si>
    <t xml:space="preserve">Tanúsított IKT-termék vagy szolgáltatás alkalmazása megfelelés igazolására</t>
  </si>
  <si>
    <t xml:space="preserve">Ha rendelkezésre áll; nem azonos a 6. § (9) kötelező alkalmazási esetével.</t>
  </si>
  <si>
    <t xml:space="preserve">J-TV-0306</t>
  </si>
  <si>
    <t xml:space="preserve">Kiberbiztonsági információmegosztási megállapodás kötése</t>
  </si>
  <si>
    <t xml:space="preserve">Honvédelmi célú EIR-re vonatkozó információ kivételével; miniszteri részletszabály szerint.</t>
  </si>
  <si>
    <t xml:space="preserve">J-TV-0311</t>
  </si>
  <si>
    <t xml:space="preserve">Nem privát felhő vagy külföldi adatkezelés igénybevétele</t>
  </si>
  <si>
    <t xml:space="preserve">A 9. § (4) szerinti kör, adatosztályozás eredményére figyelemmel; más jogszabály tilalma vagy korlátozása mellett.</t>
  </si>
  <si>
    <t xml:space="preserve">J-TV-0338</t>
  </si>
  <si>
    <t xml:space="preserve">Titoktartási kötelezettség alóli felmentés adása</t>
  </si>
  <si>
    <t xml:space="preserve">A biztonságért felelős személy tekintetében.</t>
  </si>
  <si>
    <t xml:space="preserve">J-TV-0340</t>
  </si>
  <si>
    <t xml:space="preserve">Tájékoztatás kérése és szükséges adatok, dokumentumok megismerése</t>
  </si>
  <si>
    <t xml:space="preserve">A biztonsági követelmények teljesítésében közreműködőktől, a 11. § (9) szerinti körben.</t>
  </si>
  <si>
    <t xml:space="preserve">J-TV-0341</t>
  </si>
  <si>
    <t xml:space="preserve">Helyettes kijelölése vagy megbízása</t>
  </si>
  <si>
    <t xml:space="preserve">Indokolt esetben, tartós távollét vagy akadályoztatás kezelésére.</t>
  </si>
  <si>
    <t xml:space="preserve">J-TV-0342</t>
  </si>
  <si>
    <t xml:space="preserve">Információbiztonsági szervezeti egység létrehozása</t>
  </si>
  <si>
    <t xml:space="preserve">Ha a rendszerek száma, mérete vagy biztonsági igénye indokolja.</t>
  </si>
  <si>
    <t xml:space="preserve">J-TV-0347</t>
  </si>
  <si>
    <t xml:space="preserve">Büntetlen előélet vizsgálata és bűnügyi adat igénylése</t>
  </si>
  <si>
    <t xml:space="preserve">A felelős személy 11. § (3) a) szerinti követelménye ellenőrzésére.</t>
  </si>
  <si>
    <t xml:space="preserve">J-TV-0367</t>
  </si>
  <si>
    <t xml:space="preserve">Sérülékenységvizsgálat elrendelése</t>
  </si>
  <si>
    <t xml:space="preserve">Tv. 13. § szerinti fejlesztési eljárás során.</t>
  </si>
  <si>
    <t xml:space="preserve">J-TV-0381</t>
  </si>
  <si>
    <t xml:space="preserve">Kiberbiztonsági hatóság</t>
  </si>
  <si>
    <t xml:space="preserve">Tv. 14. § szerinti esetben, indokoltan.</t>
  </si>
  <si>
    <t xml:space="preserve">J-TV-0403</t>
  </si>
  <si>
    <t xml:space="preserve">Felhasználói követelmények végrehajtásának ellenőrzése</t>
  </si>
  <si>
    <t xml:space="preserve">Tv. 18. § (1) c) szerinti követelmények.</t>
  </si>
  <si>
    <t xml:space="preserve">J-TV-0418</t>
  </si>
  <si>
    <t xml:space="preserve">Központi rendszer követelményeinek ellenőrzése</t>
  </si>
  <si>
    <t xml:space="preserve">Mind a szolgáltatónál, mind a felhasználónál.</t>
  </si>
  <si>
    <t xml:space="preserve">J-TV-0939</t>
  </si>
  <si>
    <t xml:space="preserve">Prevenciós eszközök alkalmazásának kezdeményezése</t>
  </si>
  <si>
    <t xml:space="preserve">Tv. 1. § (1) szerinti kör; saját költségen; a központ mérlegelésével.</t>
  </si>
  <si>
    <t xml:space="preserve">J-TV-0942</t>
  </si>
  <si>
    <t xml:space="preserve">Fenyegetettségi információmegosztó rendszerhez csatlakozás kezdeményezése</t>
  </si>
  <si>
    <t xml:space="preserve">Tv. 1. § (1) a)–c) szerinti kör; központi hozzájárulás szükséges.</t>
  </si>
  <si>
    <t xml:space="preserve">J-TV-0949</t>
  </si>
  <si>
    <t xml:space="preserve">Küszöböt el nem érő incidens önkéntes bejelentése</t>
  </si>
  <si>
    <t xml:space="preserve">Tv. 1. § (1) d)–e), a 66. § (2) alá nem eső incidens.</t>
  </si>
  <si>
    <t xml:space="preserve">J-TV-0953</t>
  </si>
  <si>
    <t xml:space="preserve">Tv. 1. § (10) hatályán kívüli szervezet vagy személy</t>
  </si>
  <si>
    <t xml:space="preserve">Önkéntes eseménybejelentés</t>
  </si>
  <si>
    <t xml:space="preserve">A magyar kibertér biztonságára jelentős hatással bíró vagy bíróvá válható esemény.</t>
  </si>
  <si>
    <t xml:space="preserve">J-TV-0956</t>
  </si>
  <si>
    <t xml:space="preserve">Önkéntes bejelentő</t>
  </si>
  <si>
    <t xml:space="preserve">Védelem az önkéntes bejelentés miatti új kötelezettség előírásával szemben</t>
  </si>
  <si>
    <t xml:space="preserve">Olyan kötelezettség nem írható elő, amely bejelentés nélkül nem vonatkozott volna rá.</t>
  </si>
  <si>
    <t xml:space="preserve">J-VHR-0090</t>
  </si>
  <si>
    <t xml:space="preserve">Döntés külföldi adatkezelés vagy nem privát felhő mellett</t>
  </si>
  <si>
    <t xml:space="preserve">Tv. 1. § (1) a) szerinti kör; az elemzés és kilépési terv alapján megalapozott előny szükséges.</t>
  </si>
  <si>
    <t xml:space="preserve">J-VHR-0121</t>
  </si>
  <si>
    <t xml:space="preserve">Közreműködő igénybevétele önálló gyakorlathoz</t>
  </si>
  <si>
    <t xml:space="preserve">A Központ honlapján közzétett módszertan szerinti gyakorlat.</t>
  </si>
  <si>
    <t xml:space="preserve">J-VHR-0137</t>
  </si>
  <si>
    <t xml:space="preserve">Büntetlen előélet ismételt igazolására kötelezés</t>
  </si>
  <si>
    <t xml:space="preserve">A biztonsági felelős szervezettel fennálló jogviszonya alatt.</t>
  </si>
  <si>
    <t xml:space="preserve">J-VHR-0138</t>
  </si>
  <si>
    <t xml:space="preserve">Hatóság előtti képviselet</t>
  </si>
  <si>
    <t xml:space="preserve">Nyilvántartásba vételtől a képviseleti jog megszűnésének bejelentéséig vagy hivatalbóli törlésig.</t>
  </si>
  <si>
    <t xml:space="preserve">J-VHR-0158</t>
  </si>
  <si>
    <t xml:space="preserve">Adatosztályozás és besorolás felülbírálata</t>
  </si>
  <si>
    <t xml:space="preserve">Indokolt esetben magasabb vagy alacsonyabb besorolás.</t>
  </si>
  <si>
    <t xml:space="preserve">J-VHR-0565</t>
  </si>
  <si>
    <t xml:space="preserve">Észrevétel a vizsgálati állásfoglalás tervezetére</t>
  </si>
  <si>
    <t xml:space="preserve">Alapdokumentum eltérő rendelkezése hiányában egyszer, 8 napon belül; a vélemény elfogadásáról a vizsgáló dönt.</t>
  </si>
  <si>
    <t xml:space="preserve">J-VHR-0572</t>
  </si>
  <si>
    <t xml:space="preserve">Alacsony besorolású sérülékenység felvállalása</t>
  </si>
  <si>
    <t xml:space="preserve">A vizsgálati módszertan szerinti alacsony besorolás; indokolási kötelezettség nélkül.</t>
  </si>
  <si>
    <t xml:space="preserve">J-VHR-0579</t>
  </si>
  <si>
    <t xml:space="preserve">Utóvizsgálat saját kezdeményezése</t>
  </si>
  <si>
    <t xml:space="preserve">A még meg nem küldött sérülékenységkezelési tervet egyidejűleg meg kell küldeni.</t>
  </si>
  <si>
    <t xml:space="preserve">J-VHR-0193</t>
  </si>
  <si>
    <t xml:space="preserve">Besorolás, védelmi intézkedések és eljárási szabályok ellenőrzése</t>
  </si>
  <si>
    <t xml:space="preserve">Vhr. 17. § (1) adott pontja szerinti feltételekkel és kivételekkel.</t>
  </si>
  <si>
    <t xml:space="preserve">J-VHR-0194</t>
  </si>
  <si>
    <t xml:space="preserve">Minimális védelmi intézkedések meghatározása</t>
  </si>
  <si>
    <t xml:space="preserve">J-VHR-0195</t>
  </si>
  <si>
    <t xml:space="preserve">További biztonsági követelmények meghatározása</t>
  </si>
  <si>
    <t xml:space="preserve">J-VHR-0196</t>
  </si>
  <si>
    <t xml:space="preserve">Tájékoztatás kérése kockázatkezelésről és bejelentésekről</t>
  </si>
  <si>
    <t xml:space="preserve">J-VHR-0197</t>
  </si>
  <si>
    <t xml:space="preserve">Auditbizonyítékok bekérése, hozzáférés és felülvizsgálat</t>
  </si>
  <si>
    <t xml:space="preserve">J-VHR-0198</t>
  </si>
  <si>
    <t xml:space="preserve">Rendszeres, eseti és célzott biztonsági ellenőrzés</t>
  </si>
  <si>
    <t xml:space="preserve">J-VHR-0199</t>
  </si>
  <si>
    <t xml:space="preserve">Felügyeleti adatokhoz hozzáférés, bekérés és felülvizsgálat elrendelése</t>
  </si>
  <si>
    <t xml:space="preserve">J-VHR-0200</t>
  </si>
  <si>
    <t xml:space="preserve">Független értékelő igénybevétele és jelentések figyelembevétele</t>
  </si>
  <si>
    <t xml:space="preserve">J-VHR-0201</t>
  </si>
  <si>
    <t xml:space="preserve">Biztonsági tanúsítványok figyelembevétele</t>
  </si>
  <si>
    <t xml:space="preserve">J-VHR-0202</t>
  </si>
  <si>
    <t xml:space="preserve">Uniós követelmények megfelelésének elismerése a miniszteri követelményekhez</t>
  </si>
  <si>
    <t xml:space="preserve">J-VHR-0203</t>
  </si>
  <si>
    <t xml:space="preserve">Hiányosságmegszüntető intézkedések elrendelése és ellenőrzése</t>
  </si>
  <si>
    <t xml:space="preserve">J-VHR-0204</t>
  </si>
  <si>
    <t xml:space="preserve">Szabványra, tanúsított termékre és bizalmi szolgáltatásra iránymutatás</t>
  </si>
  <si>
    <t xml:space="preserve">J-VHR-0205</t>
  </si>
  <si>
    <t xml:space="preserve">Használati jóváhagyáskor helyszíni ellenőrzés és sérülékenységvizsgálat</t>
  </si>
  <si>
    <t xml:space="preserve">J-VHR-0206</t>
  </si>
  <si>
    <t xml:space="preserve">Központi megkeresésre sérülékenységkezelés elrendelése</t>
  </si>
  <si>
    <t xml:space="preserve">J-VHR-0799</t>
  </si>
  <si>
    <t xml:space="preserve">Technikai támogatás kérése a Központtól</t>
  </si>
  <si>
    <t xml:space="preserve">Az érintett szervezet kérésére a Központ technikai támogatást nyújt.</t>
  </si>
  <si>
    <t xml:space="preserve">J-VHR-0834</t>
  </si>
  <si>
    <t xml:space="preserve">Nemzeti kiberbiztonsági incidenskezelő központ</t>
  </si>
  <si>
    <t xml:space="preserve">Közvetítő szolgáltató folytonossági szabályzatainak megismerése</t>
  </si>
  <si>
    <t xml:space="preserve">Incidenskezelés során, szükség szerint; BCP és DRP is ideértve.</t>
  </si>
  <si>
    <t xml:space="preserve">Szó szerinti meghatározások. Más jogszabályra utaló definíciókat nem egészítettem ki külső tartalommal.</t>
  </si>
  <si>
    <t xml:space="preserve">Fogalom</t>
  </si>
  <si>
    <t xml:space="preserve">Meghatározás</t>
  </si>
  <si>
    <t xml:space="preserve">FOG-TV-S0094</t>
  </si>
  <si>
    <t xml:space="preserve">adat</t>
  </si>
  <si>
    <t xml:space="preserve">az információ hordozója, a tények, fogalmak vagy utasítások formalizált ábrázolása, amely az emberek vagy automatikus eszközök számára közlésre, megjelenítésre vagy feldolgozásra alkalmas;</t>
  </si>
  <si>
    <t xml:space="preserve">FOG-TV-S0095</t>
  </si>
  <si>
    <t xml:space="preserve">adatfeldolgozás</t>
  </si>
  <si>
    <t xml:space="preserve">az információs önrendelkezési jogról és az információszabadságról szóló törvény szerinti fogalom;</t>
  </si>
  <si>
    <t xml:space="preserve">FOG-TV-S0096</t>
  </si>
  <si>
    <t xml:space="preserve">adatfeldolgozó</t>
  </si>
  <si>
    <t xml:space="preserve">FOG-TV-S0097</t>
  </si>
  <si>
    <t xml:space="preserve">adatkezelés</t>
  </si>
  <si>
    <t xml:space="preserve">FOG-TV-S0098</t>
  </si>
  <si>
    <t xml:space="preserve">adatkezelő</t>
  </si>
  <si>
    <t xml:space="preserve">FOG-TV-S0099</t>
  </si>
  <si>
    <t xml:space="preserve">adatkicserélő szolgáltatás</t>
  </si>
  <si>
    <t xml:space="preserve">az elektronikus hírközlésről szóló törvény szerinti fogalom;</t>
  </si>
  <si>
    <t xml:space="preserve">FOG-TV-S0100</t>
  </si>
  <si>
    <t xml:space="preserve">adatközponti szolgáltatás</t>
  </si>
  <si>
    <t xml:space="preserve">olyan szolgáltatás, amely központosított elhelyezést, összeköttetést és működést biztosít adattároló, -feldolgozó és -továbbító információtechnológiai és hálózati berendezések számára, ideértve az energiaellátást és környezeti felügyeletet biztosító létesítményeket és infrastruktúrát is;</t>
  </si>
  <si>
    <t xml:space="preserve">FOG-TV-S0101</t>
  </si>
  <si>
    <t xml:space="preserve">adatosztályozás</t>
  </si>
  <si>
    <t xml:space="preserve">a szervezet által az elektronikus információs rendszerben kezelt adatok és információk biztonsági besorolása azok bizalmasságának, sértetlenségének és rendelkezésre állásának szempontjából;</t>
  </si>
  <si>
    <t xml:space="preserve">FOG-TV-S0102</t>
  </si>
  <si>
    <t xml:space="preserve">ágazaton belüli kiberbiztonsági incidenskezelő központ</t>
  </si>
  <si>
    <t xml:space="preserve">olyan kiberbiztonsági incidenskezelő központ, amelyet az e törvény hatálya alá tartozó egy vagy több, egy ágazathoz tartozó szervezet az ágazaton belül meghatározott szakterületen előforduló kiberbiztonsági incidenseinek a központosított és egységes kezelése érdekében üzemeltet;</t>
  </si>
  <si>
    <t xml:space="preserve">FOG-TV-S0103</t>
  </si>
  <si>
    <t xml:space="preserve">auditor</t>
  </si>
  <si>
    <t xml:space="preserve">az e törvény szerinti kiberbiztonsági audittevékenység végzésére jogosult, független gazdálkodó szervezet;</t>
  </si>
  <si>
    <t xml:space="preserve">FOG-TV-S0104</t>
  </si>
  <si>
    <t xml:space="preserve">behatolásvizsgálat</t>
  </si>
  <si>
    <t xml:space="preserve">olyan sérülékenységvizsgálati módszer, amelynek során az IKT-rendszer, valamint az elektronikus információs rendszer gyenge pontjainak feltárására és kihasználhatóságának ellenőrzésére kerül sor a biztonsági intézkedések elleni rosszindulatú támadások szimulációjával;</t>
  </si>
  <si>
    <t xml:space="preserve">FOG-TV-S0105</t>
  </si>
  <si>
    <t xml:space="preserve">belső informatikai biztonsági vizsgálat</t>
  </si>
  <si>
    <t xml:space="preserve">olyan sérülékenységvizsgálati módszer, amelynek során az informatikai rendszer sérülékenységvizsgálata a belső hálózati végpontról közvetlenül történik, vagy a belső hálózatban használt eszköz, vagy rendszerelem vizsgálata kerül végrehajtásra;</t>
  </si>
  <si>
    <t xml:space="preserve">FOG-TV-S0106</t>
  </si>
  <si>
    <t xml:space="preserve">bizalmasság</t>
  </si>
  <si>
    <t xml:space="preserve">az elektronikus információs rendszer azon tulajdonsága, hogy a benne tárolt adatot, információt csak az arra jogosultak és csak a jogosultságuk szintje szerint ismerhetik meg, használhatják fel, illetve rendelkezhetnek a felhasználásáról;</t>
  </si>
  <si>
    <t xml:space="preserve">FOG-TV-S0107</t>
  </si>
  <si>
    <t xml:space="preserve">bizalmi szolgáltatás</t>
  </si>
  <si>
    <t xml:space="preserve">a digitális államról és a digitális szolgáltatások nyújtásának egyes szabályairól szóló törvény szerinti fogalom;</t>
  </si>
  <si>
    <t xml:space="preserve">FOG-TV-S0108</t>
  </si>
  <si>
    <t xml:space="preserve">bizalmi szolgáltató</t>
  </si>
  <si>
    <t xml:space="preserve">FOG-TV-S0109</t>
  </si>
  <si>
    <t xml:space="preserve">biztonsági osztály</t>
  </si>
  <si>
    <t xml:space="preserve">az elektronikus információs rendszer védelmének elvárt erőssége;</t>
  </si>
  <si>
    <t xml:space="preserve">FOG-TV-S0110</t>
  </si>
  <si>
    <t xml:space="preserve">biztonsági osztályba sorolás</t>
  </si>
  <si>
    <t xml:space="preserve">a kockázatok alapján az elektronikus információs rendszer védelme elvárt erősségének meghatározása;</t>
  </si>
  <si>
    <t xml:space="preserve">FOG-TV-S0111</t>
  </si>
  <si>
    <t xml:space="preserve">digitális szolgáltatás</t>
  </si>
  <si>
    <t xml:space="preserve">FOG-TV-S0112</t>
  </si>
  <si>
    <t xml:space="preserve">DNS</t>
  </si>
  <si>
    <t xml:space="preserve">hierarchikusan felépülő elnevezési rendszer, más néven doménnévrendszer, amely lehetővé teszi az internetes szolgáltatások és erőforrások azonosítását, lehetővé téve a végfelhasználók eszközei számára az internetes útvonal-meghatározási és összekapcsolási szolgáltatások igénybevételét e szolgáltatások és erőforrások elérése érdekében;</t>
  </si>
  <si>
    <t xml:space="preserve">FOG-TV-S0113</t>
  </si>
  <si>
    <t xml:space="preserve">DNS-szolgáltató</t>
  </si>
  <si>
    <t xml:space="preserve">olyan szervezet, amely a következő szolgáltatások valamelyikét nyújtja a szervezeten kívüli más szervezet vagy személy részére:
a) autoritatív DNS-szolgáltatás: a doménnév – doménnév-regisztrációt végző szolgáltató által kezelt – adatainak lekérdezését közvetlenül lehetővé tevő szolgáltatás, amely a legfelső szintű doménnév- nyilvántartó szolgáltatás része,
b) rekurzív DNS-szolgáltatás: olyan DNS-szolgáltatás, amely a felhasználók doménnév-lekérdezéseit a megfelelő autoritatív DNS-szolgáltatókhoz továbbítja a hierarchikusan felépülő doménnévrendszerben és az autoritatív DNS-szolgáltató által a lekérdezésre adott válaszokat továbbítja a felhasználó részére,
c) DNS-gyorsítótárazás: a doménnév-lekérdezésre adott válaszok átmeneti tárolása és a felhasználói lekérdezéseknek a tárolt doménnévadatok alapján történő kiszolgálása,</t>
  </si>
  <si>
    <t xml:space="preserve">FOG-TV-S0117</t>
  </si>
  <si>
    <t xml:space="preserve">doménnév</t>
  </si>
  <si>
    <t xml:space="preserve">az internetes kommunikációhoz használt IP-cím alfanumerikus karakterekből álló megfelelője,</t>
  </si>
  <si>
    <t xml:space="preserve">FOG-TV-S0118</t>
  </si>
  <si>
    <t xml:space="preserve">doménnév-regisztrációt végző szolgáltató</t>
  </si>
  <si>
    <t xml:space="preserve">a legfelső szintű doménnév-nyilvántartó által felhatalmazott szolgáltató, amely jogosult domén regisztrálására;</t>
  </si>
  <si>
    <t xml:space="preserve">FOG-TV-S0119</t>
  </si>
  <si>
    <t xml:space="preserve">elektronikus hírközlési szolgáltató</t>
  </si>
  <si>
    <t xml:space="preserve">FOG-TV-S0120</t>
  </si>
  <si>
    <t xml:space="preserve">elektronikus információs rendszer</t>
  </si>
  <si>
    <t xml:space="preserve">
a) az elektronikus hírközlésről szóló törvény szerinti elektronikus hírközlési hálózat,
b) minden olyan eszköz vagy egymással összekapcsolt vagy kapcsolatban álló eszközök csoportja, amelyek közül egy vagy több valamely program alapján digitális adatok automatizált kezelését végzi, ideértve a kiber-fizikai rendszereket, vagy
c) az a) és b) alpontban szereplő elemek által működésük, használatuk, védelmük és karbantartásuk céljából tárolt, kezelt, visszakeresett vagy továbbított digitális adatok;</t>
  </si>
  <si>
    <t xml:space="preserve">FOG-TV-S0124</t>
  </si>
  <si>
    <t xml:space="preserve">elektronikus információs rendszer biztonsága</t>
  </si>
  <si>
    <t xml:space="preserve">az elektronikus információs rendszerek azon képessége, hogy adott bizonyossággal ellenálljanak minden olyan eseménynek, amely veszélyeztetheti a rajtuk tárolt, továbbított vagy kezelt adatok vagy az említett hálózati és információs rendszerek által kínált vagy azokon keresztül elérhető szolgáltatások rendelkezésre állását, sértetlenségét vagy bizalmasságát;</t>
  </si>
  <si>
    <t xml:space="preserve">FOG-TV-S0125</t>
  </si>
  <si>
    <t xml:space="preserve">életciklus</t>
  </si>
  <si>
    <t xml:space="preserve">az elektronikus információs rendszer tervezését, fejlesztését, üzemeltetését és megszüntetését magába foglaló időtartam;</t>
  </si>
  <si>
    <t xml:space="preserve">FOG-TV-S0126</t>
  </si>
  <si>
    <t xml:space="preserve">esemény</t>
  </si>
  <si>
    <t xml:space="preserve">az elektronikus információs rendszerben bekövetkezett állapotváltozás;</t>
  </si>
  <si>
    <t xml:space="preserve">FOG-TV-S0127</t>
  </si>
  <si>
    <t xml:space="preserve">európai kiberbiztonsági tanúsítási rendszer</t>
  </si>
  <si>
    <t xml:space="preserve">az (EU) 2019/881 európai parlamenti és tanácsi rendelet 2. cikk 9. pontja szerinti fogalom;</t>
  </si>
  <si>
    <t xml:space="preserve">FOG-TV-S0128</t>
  </si>
  <si>
    <t xml:space="preserve">felhasználó szervezet</t>
  </si>
  <si>
    <t xml:space="preserve">központi rendszert vagy központi szolgáltatást igénybe vevő szervezet;</t>
  </si>
  <si>
    <t xml:space="preserve">FOG-TV-S0129</t>
  </si>
  <si>
    <t xml:space="preserve">felhőszolgáltatás</t>
  </si>
  <si>
    <t xml:space="preserve">olyan digitális szolgáltatás, amely önkiszolgáló módon történő hálózati hozzáférést tesz lehetővé igény szerint méretezhető, megosztott fizikai vagy virtuális erőforrások rugalmas készletéhez;</t>
  </si>
  <si>
    <t xml:space="preserve">FOG-TV-S0130</t>
  </si>
  <si>
    <t xml:space="preserve">felhőszolgáltató</t>
  </si>
  <si>
    <t xml:space="preserve">felhőalapú számítástechnikai szolgáltatást nyújtó szervezet;</t>
  </si>
  <si>
    <t xml:space="preserve">FOG-TV-S0131</t>
  </si>
  <si>
    <t xml:space="preserve">gazdálkodó szervezet</t>
  </si>
  <si>
    <t xml:space="preserve">a polgári perrendtartásról szóló törvény szerinti fogalom;</t>
  </si>
  <si>
    <t xml:space="preserve">FOG-TV-S0132</t>
  </si>
  <si>
    <t xml:space="preserve">gyártó</t>
  </si>
  <si>
    <t xml:space="preserve">az IKT-termék gyártója, IKT-szolgáltatás nyújtója, valamint IKT-folyamat gyártója vagy nyújtója;</t>
  </si>
  <si>
    <t xml:space="preserve">FOG-TV-S0133</t>
  </si>
  <si>
    <t xml:space="preserve">használatbavétel</t>
  </si>
  <si>
    <t xml:space="preserve">az elektronikus információs rendszer adatokkal való feltöltése és rendeltetésszerű használatának megkezdése;</t>
  </si>
  <si>
    <t xml:space="preserve">FOG-TV-S0134</t>
  </si>
  <si>
    <t xml:space="preserve">honvédelmi célú elektronikus információs rendszer</t>
  </si>
  <si>
    <t xml:space="preserve">
a) a honvédelmi szervezetek, a honvédelemért felelős miniszter fenntartói irányítása alá tartozó, honvédségi szervezetnek nem minősülő többcélú szakképző intézmény, a honvédelemért felelős miniszter tulajdonosi joggyakorlása alá tartozó gazdasági társaságok, valamint jogszabály szerint a honvédelmi érdekhez kapcsolódó tevékenységet folytató gazdasági társaságok elektronikus információs rendszereinek összessége, amely ágazatspecifikus módon támogatja a honvédelmi ágazaton belüli és ágazatok közötti működést,
b) az ország védelme és biztonsága szempontjából jelentős honvédelmi ágazaton belüli szervezet és infrastruktúra elektronikus információs rendszerei,
c) az ország védelme és biztonsága szempontjából jelentős kettős kijelöléssel nem érintett szervezet és infrastruktúra elektronikus információs rendszerei, valamint
d) a honvédelmi kiberbiztonsági hatóság által alapvető vagy fontos szervezetként azonosított szervezet elektronikus információs rendszere;</t>
  </si>
  <si>
    <t xml:space="preserve">FOG-TV-S0139</t>
  </si>
  <si>
    <t xml:space="preserve">honvédelmi kiberbiztonsági incidenskezelő központ</t>
  </si>
  <si>
    <t xml:space="preserve">a 63. § (2) bekezdése szerint kijelölt szerv;</t>
  </si>
  <si>
    <t xml:space="preserve">FOG-TV-S0140</t>
  </si>
  <si>
    <t xml:space="preserve">ideiglenes hozzáférhetetlenné tétel</t>
  </si>
  <si>
    <t xml:space="preserve">az elektronikus adathoz való hozzáférés ideiglenes megakadályozása;</t>
  </si>
  <si>
    <t xml:space="preserve">FOG-TV-S0141</t>
  </si>
  <si>
    <t xml:space="preserve">IKT-folyamat</t>
  </si>
  <si>
    <t xml:space="preserve">az (EU) 2019/881 európai parlamenti és tanácsi rendelet 2. cikk 14. pontjában meghatározott fogalom;</t>
  </si>
  <si>
    <t xml:space="preserve">FOG-TV-S0142</t>
  </si>
  <si>
    <t xml:space="preserve">IKT-szolgáltatás</t>
  </si>
  <si>
    <t xml:space="preserve">az (EU) 2019/881 európai parlamenti és tanácsi rendelet 2. cikk 13. pontjában meghatározott fogalom;</t>
  </si>
  <si>
    <t xml:space="preserve">FOG-TV-S0143</t>
  </si>
  <si>
    <t xml:space="preserve">IKT-termék</t>
  </si>
  <si>
    <t xml:space="preserve">az (EU) 2019/881 európai parlamenti és tanácsi rendelet 2. cikk 12. pontjában meghatározott fogalom;</t>
  </si>
  <si>
    <t xml:space="preserve">FOG-TV-S0144</t>
  </si>
  <si>
    <t xml:space="preserve">jelentős kiberbiztonsági incidens</t>
  </si>
  <si>
    <t xml:space="preserve">
a) a közvetlenül alkalmazandó európai uniós jogi aktusban ekként meghatározott kiberbiztonsági incidens,
b) közvetlenül alkalmazandó európai uniós jogi aktus hiányában az olyan kiberbiztonsági incidens, amely
ba) a szervezet üzleti szolgáltatásának vagy a szervezet által nyújtott szolgáltatásnak legalább 5%-os csökkenésével vagy a szervezet éves bevételének legalább 5%-os kiesésével jár vagy fenyeget;
bb) súlyos működési zavart okoz vagy képes okozni a szolgáltatásokban, vagy pénzügyi vagy reputációs veszteséget okoz vagy képes okozni a kiberbiztonsági incidens által érintett szervezetnek vagy személynek; vagy
bc) jelentős vagyoni vagy nem vagyoni kár okozásával más természetes vagy jogi személyeket érintett, vagy képes érinteni;</t>
  </si>
  <si>
    <t xml:space="preserve">FOG-TV-S0150</t>
  </si>
  <si>
    <t xml:space="preserve">jelentős kiberfenyegetés</t>
  </si>
  <si>
    <t xml:space="preserve">olyan kiberfenyegetés, amelyről – technikai jellemzői alapján – feltételezhető, hogy jelentős vagyoni vagy nem vagyoni hátrányt vagy kárt okozva súlyos hatást gyakorolhat egy szervezet elektronikus információs rendszereire vagy a szervezet szolgáltatásainak felhasználóira;</t>
  </si>
  <si>
    <t xml:space="preserve">FOG-TV-S0151</t>
  </si>
  <si>
    <t xml:space="preserve">képviselő</t>
  </si>
  <si>
    <t xml:space="preserve">Magyarországon letelepedett minden olyan természetes vagy jogi személy, akit vagy amelyet kifejezetten kijelöltek arra, hogy valamely, Magyarországon nem letelepedett szervezet nevében eljárjon, és akihez vagy amelyhez a kiberbiztonsági hatóság, vagy a kiberbiztonsági incidenskezelő központ az adott szervezet helyett fordulhat;</t>
  </si>
  <si>
    <t xml:space="preserve">FOG-TV-S0152</t>
  </si>
  <si>
    <t xml:space="preserve">kiberbiztonság</t>
  </si>
  <si>
    <t xml:space="preserve">az (EU) 2019/881 európai parlamenti és tanácsi rendelet 2. cikk 1. pontjában meghatározott fogalom;</t>
  </si>
  <si>
    <t xml:space="preserve">FOG-TV-S0153</t>
  </si>
  <si>
    <t xml:space="preserve">kiberbiztonsági audit</t>
  </si>
  <si>
    <t xml:space="preserve">az elektronikus információs rendszerek biztonsági osztályba sorolása, valamint a biztonsági osztályba sorolás szerinti védelmi intézkedések megfelelőségének ellenőrzése;</t>
  </si>
  <si>
    <t xml:space="preserve">FOG-TV-S0154</t>
  </si>
  <si>
    <t xml:space="preserve">kiberbiztonsági hatóság</t>
  </si>
  <si>
    <t xml:space="preserve">a 23. § (1) bekezdés a) és b) pontja, valamint (2) bekezdése szerinti hatóság;</t>
  </si>
  <si>
    <t xml:space="preserve">FOG-TV-S0155</t>
  </si>
  <si>
    <t xml:space="preserve">kiberbiztonsági incidens</t>
  </si>
  <si>
    <t xml:space="preserve">olyan esemény, amely veszélyezteti az elektronikus információs rendszereken tárolt, továbbított vagy kezelt adatok vagy az e rendszerek által kínált vagy azokon keresztül elérhető szolgáltatások rendelkezésre állását, sértetlenségét vagy bizalmasságát;</t>
  </si>
  <si>
    <t xml:space="preserve">FOG-TV-S0156</t>
  </si>
  <si>
    <t xml:space="preserve">kiberbiztonsági incidenskezelés</t>
  </si>
  <si>
    <t xml:space="preserve">minden olyan tevékenység és eljárás, amelynek célja a kiberbiztonsági incidens megelőzése, észlelése, elemzése és elszigetelése vagy a kiberbiztonsági incidensre való reagálás és a kiberbiztonsági incidenst követően a működés helyreállítása;</t>
  </si>
  <si>
    <t xml:space="preserve">FOG-TV-S0157</t>
  </si>
  <si>
    <t xml:space="preserve">kiberbiztonsági incidenskezelő központ</t>
  </si>
  <si>
    <t xml:space="preserve">a 63. § (1) és (2) bekezdése szerinti szerv;</t>
  </si>
  <si>
    <t xml:space="preserve">FOG-TV-S0158</t>
  </si>
  <si>
    <t xml:space="preserve">kiberbiztonsági incidensközeli helyzet</t>
  </si>
  <si>
    <t xml:space="preserve">olyan esemény, amely veszélyeztethette volna az elektronikus információs rendszereken tárolt, továbbított vagy kezelt adatok vagy az e rendszerek által kínált vagy azokon keresztül elérhető szolgáltatások rendelkezésre állását, sértetlenségét vagy bizalmasságát, de amelynek bekövetkezését sikerült megakadályozni, vagy amely nem következett be;</t>
  </si>
  <si>
    <t xml:space="preserve">FOG-TV-S0159</t>
  </si>
  <si>
    <t xml:space="preserve">kiberfenyegetés</t>
  </si>
  <si>
    <t xml:space="preserve">az (EU) 2019/881 európai parlamenti és tanácsi rendelet 2. cikk 8. pontjában meghatározott fogalom;</t>
  </si>
  <si>
    <t xml:space="preserve">FOG-TV-S0160</t>
  </si>
  <si>
    <t xml:space="preserve">kiber-fizikai rendszer</t>
  </si>
  <si>
    <t xml:space="preserve">olyan programozható elektronikus információs rendszerek, amelyek kölcsönhatásba lépnek a fizikai környezettel vagy kezelik a fizikai környezettel kölcsönhatásba lépő eszközöket. Ezek az elektronikus információs rendszerek közvetlenül fizikai változást érzékelnek vagy idéznek elő az eszközök, folyamatok és események megfigyelésével vagy vezérlésével;</t>
  </si>
  <si>
    <t xml:space="preserve">FOG-TV-S0161</t>
  </si>
  <si>
    <t xml:space="preserve">kihelyezett (irányított) infokommunikációs biztonsági szolgáltatást nyújtó szolgáltató</t>
  </si>
  <si>
    <t xml:space="preserve">olyan kihelyezett (irányított) infokommunikációs szolgáltatást nyújtó szolgáltató, amely a kiberbiztonsági kockázatok kezelését végzi vagy azzal összefüggő szolgáltatást nyújt;</t>
  </si>
  <si>
    <t xml:space="preserve">FOG-TV-S0162</t>
  </si>
  <si>
    <t xml:space="preserve">kihelyezett (irányított) infokommunikációs szolgáltatást nyújtó szolgáltató</t>
  </si>
  <si>
    <t xml:space="preserve">olyan szervezet, amely az IKT-termék, hálózat, infrastruktúra, alkalmazás vagy bármely más elektronikus információs rendszer telepítésével, kezelésével, üzemeltetésével vagy karbantartásával kapcsolatos szolgáltatásokat nyújt a szolgáltatást igénybe vevő telephelyén vagy távolról;</t>
  </si>
  <si>
    <t xml:space="preserve">FOG-TV-S0163</t>
  </si>
  <si>
    <t xml:space="preserve">kockázat</t>
  </si>
  <si>
    <t xml:space="preserve">a fenyegetettség mértéke, amely egy fenyegetés bekövetkezése gyakoriságának, bekövetkezési valószínűségének és az ez által okozott kár nagyságának a függvénye;</t>
  </si>
  <si>
    <t xml:space="preserve">FOG-TV-S0164</t>
  </si>
  <si>
    <t xml:space="preserve">kockázatelemzés</t>
  </si>
  <si>
    <t xml:space="preserve">az elektronikus információs rendszer értékének, sérülékenységének, fenyegetéseinek, a várható károknak és ezek gyakoriságának felmérése útján a kockázatok feltárása és értékelése;</t>
  </si>
  <si>
    <t xml:space="preserve">FOG-TV-S0165</t>
  </si>
  <si>
    <t xml:space="preserve">kockázatkezelés</t>
  </si>
  <si>
    <t xml:space="preserve">az elektronikus információs rendszerre ható kockázatok csökkentésére irányuló intézkedésrendszer kidolgozása és az intézkedések végrehajtása;</t>
  </si>
  <si>
    <t xml:space="preserve">FOG-TV-S0166</t>
  </si>
  <si>
    <t xml:space="preserve">kockázatmenedzsment keretrendszer</t>
  </si>
  <si>
    <t xml:space="preserve">olyan strukturált, ugyanakkor rugalmas megközelítés és szervezeti folyamatok összessége, amely integrálja a kiberbiztonsággal kapcsolatos kockázatkezelési tevékenységeket a rendszerfejlesztési életciklusban a kockázatokkal arányos védelmi intézkedések azonosításán, bevezetésén, értékelésén, működtetésén és nyomon követésén keresztül az új és már használatban lévő rendszerek fenyegetettségeinek folyamatos felderítése, és kockázatainak hatékony kezelése érdekében;</t>
  </si>
  <si>
    <t xml:space="preserve">FOG-TV-S0167</t>
  </si>
  <si>
    <t xml:space="preserve">közigazgatási szerv</t>
  </si>
  <si>
    <t xml:space="preserve">az 1. melléklet 1–13. pontja szerinti szervezet;</t>
  </si>
  <si>
    <t xml:space="preserve">FOG-TV-S0168</t>
  </si>
  <si>
    <t xml:space="preserve">közösségimédia-szolgáltatási platform</t>
  </si>
  <si>
    <t xml:space="preserve">olyan platform, amely lehetővé teszi a végfelhasználók számára, hogy több eszközön keresztül kapcsolódjanak, tartalmakat osszanak meg, fedezzenek fel és kommunikáljanak egymással;</t>
  </si>
  <si>
    <t xml:space="preserve">FOG-TV-S0169</t>
  </si>
  <si>
    <t xml:space="preserve">központi rendszer</t>
  </si>
  <si>
    <t xml:space="preserve">egyes állami, önkormányzati feladatok ellátását segítő, zárt ügyfélkör számára központosítottan fejlesztett vagy működtetett elektronikus információs rendszer, amelyen keresztül megvalósított funkciókat egy adott intézményi körben kötelezően vagy opcionálisan vesznek igénybe a felhasználó szervezetek;</t>
  </si>
  <si>
    <t xml:space="preserve">FOG-TV-S0170</t>
  </si>
  <si>
    <t xml:space="preserve">központi szolgáltatás</t>
  </si>
  <si>
    <t xml:space="preserve">a központi szolgáltató által kötelezően vagy egyedi igény alapján biztosítandó szolgáltatás;</t>
  </si>
  <si>
    <t xml:space="preserve">FOG-TV-S0171</t>
  </si>
  <si>
    <t xml:space="preserve">központi szolgáltató</t>
  </si>
  <si>
    <t xml:space="preserve">olyan szervezet, amely állami és önkormányzati feladatot ellátó szervezet részére jogszabály alapján kizárólagos joggal nyújt informatikai és elektronikus hírközlési szolgáltatást;</t>
  </si>
  <si>
    <t xml:space="preserve">FOG-TV-S0172</t>
  </si>
  <si>
    <t xml:space="preserve">kutatóhely</t>
  </si>
  <si>
    <t xml:space="preserve">a tudományos kutatásról, fejlesztésről és innovációról szóló törvény szerinti kutatóhely – az oktatási intézmények kivételével –, amelynek elsődleges célja alkalmazott kutatás vagy kísérleti fejlesztés folytatása a kutatás eredményeinek kereskedelmi célokra való hasznosítása céljából;</t>
  </si>
  <si>
    <t xml:space="preserve">FOG-TV-S0173</t>
  </si>
  <si>
    <t xml:space="preserve">legfelső szintű doménnév-nyilvántartó</t>
  </si>
  <si>
    <t xml:space="preserve">olyan szervezet, amelyre egy meghatározott legfelső szintű domént bíztak és amely felelős egyrészt a legfelső szintű domén kezeléséért – ideértve a legfelső szintű domén alatti doménnevek nyilvántartásba vételét –, másrészt a legfelső szintű domén technikai üzemeltetéséért, amely magában foglalja a névszervereinek üzemeltetését, adatbázisainak karbantartását és a legfelső szintű doménzónafájlok elosztását a névszerverek között, függetlenül attól, hogy ezeknek az üzemeltetési tevékenységeknek bármelyikét maga a szervezet végzi vagy azokat kiszervezi, kivéve azokat az eseteket, amikor a legfelső szintű doménneveket a nyilvántartó kizárólag saját használatra veszi igénybe;</t>
  </si>
  <si>
    <t xml:space="preserve">FOG-TV-S0174</t>
  </si>
  <si>
    <t xml:space="preserve">megfelelőségértékelés</t>
  </si>
  <si>
    <t xml:space="preserve">– a IX/A. Fejezet kivételével – az az értékelési eljárás, amely bizonyítja, hogy egy IKT-termékkel, IKT-folyamattal, IKT-szolgáltatással kapcsolatos, meghatározott követelmények teljesültek;</t>
  </si>
  <si>
    <t xml:space="preserve">FOG-TV-S0175</t>
  </si>
  <si>
    <t xml:space="preserve">megfelelőségértékelő szervezet</t>
  </si>
  <si>
    <t xml:space="preserve">a termékek forgalmazása tekintetében az akkreditálás és piacfelügyelet előírásainak megállapításáról és a 339/93/EGK rendelet hatályon kívül helyezéséről szóló, 2008. július 9-i 765/2008/EK európai parlamenti és tanácsi rendeletben ekként meghatározott fogalom;</t>
  </si>
  <si>
    <t xml:space="preserve">FOG-TV-S0176</t>
  </si>
  <si>
    <t xml:space="preserve">megfelelőségi nyilatkozat</t>
  </si>
  <si>
    <t xml:space="preserve">a gyártó vagy a szolgáltató által kiállított dokumentum, amely igazolja, hogy egy adott IKT-termék, IKT-szolgáltatás vagy IKT-folyamat esetében értékelték, hogy az megfelel-e valamely nemzeti kiberbiztonsági tanúsítási rendszer biztonsági követelményeinek;</t>
  </si>
  <si>
    <t xml:space="preserve">FOG-TV-S0177</t>
  </si>
  <si>
    <t xml:space="preserve">megfelelőségi önértékelés</t>
  </si>
  <si>
    <t xml:space="preserve">az (EU) 2019/881 európai parlamenti és tanácsi rendeletben ekként meghatározott fogalom;</t>
  </si>
  <si>
    <t xml:space="preserve">FOG-TV-S0178</t>
  </si>
  <si>
    <t xml:space="preserve">mérföldkő</t>
  </si>
  <si>
    <t xml:space="preserve">az európai uniós forrásból finanszírozott központi rendszer fejlesztése esetén a Helyreállítási és Rezilienciaépítési Eszköz létrehozásáról szóló, 2021. február 12-i (EU) 2021/241 európai parlamenti és tanácsi rendelet 2. cikk 4. pontja és az Európai Regionális Fejlesztési Alapra, az Európai Szociális Alap Pluszra, a Kohéziós Alapra, az Igazságos Átmenet Alapra és az Európai Tengerügyi, Halászati és Akvakultúra-alapra vonatkozó közös rendelkezések, valamint az előbbiekre és a Menekültügyi, Migrációs és Integrációs Alapra, a Belső Biztonsági Alapra és a határigazgatás és a vízumpolitika pénzügyi támogatására szolgáló eszközre vonatkozó pénzügyi szabályok megállapításáról szóló, 2021. június 24-i (EU) 2021/1060 európai parlamenti és tanácsi rendelet 2. cikk 4. pontja szerinti, valamint a fejlesztésekre irányuló egyéb projektek esetén a projektben meghatározott fogalom;</t>
  </si>
  <si>
    <t xml:space="preserve">FOG-TV-S0179</t>
  </si>
  <si>
    <t xml:space="preserve">minősített bizalmi szolgáltatás</t>
  </si>
  <si>
    <t xml:space="preserve">FOG-TV-S0180</t>
  </si>
  <si>
    <t xml:space="preserve">minősített bizalmi szolgáltató</t>
  </si>
  <si>
    <t xml:space="preserve">FOG-TV-S0181</t>
  </si>
  <si>
    <t xml:space="preserve">műszaki előírás</t>
  </si>
  <si>
    <t xml:space="preserve">az európai szabványosításról, a 89/686/EGK és a 93/15/EGK tanácsi irányelv, a 94/9/ EK, a 94/25/EK, a 95/16/EK, a 97/23/EK, a 98/34/EK, a 2004/22/EK, a 2007/23/EK, a 2009/23/EK és a 2009/105/EK európai parlamenti és tanácsi irányelv módosításáról, valamint a 87/95/EGK tanácsi határozat és az 1673/2006/EK európai parlamenti és tanácsi határozat hatályon kívül helyezéséről szóló, 2012. október 25-i 1025/2012/EU európai parlamenti és tanácsi rendelet (a továbbiakban: 1025/2012/EU rendelet) 2. cikk 4. pontjában meghatározott fogalom;</t>
  </si>
  <si>
    <t xml:space="preserve">FOG-TV-S0182</t>
  </si>
  <si>
    <t xml:space="preserve">műveleti célú elektronikus információs rendszer</t>
  </si>
  <si>
    <t xml:space="preserve">
a) a rendvédelmi szervek és a nemzetbiztonsági szolgálatok számára törvényben meghatározott közbiztonsági, nemzetbiztonsági feladatok ellátása érdekében használt elektronikus információs rendszer és
b) a honvédségi szervezetek által, a törvényben meghatározott katonai műveleti feladatok – így különösen közvetlen művelettámogatás, -tervezés, -vezetés, helyzetkövetés – ellátása érdekében használt elektronikus információs rendszer;</t>
  </si>
  <si>
    <t xml:space="preserve">FOG-TV-S0185</t>
  </si>
  <si>
    <t xml:space="preserve">nagyszabású kiberbiztonsági incidens</t>
  </si>
  <si>
    <t xml:space="preserve">olyan kiberbiztonsági incidens, amely olyan mértékű zavart okoz, amely meghaladja Magyarországnak az arra való reagálási képességét, vagy amely Magyarországra és legalább még egy másik országra jelentős hatást gyakorol;</t>
  </si>
  <si>
    <t xml:space="preserve">FOG-TV-S0186</t>
  </si>
  <si>
    <t xml:space="preserve">nem privát felhőszolgáltatás</t>
  </si>
  <si>
    <t xml:space="preserve">olyan szolgáltató által nyújtott felhőszolgáltatás, amelyet a szolgáltató bárki számára elérhető módon vagy kizárólag a szervezetek egy meghatározott köre számára nyújt;</t>
  </si>
  <si>
    <t xml:space="preserve">FOG-TV-S0187</t>
  </si>
  <si>
    <t xml:space="preserve">nemzeti kiberbiztonsági incidenskezelő központ</t>
  </si>
  <si>
    <t xml:space="preserve">az Európai Hálózat- és Információbiztonsági Ügynökség ajánlásai szerint működő, kiberbiztonsági incidensekre reagáló egység, amely a nemzetközi hálózatbiztonsági, valamint kritikus információs infrastruktúrák védelmére szakosodott szervezetekben tagsággal rendelkezik [európai használatban: CSIRT (Computer Security Incident Response Team), amerikai használatban: CERT (Computer Emergency Response Team)];</t>
  </si>
  <si>
    <t xml:space="preserve">FOG-TV-S0188</t>
  </si>
  <si>
    <t xml:space="preserve">nemzeti kiberbiztonsági tanúsítási rendszer</t>
  </si>
  <si>
    <t xml:space="preserve">IKT-termékek, IKT-szolgáltatások és IKT-folyamatok tanúsítására, megfelelőségértékelésére Magyarországon alkalmazandó, az európai kiberbiztonsági rendszerek elvei alapján kidolgozott és a tanúsító hatóság által meghatározott szabályok, műszaki követelmények, szabványok és eljárások átfogó rendszere;</t>
  </si>
  <si>
    <t xml:space="preserve">FOG-TV-S0189</t>
  </si>
  <si>
    <t xml:space="preserve">nemzeti kiberbiztonsági stratégia</t>
  </si>
  <si>
    <t xml:space="preserve">a kiberbiztonság területén követendő stratégiai célokat és prioritásokat, valamint a megvalósításukhoz szükséges irányítási intézkedéseket meghatározó dokumentum;</t>
  </si>
  <si>
    <t xml:space="preserve">FOG-TV-S0190</t>
  </si>
  <si>
    <t xml:space="preserve">nemzeti kiberbiztonsági tanúsítvány</t>
  </si>
  <si>
    <t xml:space="preserve">olyan független harmadik fél által kiállított dokumentum, amely igazolja, hogy egy adott IKT-termék, IKT-szolgáltatás vagy IKT-folyamat esetében értékelték, hogy az megfelel-e valamely nemzeti kiberbiztonsági tanúsítási rendszer biztonsági követelményeinek;</t>
  </si>
  <si>
    <t xml:space="preserve">FOG-TV-S0191</t>
  </si>
  <si>
    <t xml:space="preserve">nemzeti válságkezelési terv</t>
  </si>
  <si>
    <t xml:space="preserve">az (EU) 2022/2555 európai parlamenti és tanácsi irányelv alapján a nagyszabású kiberbiztonsági incidensek és válságok elhárítására szolgáló nemzeti terv, amely meghatározza a nagyszabású kiberbiztonsági incidensek és válságok kezelésének célkitűzéseit és szabályait;</t>
  </si>
  <si>
    <t xml:space="preserve">FOG-TV-S0192</t>
  </si>
  <si>
    <t xml:space="preserve">online keresőprogram</t>
  </si>
  <si>
    <t xml:space="preserve">az online közvetítő szolgáltatások üzleti felhasználói tekintetében alkalmazandó tisztességes és átlátható feltételek előmozdításáról szóló, 2019. június 20-i (EU) 2019/1150 európai parlamenti és tanácsi rendelet 2. cikk 5. pontjában meghatározott fogalom;</t>
  </si>
  <si>
    <t xml:space="preserve">FOG-TV-S0193</t>
  </si>
  <si>
    <t xml:space="preserve">online piactér</t>
  </si>
  <si>
    <t xml:space="preserve">olyan szolgáltatás, amely a kereskedő által vagy a kereskedő nevében működtetett szoftvert, többek között weboldalt, valamely weboldal egy részét vagy valamely alkalmazást használ, és amelynek révén a fogyasztók távollevők közötti szerződést köthetnek más kereskedőkkel vagy fogyasztókkal;</t>
  </si>
  <si>
    <t xml:space="preserve">FOG-TV-S0194</t>
  </si>
  <si>
    <t xml:space="preserve">regisztrált felhasználói jogosultság</t>
  </si>
  <si>
    <t xml:space="preserve">a biztonsági vizsgálatot végző személy számára a sérülékenységvizsgálat elvégzése érdekében célzottan létrehozott felhasználói jogosultság;</t>
  </si>
  <si>
    <t xml:space="preserve">FOG-TV-S0195</t>
  </si>
  <si>
    <t xml:space="preserve">rendelkezésre állás</t>
  </si>
  <si>
    <t xml:space="preserve">annak biztosítása, hogy az elektronikus információs rendszerek az arra jogosult személy számára elérhetőek és az abban kezelt adatok felhasználhatóak legyenek;</t>
  </si>
  <si>
    <t xml:space="preserve">FOG-TV-S0196</t>
  </si>
  <si>
    <t xml:space="preserve">sebezhetőség</t>
  </si>
  <si>
    <t xml:space="preserve">IKT-termék, -szolgáltatás, -folyamat gyengesége, érzékenysége vagy hiányossága, amelynek kihasználása veszélyezteti vagy sérti az IKT-termék, -szolgáltatás, -folyamat bizalmasságát, sértetlenségét vagy rendelkezésre állását;</t>
  </si>
  <si>
    <t xml:space="preserve">FOG-TV-S0197</t>
  </si>
  <si>
    <t xml:space="preserve">sértetlenség</t>
  </si>
  <si>
    <t xml:space="preserve">az adat tulajdonsága, amely arra vonatkozik, hogy az adat tartalma és tulajdonságai az elvárttal megegyeznek, ideértve a bizonyosságot abban, hogy az az elvárt forrásból származik, azaz hiteles, valamint a származás ellenőrizhetőségét, bizonyosságát, azaz letagadhatatlanságát is, illetve az elektronikus információs rendszer elemeinek azon tulajdonságát, amely arra vonatkozik, hogy az elektronikus információs rendszer eleme rendeltetésének megfelelően használható;</t>
  </si>
  <si>
    <t xml:space="preserve">FOG-TV-S0198</t>
  </si>
  <si>
    <t xml:space="preserve">sérülékenység</t>
  </si>
  <si>
    <t xml:space="preserve">az elektronikus információs rendszer gyengesége, érzékenysége vagy hiányossága, amelynek kihasználása veszélyezteti vagy sérti egy elektronikus információs rendszer bizalmasságát, sértetlenségét vagy rendelkezésre állását;</t>
  </si>
  <si>
    <t xml:space="preserve">FOG-TV-S0199</t>
  </si>
  <si>
    <t xml:space="preserve">sérülékenységkezelési terv</t>
  </si>
  <si>
    <t xml:space="preserve">a sérülékenységek megszüntetésére irányuló tervdokumentum;</t>
  </si>
  <si>
    <t xml:space="preserve">FOG-TV-S0200</t>
  </si>
  <si>
    <t xml:space="preserve">sérülékenységvizsgálat</t>
  </si>
  <si>
    <t xml:space="preserve">sérülékenységmenedzsment eszköz vagy módszer, amely során informatikai rendszerek, hardverek és szoftverek biztonsági szempontból történő átvizsgálása zajlik, az ellenőrzést automatizált eszközökkel és közvetlen, szakértő által végzett vizsgálatokkal hajtják végre;</t>
  </si>
  <si>
    <t xml:space="preserve">FOG-TV-S0201</t>
  </si>
  <si>
    <t xml:space="preserve">szabvány</t>
  </si>
  <si>
    <t xml:space="preserve">az 1025/2012/EU rendelet 2. cikk 1. pontjában meghatározott fogalom;</t>
  </si>
  <si>
    <t xml:space="preserve">FOG-TV-S0202</t>
  </si>
  <si>
    <t xml:space="preserve">szervezet</t>
  </si>
  <si>
    <t xml:space="preserve">állami szerv vagy állami szervezet, a Polgári Törvénykönyvről szóló törvény szerinti jogi személy, jogi személyiség nélküli szervezet;</t>
  </si>
  <si>
    <t xml:space="preserve">FOG-TV-S0203</t>
  </si>
  <si>
    <t xml:space="preserve">támogató rendszer</t>
  </si>
  <si>
    <t xml:space="preserve">az 1. § (1) bekezdés a)–c) pontja szerinti szervezet alapfeladatainak ellátásában közvetlenül nem részt vevő elektronikus információs rendszer, amely szükséges azon rendszerek működéséhez, amelyek alapfeladatot látnak el;</t>
  </si>
  <si>
    <t xml:space="preserve">FOG-TV-S0204</t>
  </si>
  <si>
    <t xml:space="preserve">tanúsítás</t>
  </si>
  <si>
    <t xml:space="preserve">független harmadik fél által végzett megfelelőségértékelési tevékenység;</t>
  </si>
  <si>
    <t xml:space="preserve">FOG-TV-S0205</t>
  </si>
  <si>
    <t xml:space="preserve">tartalomszolgáltató hálózat szolgáltatója</t>
  </si>
  <si>
    <t xml:space="preserve">a digitális tartalmak és szolgáltatások széles körű, akadálymentes és gyors rendelkezésre állását biztosító, földrajzilag elosztott szerverek hálózatának szolgáltatója;</t>
  </si>
  <si>
    <t xml:space="preserve">FOG-TV-S0206</t>
  </si>
  <si>
    <t xml:space="preserve">távoli sérülékenységvizsgálat</t>
  </si>
  <si>
    <t xml:space="preserve">olyan sérülékenységvizsgálat, amelynek során
a) az elektronikus információs rendszer internet felőli, külső sérülékenységvizsgálatára kerül sor, amelynek keretében az interneten fellelhető, nyilvános adatbázisokban való szabad keresés, célzott információgyűjtés, valamint az elérhető számítógépek szolgáltatásai sebezhetőségének feltérképezése történik,
b) automatizált és kézi vizsgálatok útján kerülnek feltárásra a webes alkalmazások sérülékenységei, vagy
c) a vezeték nélküli hozzáférési és kapcsolódási pontok keresése, feltérképezése, titkosítási eljárások elemzése, titkosítási kulcsok visszafejthetőségének ellenőrzése célszoftverek és kézi vizsgálat útján történik;</t>
  </si>
  <si>
    <t xml:space="preserve">FOG-TV-S0210</t>
  </si>
  <si>
    <t xml:space="preserve">továbbfejlesztés</t>
  </si>
  <si>
    <t xml:space="preserve">az érintett, már működő elektronikus információs rendszer olyan mértékű fejlesztése, amely funkcionalitásának érdemi megváltozásával jár, vagy védelmének elvárt erősségére hatással van;</t>
  </si>
  <si>
    <t xml:space="preserve">FOG-TV-S0211</t>
  </si>
  <si>
    <t xml:space="preserve">többségi állami befolyás alatt álló gazdálkodó szervezet</t>
  </si>
  <si>
    <t xml:space="preserve">
a) a magyar államnak a Polgári Törvénykönyvről szóló törvényben meghatározott többségi befolyása, vagy
b) a Kormány, annak tagja, az Országgyűlés elnöke közvetlen, vagy az általa irányított költségvetési szerven keresztül gyakorolt rendelkezési, irányítási, felügyeleti joga
alatt álló gazdálkodó szervezet;</t>
  </si>
  <si>
    <t xml:space="preserve">FOG-TV-S0215</t>
  </si>
  <si>
    <t xml:space="preserve">üzemeltetési kiberbiztonsági incidens</t>
  </si>
  <si>
    <t xml:space="preserve">olyan kiberbiztonsági incidens, amely az elektronikus információs rendszereken tárolt, továbbított vagy kezelt adatok vagy az e rendszerek által kínált, vagy azokon keresztül elérhető szolgáltatások rendelkezésre állását nem szándékoltan csökkenti vagy megszünteti;</t>
  </si>
  <si>
    <t xml:space="preserve">FOG-TV-S0216</t>
  </si>
  <si>
    <t xml:space="preserve">üzemeltető</t>
  </si>
  <si>
    <t xml:space="preserve">az a természetes személy, jogi személy, jogi személyiség nélküli szervezet vagy egyéni vállalkozó, aki vagy amely az elektronikus információs rendszer vagy annak részei működtetését végzi és a működésért felelős;</t>
  </si>
  <si>
    <t xml:space="preserve">FOG-TV-S0217</t>
  </si>
  <si>
    <t xml:space="preserve">zárt, teljes körű, folytonos és a kockázatokkal arányos védelem</t>
  </si>
  <si>
    <t xml:space="preserve">az elektronikus információs rendszer olyan védelme,
a) amely az időben változó körülmények és viszonyok között is megszakítás nélkül megvalósul,
b) amely az elektronikus információs rendszer valamennyi elemére kiterjed,
c) amely az összes számításba vehető fenyegetést, veszélyt figyelembe veszi, valamint
d) amelynek költségei arányosak a fenyegetések által okozható károk értékével.</t>
  </si>
  <si>
    <t xml:space="preserve">FOG-VHR-S0053</t>
  </si>
  <si>
    <t xml:space="preserve">adminisztrátori jogosultsággal rendelkező vizsgálat</t>
  </si>
  <si>
    <t xml:space="preserve">olyan biztonsági vizsgálati eljárás, amelynek során a vizsgálatot végző személy rendszergazdai jogosultsággal rendelkezik, és az eljárás célja, hogy megfelelőségi listák alapján az érintett elektronikus információs rendszer valamennyi elemének az állapota teljeskörűen ellenőrzésre kerüljön;</t>
  </si>
  <si>
    <t xml:space="preserve">FOG-VHR-S0054</t>
  </si>
  <si>
    <t xml:space="preserve">alkalmazásvizsgálat</t>
  </si>
  <si>
    <t xml:space="preserve">olyan sérülékenységvizsgálati módszer, amelynek során az alkalmazások – ideértve az asztali, a mobil- és a webalkalmazásokat is – sérülékenységei automatizált és kézi vizsgálati módszerek felhasználásával kerülnek feltérképezésre;</t>
  </si>
  <si>
    <t xml:space="preserve">FOG-VHR-S0055</t>
  </si>
  <si>
    <t xml:space="preserve">automatizált sérülékenységfelderítés és -elemzés</t>
  </si>
  <si>
    <t xml:space="preserve">olyan sérülékenységvizsgálati módszer, amelynek a során a szervezet elektronikus információs rendszerének a sérülékenységei kizárólag célszoftverek segítségével kerülnek feltérképezésre és dokumentálásra;</t>
  </si>
  <si>
    <t xml:space="preserve">FOG-VHR-S0056</t>
  </si>
  <si>
    <t xml:space="preserve">CSIRT</t>
  </si>
  <si>
    <t xml:space="preserve">az (EU) 2022/2555 európai parlamenti és tanácsi irányelv szerinti számítógép-biztonsági incidensekre reagáló csoport;</t>
  </si>
  <si>
    <t xml:space="preserve">FOG-VHR-S0057</t>
  </si>
  <si>
    <t xml:space="preserve">CSIRT-hálózat</t>
  </si>
  <si>
    <t xml:space="preserve">az Európai Unió tagállamai által kijelölt CSIRT-eknek az (EU) 2022/2555 európai parlamenti és tanácsi irányelv szerint létrehozott hálózata;</t>
  </si>
  <si>
    <t xml:space="preserve">FOG-VHR-S0058</t>
  </si>
  <si>
    <t xml:space="preserve">egyedüli kapcsolattartó pont</t>
  </si>
  <si>
    <t xml:space="preserve">az (EU) 2022/2555 európai parlamenti és tanácsi irányelv alapján az Európai Unió tagállamai által kijelölt összekötő feladatokat ellátó szerv;</t>
  </si>
  <si>
    <t xml:space="preserve">FOG-VHR-S0059</t>
  </si>
  <si>
    <t xml:space="preserve">európai sebezhetőség-adatbázis</t>
  </si>
  <si>
    <t xml:space="preserve">az IKT-termékben található nyilvánosan ismert sebezhetőségeknek – az (EU) 2022/2555 európai parlamenti és tanácsi irányelv rendelkezései alapján – az Európai Uniós Kiberbiztonsági Ügynökség (a továbbiakban: ENISA) által felállított és működtetett nyilvántartása, amely tartalmazza
a) a sebezhetőséget leíró információkat,
b) az érintett IKT-terméket, valamint a sebezhetőség súlyosságát azon körülmények szempontjából, amelyek között a sebezhetőség kihasználható,
c) a kapcsolódó javítások elérhetőségét, valamint elérhető javítás hiányában az illetékes hatóságok vagy a CSIRT-ek által a sérülékeny IKT-termékek felhasználói számára a közzétett sebezhetőségből fakadó kockázatok mérséklésének módjáról kiadott útmutatást;</t>
  </si>
  <si>
    <t xml:space="preserve">FOG-VHR-S0063</t>
  </si>
  <si>
    <t xml:space="preserve">figyelemfelhívás</t>
  </si>
  <si>
    <t xml:space="preserve">a Központ által a magyar kiberteret általánosan veszélyeztető, különös figyelmet érdemlő fenyegetettségekről, új támadási módszerekről, eseményekről kiadott tájékoztatás;</t>
  </si>
  <si>
    <t xml:space="preserve">FOG-VHR-S0064</t>
  </si>
  <si>
    <t xml:space="preserve">figyelmeztetés</t>
  </si>
  <si>
    <t xml:space="preserve">a Központ által valamely fenyegetés esetén kiadott figyelemfelhívás, olyan esetekben, amikor nincs folyamatban lévő kiberbiztonsági incidens vagy a kiberbiztonsági incidens nem volt kritikus;</t>
  </si>
  <si>
    <t xml:space="preserve">FOG-VHR-S0065</t>
  </si>
  <si>
    <t xml:space="preserve">incidenskezelési terv</t>
  </si>
  <si>
    <t xml:space="preserve">az incidensek kezelésére irányuló tervdokumentum, amely a hiányosságok megszüntetésével párhuzamosan tartalmazza az incidensek megelőzése, észlelése, elemzése és elszigetelése vagy az incidensre való reagálás és az incidenst követően a működés helyreállítása érdekében végrehajtandó feladatokat, a feladatok teljesítésének mérföldköveit, a kapcsolódó végrehajtási határidőket, a végrehajtásért felelős személy megjelölését és az ehhez szükséges erőforrásokat;</t>
  </si>
  <si>
    <t xml:space="preserve">FOG-VHR-S0066</t>
  </si>
  <si>
    <t xml:space="preserve">intézkedési terv</t>
  </si>
  <si>
    <t xml:space="preserve">a szervezet rendelkezésében lévő elektronikus információs rendszer vonatkozásában megállapított biztonsági osztály kapcsán meghatározott védelmi intézkedések teljesítése, a hiányosságok felszámolása érdekében végrehajtandó feladatokat, a feladatok teljesítésének mérföldköveit, a kapcsolódó végrehajtási határidőket, a végrehajtásért felelős személy megjelölését és az ehhez szükséges erőforrásokat tartalmazó tervdokumentum;</t>
  </si>
  <si>
    <t xml:space="preserve">FOG-VHR-S0067</t>
  </si>
  <si>
    <t xml:space="preserve">kézi vizsgálat</t>
  </si>
  <si>
    <t xml:space="preserve">olyan sérülékenységvizsgálati módszer, amelynek során a szervezet elektronikus információs rendszerének sérülékenységei a vizsgálatot végző személy által egyedileg, kézi úton összeállított lekérdezések alkalmazásával kerülnek feltérképezésre;</t>
  </si>
  <si>
    <t xml:space="preserve">FOG-VHR-S0068</t>
  </si>
  <si>
    <t xml:space="preserve">kiberbiztonsági gyakorlat</t>
  </si>
  <si>
    <t xml:space="preserve">az információbiztonsági szabályzatban megjelölt szervezeti és eszközrendszer megfelelőségének és működőképességének vizsgálata céljából végrehajtott komplex feladat;</t>
  </si>
  <si>
    <t xml:space="preserve">FOG-VHR-S0069</t>
  </si>
  <si>
    <t xml:space="preserve">kiber-fizikai rendszerek biztonsági vizsgálata</t>
  </si>
  <si>
    <t xml:space="preserve">olyan sérülékenységvizsgálati módszer, amelynek során a kiber-fizikai rendszerek sérülékenységei a vizsgálatot végző személy által, elsősorban passzív technikák és eljárások alkalmazásával, az elektronikus információs rendszer funkcionális működésének negatívan történő befolyásolása nélkül, illetve folyamatos rendszerfelügyeleti támogatás mellett aktív eszközökkel kerülnek feltérképezésre;</t>
  </si>
  <si>
    <t xml:space="preserve">FOG-VHR-S0070</t>
  </si>
  <si>
    <t xml:space="preserve">Központ</t>
  </si>
  <si>
    <t xml:space="preserve">a nemzeti kiberbiztonsági incidenskezelő központ;</t>
  </si>
  <si>
    <t xml:space="preserve">FOG-VHR-S0071</t>
  </si>
  <si>
    <t xml:space="preserve">közvetítő szolgáltató</t>
  </si>
  <si>
    <t xml:space="preserve">az elektronikus kereskedelmi szolgáltatások, valamint az információs társadalommal összefüggő szolgáltatások egyes kérdéseiről szóló törvény szerinti fogalom;</t>
  </si>
  <si>
    <t xml:space="preserve">FOG-VHR-S0072</t>
  </si>
  <si>
    <t xml:space="preserve">külső informatikai biztonsági vizsgálat</t>
  </si>
  <si>
    <t xml:space="preserve">olyan sérülékenységvizsgálati módszer, amelynek során az elektronikus információs rendszer internet irányából elérhető elemei vonatkozásában az interneten fellelhető, nyilvános adatbázisokban való szabad keresésre, célzott információgyűjtésre, valamint az elektronikus információs rendszer elérhető szolgáltatásainak, sérülékenységeinek feltérképezésére kerül sor;</t>
  </si>
  <si>
    <t xml:space="preserve">FOG-VHR-S0073</t>
  </si>
  <si>
    <t xml:space="preserve">pszichológiai manipulációs vizsgálat</t>
  </si>
  <si>
    <t xml:space="preserve">olyan sérülékenységvizsgálati módszer, amelynek során az emberek befolyásolására alapozva lehetőség nyílik bizalmas információk megszerzésére vagy kártékony program terjedésére és működésére;</t>
  </si>
  <si>
    <t xml:space="preserve">FOG-VHR-S0074</t>
  </si>
  <si>
    <t xml:space="preserve">regisztrált felhasználói jogosultsággal rendelkező vizsgálat</t>
  </si>
  <si>
    <t xml:space="preserve">olyan biztonsági vizsgálati eljárás, amelynek során a vizsgálatot végző személy a számára külön létrehozott felhasználói jogosultsággal végzi a vizsgálatot;</t>
  </si>
  <si>
    <t xml:space="preserve">FOG-VHR-S0075</t>
  </si>
  <si>
    <t xml:space="preserve">regisztrált felhasználói jogosultság nélküli vizsgálat</t>
  </si>
  <si>
    <t xml:space="preserve">olyan biztonsági vizsgálati eljárás, amelynek során a vizsgálatot végző személy semmilyen előzetes információval nem rendelkezik a vizsgált elektronikus információs rendszerről, és nincs felhasználói jogosultsága a rendszerhez;</t>
  </si>
  <si>
    <t xml:space="preserve">FOG-VHR-S0076</t>
  </si>
  <si>
    <t xml:space="preserve">riasztás</t>
  </si>
  <si>
    <t xml:space="preserve">folyamatban lévő incidens vagy incidenssorozat megszakítása érdekében széles körben alkalmazott rendszerekben azonnali intézkedést igénylő figyelemfelhívás;</t>
  </si>
  <si>
    <t xml:space="preserve">FOG-VHR-S0077</t>
  </si>
  <si>
    <t xml:space="preserve">sérülékenység kockázati besorolása</t>
  </si>
  <si>
    <t xml:space="preserve">a sérülékenységvizsgálatot végző által alkalmazott módszertan szerint meghatározott kockázatelemzési eredmény;</t>
  </si>
  <si>
    <t xml:space="preserve">FOG-VHR-S0078</t>
  </si>
  <si>
    <t xml:space="preserve">szándékolt incidens</t>
  </si>
  <si>
    <t xml:space="preserve">olyan incidens, amelyet szándékos jogellenes vagy rosszhiszemű cselekmény idéz elő;</t>
  </si>
  <si>
    <t xml:space="preserve">FOG-VHR-S0079</t>
  </si>
  <si>
    <t xml:space="preserve">szolgáltatói nyilvántartás</t>
  </si>
  <si>
    <t xml:space="preserve">az ENISA által az (EU) 2022/2555 európai parlamenti és tanácsi irányelv alapján vezetett, a DNS-szolgáltatók, a legfelső szintű doménnév-nyilvántartók, a doménnév-nyilvántartási szolgáltatásokat nyújtó szervezetek, a felhőszolgáltatók, az adatközpont-szolgáltatók, a tartalomszolgáltató hálózati szolgáltatók, az irányított szolgáltatók és az irányított biztonsági szolgáltatók, valamint az online piacterek, az online keresőprogramok és a közösségimédia-szolgáltatási platformok nyilvántartása;</t>
  </si>
  <si>
    <t xml:space="preserve">FOG-VHR-S0080</t>
  </si>
  <si>
    <t xml:space="preserve">vezeték nélküli hálózat informatikai biztonsági vizsgálat</t>
  </si>
  <si>
    <t xml:space="preserve">olyan sérülékenységvizsgálati módszer, amelynek során a vezeték nélküli hozzáférési és kapcsolódási pontok keresése, feltérképezése, titkosítási eljárások elemzése, titkosítási kulcsok visszafejthetőségének ellenőrzése célszoftverek és kézi vizsgálat útján történik.</t>
  </si>
  <si>
    <t xml:space="preserve">Teljes rendelkezésmutató és feldolgozottság</t>
  </si>
  <si>
    <t xml:space="preserve">Minden letöltött § és melléklet szerepel. A forrásszöveg megléte nem jelenti az összes feladat és jog tételes kibontását.</t>
  </si>
  <si>
    <t xml:space="preserve">Jogszabály</t>
  </si>
  <si>
    <t xml:space="preserve">§ / melléklet</t>
  </si>
  <si>
    <t xml:space="preserve">Feladattétel</t>
  </si>
  <si>
    <t xml:space="preserve">Jog / hatáskör</t>
  </si>
  <si>
    <t xml:space="preserve">Feldolgozottság</t>
  </si>
  <si>
    <t xml:space="preserve">TV</t>
  </si>
  <si>
    <t xml:space="preserve">1. §</t>
  </si>
  <si>
    <t xml:space="preserve">1. A törvény hatálya</t>
  </si>
  <si>
    <t xml:space="preserve">Hatálylapra átvéve</t>
  </si>
  <si>
    <t xml:space="preserve">2. §</t>
  </si>
  <si>
    <t xml:space="preserve">3. §</t>
  </si>
  <si>
    <t xml:space="preserve">4. §</t>
  </si>
  <si>
    <t xml:space="preserve">2. Értelmező rendelkezések</t>
  </si>
  <si>
    <t xml:space="preserve">Fogalomtárba átvéve</t>
  </si>
  <si>
    <t xml:space="preserve">5. §</t>
  </si>
  <si>
    <t xml:space="preserve">3. Általános alapelvek</t>
  </si>
  <si>
    <t xml:space="preserve">Forrás elérhető; tételes bontás hátravan</t>
  </si>
  <si>
    <t xml:space="preserve">6. §</t>
  </si>
  <si>
    <t xml:space="preserve">4. Az alapvető és fontos szervezetek általános kötelezettségei</t>
  </si>
  <si>
    <t xml:space="preserve">Tételesen részben kibontva</t>
  </si>
  <si>
    <t xml:space="preserve">7. §</t>
  </si>
  <si>
    <t xml:space="preserve">8. §</t>
  </si>
  <si>
    <t xml:space="preserve">9. §</t>
  </si>
  <si>
    <t xml:space="preserve">5. Adatosztályozás</t>
  </si>
  <si>
    <t xml:space="preserve">10. §</t>
  </si>
  <si>
    <t xml:space="preserve">6. A biztonsági osztályba sorolás</t>
  </si>
  <si>
    <t xml:space="preserve">11. §</t>
  </si>
  <si>
    <t xml:space="preserve">7. Az elektronikus információs rendszer biztonságáért felelős személy</t>
  </si>
  <si>
    <t xml:space="preserve">12. §</t>
  </si>
  <si>
    <t xml:space="preserve">8. Az elektronikus információs rendszerek biztonságával kapcsolatos oktatás és képzés</t>
  </si>
  <si>
    <t xml:space="preserve">13. §</t>
  </si>
  <si>
    <t xml:space="preserve">9. Az elektronikus információs rendszer fejlesztése, továbbfejlesztése</t>
  </si>
  <si>
    <t xml:space="preserve">13/A. §</t>
  </si>
  <si>
    <t xml:space="preserve">14. §</t>
  </si>
  <si>
    <t xml:space="preserve">15. §</t>
  </si>
  <si>
    <t xml:space="preserve">16. §</t>
  </si>
  <si>
    <t xml:space="preserve">10. Kiberbiztonsági audit</t>
  </si>
  <si>
    <t xml:space="preserve">17. §</t>
  </si>
  <si>
    <t xml:space="preserve">11. A támogató rendszerekre vonatkozó speciális rendelkezések</t>
  </si>
  <si>
    <t xml:space="preserve">18. §</t>
  </si>
  <si>
    <t xml:space="preserve">12. A központi rendszerekre vonatkozó speciális rendelkezések</t>
  </si>
  <si>
    <t xml:space="preserve">19. §</t>
  </si>
  <si>
    <t xml:space="preserve">13. A központi szolgáltatók által nyújtott rendszerekre vonatkozó speciális rendelkezések</t>
  </si>
  <si>
    <t xml:space="preserve">20. §</t>
  </si>
  <si>
    <t xml:space="preserve">14. A legfelső szintű doménnév-nyilvántartás</t>
  </si>
  <si>
    <t xml:space="preserve">21. §</t>
  </si>
  <si>
    <t xml:space="preserve">15. A kiberbiztonsági auditra vonatkozó rendelkezések</t>
  </si>
  <si>
    <t xml:space="preserve">22. §</t>
  </si>
  <si>
    <t xml:space="preserve">23. §</t>
  </si>
  <si>
    <t xml:space="preserve">16. A kiberbiztonsági hatóságra vonatkozó általános rendelkezések</t>
  </si>
  <si>
    <t xml:space="preserve">24. §</t>
  </si>
  <si>
    <t xml:space="preserve">17. A kiberbiztonsági hatóság feladatai</t>
  </si>
  <si>
    <t xml:space="preserve">25. §</t>
  </si>
  <si>
    <t xml:space="preserve">18. A hatósági eljárás általános szabályai</t>
  </si>
  <si>
    <t xml:space="preserve">26. §</t>
  </si>
  <si>
    <t xml:space="preserve">19. Azonosítási eljárás</t>
  </si>
  <si>
    <t xml:space="preserve">27. §</t>
  </si>
  <si>
    <t xml:space="preserve">28. §</t>
  </si>
  <si>
    <t xml:space="preserve">20. A hatósági nyilvántartás</t>
  </si>
  <si>
    <t xml:space="preserve">29. §</t>
  </si>
  <si>
    <t xml:space="preserve">30. §</t>
  </si>
  <si>
    <t xml:space="preserve">21. Jogkövetkezmények</t>
  </si>
  <si>
    <t xml:space="preserve">31. §</t>
  </si>
  <si>
    <t xml:space="preserve">32. §</t>
  </si>
  <si>
    <t xml:space="preserve">33. §</t>
  </si>
  <si>
    <t xml:space="preserve">22. Az ideiglenes hozzáférhetetlenné tétel</t>
  </si>
  <si>
    <t xml:space="preserve">34. §</t>
  </si>
  <si>
    <t xml:space="preserve">35. §</t>
  </si>
  <si>
    <t xml:space="preserve">36. §</t>
  </si>
  <si>
    <t xml:space="preserve">23. Az elektronikus adat ideiglenes eltávolítása</t>
  </si>
  <si>
    <t xml:space="preserve">37. §</t>
  </si>
  <si>
    <t xml:space="preserve">38. §</t>
  </si>
  <si>
    <t xml:space="preserve">24. A nemzeti kiberbiztonsági tanúsítási rendszerek követelményei</t>
  </si>
  <si>
    <t xml:space="preserve">39. §</t>
  </si>
  <si>
    <t xml:space="preserve">40. §</t>
  </si>
  <si>
    <t xml:space="preserve">25. A nemzeti kiberbiztonsági tanúsítási rendszerek megbízhatósági szintjei</t>
  </si>
  <si>
    <t xml:space="preserve">41. §</t>
  </si>
  <si>
    <t xml:space="preserve">26. A kiberbiztonsági tanúsítványokkal és a megfelelőségi nyilatkozatokkal kapcsolatos elvárások</t>
  </si>
  <si>
    <t xml:space="preserve">42. §</t>
  </si>
  <si>
    <t xml:space="preserve">43. §</t>
  </si>
  <si>
    <t xml:space="preserve">27. Megfelelőségi önértékelés, megfelelőségértékelés</t>
  </si>
  <si>
    <t xml:space="preserve">44. §</t>
  </si>
  <si>
    <t xml:space="preserve">45. §</t>
  </si>
  <si>
    <t xml:space="preserve">28. A kiberbiztonsági tanúsítás felügyelete</t>
  </si>
  <si>
    <t xml:space="preserve">46. §</t>
  </si>
  <si>
    <t xml:space="preserve">47. §</t>
  </si>
  <si>
    <t xml:space="preserve">48. §</t>
  </si>
  <si>
    <t xml:space="preserve">49. §</t>
  </si>
  <si>
    <t xml:space="preserve">50. §</t>
  </si>
  <si>
    <t xml:space="preserve">51. §</t>
  </si>
  <si>
    <t xml:space="preserve">29. A poszt-kvantumtitkosítás alkalmazásának általános szabályai</t>
  </si>
  <si>
    <t xml:space="preserve">52. §</t>
  </si>
  <si>
    <t xml:space="preserve">30. A poszt-kvantumtitkosítás alkalmazására kötelezett szervezet védelme</t>
  </si>
  <si>
    <t xml:space="preserve">53. §</t>
  </si>
  <si>
    <t xml:space="preserve">31. A poszt-kvantumtitkosítás alkalmazást nyújtó szervezetre vonatkozó feltételek</t>
  </si>
  <si>
    <t xml:space="preserve">54. §</t>
  </si>
  <si>
    <t xml:space="preserve">32. A poszt-kvantumtitkosítás követelményeinek való megfelelés tanúsítása</t>
  </si>
  <si>
    <t xml:space="preserve">55. §</t>
  </si>
  <si>
    <t xml:space="preserve">33. A tanúsító szervezetre vonatkozó rendelkezések</t>
  </si>
  <si>
    <t xml:space="preserve">56. §</t>
  </si>
  <si>
    <t xml:space="preserve">34. A poszt-kvantumtitkosítás felügyelete</t>
  </si>
  <si>
    <t xml:space="preserve">57. §</t>
  </si>
  <si>
    <t xml:space="preserve">35. Sérülékenységvizsgálat végzésére jogosultak</t>
  </si>
  <si>
    <t xml:space="preserve">58. §</t>
  </si>
  <si>
    <t xml:space="preserve">36. Sérülékenységvizsgálat megindítása</t>
  </si>
  <si>
    <t xml:space="preserve">59. §</t>
  </si>
  <si>
    <t xml:space="preserve">60. §</t>
  </si>
  <si>
    <t xml:space="preserve">61. §</t>
  </si>
  <si>
    <t xml:space="preserve">62. §</t>
  </si>
  <si>
    <t xml:space="preserve">37. A sérülékenységvizsgálatra vonatkozó általános rendelkezések</t>
  </si>
  <si>
    <t xml:space="preserve">63. §</t>
  </si>
  <si>
    <t xml:space="preserve">38. A kiberbiztonsági incidenskezelő központok</t>
  </si>
  <si>
    <t xml:space="preserve">64. §</t>
  </si>
  <si>
    <t xml:space="preserve">65. §</t>
  </si>
  <si>
    <t xml:space="preserve">39. A kiberbiztonsági incidensek megelőzése</t>
  </si>
  <si>
    <t xml:space="preserve">66. §</t>
  </si>
  <si>
    <t xml:space="preserve">40. A kiberbiztonsági incidensek bejelentése és kezelése</t>
  </si>
  <si>
    <t xml:space="preserve">67. §</t>
  </si>
  <si>
    <t xml:space="preserve">68. §</t>
  </si>
  <si>
    <t xml:space="preserve">69. §</t>
  </si>
  <si>
    <t xml:space="preserve">41. A kibertérből érkező támadás megszakításához szükséges intézkedések</t>
  </si>
  <si>
    <t xml:space="preserve">70. §</t>
  </si>
  <si>
    <t xml:space="preserve">42. Kiberbiztonsági incidensek kezelése</t>
  </si>
  <si>
    <t xml:space="preserve">71. §</t>
  </si>
  <si>
    <t xml:space="preserve">43. Az (EU) 2022/2554 európai parlamenti és tanácsi rendelet hatálya alá tartozó szervezetek kiberbiztonsági incidenseinek kezelésére irányadó rendelkezések</t>
  </si>
  <si>
    <t xml:space="preserve">72. §</t>
  </si>
  <si>
    <t xml:space="preserve">44. A kiberbiztonságért felelős biztos</t>
  </si>
  <si>
    <t xml:space="preserve">73. §</t>
  </si>
  <si>
    <t xml:space="preserve">45. A Nemzeti Kiberbiztonsági Munkacsoport</t>
  </si>
  <si>
    <t xml:space="preserve">74. §</t>
  </si>
  <si>
    <t xml:space="preserve">46. A kiberbiztonsági válsághelyzet-kezelés szervezetrendszere</t>
  </si>
  <si>
    <t xml:space="preserve">75. §</t>
  </si>
  <si>
    <t xml:space="preserve">47. A nemzeti koordinációs központ</t>
  </si>
  <si>
    <t xml:space="preserve">76. §</t>
  </si>
  <si>
    <t xml:space="preserve">48. Együttműködés és jelentéstétel</t>
  </si>
  <si>
    <t xml:space="preserve">77. §</t>
  </si>
  <si>
    <t xml:space="preserve">78. §</t>
  </si>
  <si>
    <t xml:space="preserve">79. §</t>
  </si>
  <si>
    <t xml:space="preserve">79/A. §</t>
  </si>
  <si>
    <t xml:space="preserve">80. §</t>
  </si>
  <si>
    <t xml:space="preserve">80/A. §</t>
  </si>
  <si>
    <t xml:space="preserve">48/A. Az (EU) 2024/2847 európai parlamenti és tanácsi rendelet végrehajtásával kapcsolatos általános rendelkezések</t>
  </si>
  <si>
    <t xml:space="preserve">80/B. §</t>
  </si>
  <si>
    <t xml:space="preserve">80/C. §</t>
  </si>
  <si>
    <t xml:space="preserve">48/B. Bejelentő hatósági tevékenység</t>
  </si>
  <si>
    <t xml:space="preserve">80/D. §</t>
  </si>
  <si>
    <t xml:space="preserve">80/E. §</t>
  </si>
  <si>
    <t xml:space="preserve">80/F. §</t>
  </si>
  <si>
    <t xml:space="preserve">80/G. §</t>
  </si>
  <si>
    <t xml:space="preserve">81. §</t>
  </si>
  <si>
    <t xml:space="preserve">49. Felhatalmazó rendelkezések</t>
  </si>
  <si>
    <t xml:space="preserve">82. §</t>
  </si>
  <si>
    <t xml:space="preserve">50. Hatályba léptető rendelkezések</t>
  </si>
  <si>
    <t xml:space="preserve">83. §</t>
  </si>
  <si>
    <t xml:space="preserve">51. Átmeneti rendelkezések</t>
  </si>
  <si>
    <t xml:space="preserve">84. §</t>
  </si>
  <si>
    <t xml:space="preserve">85. §</t>
  </si>
  <si>
    <t xml:space="preserve">86. §</t>
  </si>
  <si>
    <t xml:space="preserve">87. §</t>
  </si>
  <si>
    <t xml:space="preserve">88. §</t>
  </si>
  <si>
    <t xml:space="preserve">89. §</t>
  </si>
  <si>
    <t xml:space="preserve">90. §</t>
  </si>
  <si>
    <t xml:space="preserve">52. Az Alaptörvény sarkalatosságra vonatkozó követelményének való megfelelés</t>
  </si>
  <si>
    <t xml:space="preserve">90/A. §</t>
  </si>
  <si>
    <t xml:space="preserve">52/A. A törvény hivatalos rövid megjelölése</t>
  </si>
  <si>
    <t xml:space="preserve">91. §</t>
  </si>
  <si>
    <t xml:space="preserve">53. Az Európai Unió jogának való megfelelés</t>
  </si>
  <si>
    <t xml:space="preserve">92. §</t>
  </si>
  <si>
    <t xml:space="preserve">93–119. §</t>
  </si>
  <si>
    <t xml:space="preserve">54. Módosító és hatályon kívül helyező rendelkezések</t>
  </si>
  <si>
    <t xml:space="preserve">Nincs normaszöveg a letöltött helyen</t>
  </si>
  <si>
    <t xml:space="preserve">120. §</t>
  </si>
  <si>
    <t xml:space="preserve">121–131. §</t>
  </si>
  <si>
    <t xml:space="preserve">1. melléklet a 2024. évi LXIX. törvényhez</t>
  </si>
  <si>
    <t xml:space="preserve">Melléklet szövege elérhető</t>
  </si>
  <si>
    <t xml:space="preserve">2. melléklet a 2024. évi LXIX. törvényhez</t>
  </si>
  <si>
    <t xml:space="preserve">3. melléklet a 2024. évi LXIX. törvényhez</t>
  </si>
  <si>
    <t xml:space="preserve">VHR</t>
  </si>
  <si>
    <t xml:space="preserve">1. Hatály</t>
  </si>
  <si>
    <t xml:space="preserve">3. Adatosztályozás</t>
  </si>
  <si>
    <t xml:space="preserve">4. Védelmi intézkedésekre vonatkozó rendelkezések</t>
  </si>
  <si>
    <t xml:space="preserve">5. Biztonsági osztályba sorolás felülvizsgálata</t>
  </si>
  <si>
    <t xml:space="preserve">6. Az információbiztonsági szabályzat felülvizsgálata</t>
  </si>
  <si>
    <t xml:space="preserve">7. A nemzeti kiberbiztonsági hatósággal való együttműködés</t>
  </si>
  <si>
    <t xml:space="preserve">8. Kiberbiztonsági gyakorlatok</t>
  </si>
  <si>
    <t xml:space="preserve">9. Az elektronikus információs rendszer biztonságáért felelős személy</t>
  </si>
  <si>
    <t xml:space="preserve">10. Elektronikus információs rendszer fejlesztése, továbbfejlesztése esetén követendő eljárásrend</t>
  </si>
  <si>
    <t xml:space="preserve">11. A központi rendszerek és a központi szolgáltatások esetén irányadó rendelkezések</t>
  </si>
  <si>
    <t xml:space="preserve">12. A nemzeti kiberbiztonsági hatóságra vonatkozó általános rendelkezések</t>
  </si>
  <si>
    <t xml:space="preserve">18/A. §</t>
  </si>
  <si>
    <t xml:space="preserve">13. A nemzeti kiberbiztonsági hatóság hatósági eljárása</t>
  </si>
  <si>
    <t xml:space="preserve">14. Az alapvető, illetve fontos szervezetként történő azonosítás eljárásrendje</t>
  </si>
  <si>
    <t xml:space="preserve">15. Adatosztályozás vizsgálata</t>
  </si>
  <si>
    <t xml:space="preserve">16. Biztonsági osztályba sorolás vizsgálata</t>
  </si>
  <si>
    <t xml:space="preserve">17. A nemzeti kiberbiztonsági hatóság éves ellenőrzési terve</t>
  </si>
  <si>
    <t xml:space="preserve">18. A hatósági ellenőrzés általános szabályai</t>
  </si>
  <si>
    <t xml:space="preserve">19. Jogkövetkezmények</t>
  </si>
  <si>
    <t xml:space="preserve">20. Az információbiztonsági felügyelő</t>
  </si>
  <si>
    <t xml:space="preserve">21. Kiberbiztonsági bírság</t>
  </si>
  <si>
    <t xml:space="preserve">22. A kiberbiztonsági tanúsító hatósági tevékenységre vonatkozó egyes rendelkezések</t>
  </si>
  <si>
    <t xml:space="preserve">23. A sérülékenységvizsgálatra vonatkozó általános rendelkezések</t>
  </si>
  <si>
    <t xml:space="preserve">24. Vizsgálati módszerek</t>
  </si>
  <si>
    <t xml:space="preserve">25. A sérülékenységvizsgálat lefolytatása</t>
  </si>
  <si>
    <t xml:space="preserve">26. Az utóvizsgálat</t>
  </si>
  <si>
    <t xml:space="preserve">27. A kiberbiztonsági incidenskezelő központok</t>
  </si>
  <si>
    <t xml:space="preserve">28. Fenyegetettség-elemzés és prevenciós tevékenység</t>
  </si>
  <si>
    <t xml:space="preserve">29. Sebezhetőségek kezelése</t>
  </si>
  <si>
    <t xml:space="preserve">30. A kiberbiztonsági incidensek bejelentése</t>
  </si>
  <si>
    <t xml:space="preserve">31. Kiberbiztonsági incidensek kezelése és vizsgálata</t>
  </si>
  <si>
    <t xml:space="preserve">32. Az (EU) 2022/2554 európai parlamenti és tanácsi rendelet hatálya alá tartozó szervezetek kiberbiztonsági incidenseinek kezelésére irányadó rendelkezések</t>
  </si>
  <si>
    <t xml:space="preserve">33. A kiberbiztonságért felelős biztos</t>
  </si>
  <si>
    <t xml:space="preserve">34. A Nemzeti Kiberbiztonsági Munkacsoport</t>
  </si>
  <si>
    <t xml:space="preserve">93. §</t>
  </si>
  <si>
    <t xml:space="preserve">35. Operatív Törzs</t>
  </si>
  <si>
    <t xml:space="preserve">94. §</t>
  </si>
  <si>
    <t xml:space="preserve">36. Kiberbiztonsági Fórum</t>
  </si>
  <si>
    <t xml:space="preserve">95. §</t>
  </si>
  <si>
    <t xml:space="preserve">37. Kiberbiztonsági Almunkacsoportok</t>
  </si>
  <si>
    <t xml:space="preserve">96. §</t>
  </si>
  <si>
    <t xml:space="preserve">38. Titkárság</t>
  </si>
  <si>
    <t xml:space="preserve">97. §</t>
  </si>
  <si>
    <t xml:space="preserve">39. A kormányzati koordinációs szervek feladatai</t>
  </si>
  <si>
    <t xml:space="preserve">98. §</t>
  </si>
  <si>
    <t xml:space="preserve">99. §</t>
  </si>
  <si>
    <t xml:space="preserve">100. §</t>
  </si>
  <si>
    <t xml:space="preserve">101. §</t>
  </si>
  <si>
    <t xml:space="preserve">102. §</t>
  </si>
  <si>
    <t xml:space="preserve">103. §</t>
  </si>
  <si>
    <t xml:space="preserve">104. §</t>
  </si>
  <si>
    <t xml:space="preserve">105. §</t>
  </si>
  <si>
    <t xml:space="preserve">106. §</t>
  </si>
  <si>
    <t xml:space="preserve">40. A kiberbiztonsági válsághelyzetek kezelésének szervezetrendszere</t>
  </si>
  <si>
    <t xml:space="preserve">107. §</t>
  </si>
  <si>
    <t xml:space="preserve">41. A kiberbiztonsági tervezés és felkészülés rendje</t>
  </si>
  <si>
    <t xml:space="preserve">108. §</t>
  </si>
  <si>
    <t xml:space="preserve">109. §</t>
  </si>
  <si>
    <t xml:space="preserve">110. §</t>
  </si>
  <si>
    <t xml:space="preserve">111. §</t>
  </si>
  <si>
    <t xml:space="preserve">42. Nagy kiterjedésű incidens bejelentése, az Európai Bizottság és a tagállamok tájékoztatása</t>
  </si>
  <si>
    <t xml:space="preserve">112. §</t>
  </si>
  <si>
    <t xml:space="preserve">43. Nemzeti együttműködés</t>
  </si>
  <si>
    <t xml:space="preserve">113. §</t>
  </si>
  <si>
    <t xml:space="preserve">114. §</t>
  </si>
  <si>
    <t xml:space="preserve">44. Az egyedüli kapcsolattartó pont</t>
  </si>
  <si>
    <t xml:space="preserve">115. §</t>
  </si>
  <si>
    <t xml:space="preserve">116. §</t>
  </si>
  <si>
    <t xml:space="preserve">45. Európai szakértői értékelés</t>
  </si>
  <si>
    <t xml:space="preserve">117. §</t>
  </si>
  <si>
    <t xml:space="preserve">118. §</t>
  </si>
  <si>
    <t xml:space="preserve">46. Hatályba léptető rendelkezések</t>
  </si>
  <si>
    <t xml:space="preserve">119. §</t>
  </si>
  <si>
    <t xml:space="preserve">47. Átmeneti rendelkezések</t>
  </si>
  <si>
    <t xml:space="preserve">48. Az Európai Unió jogának való megfelelés</t>
  </si>
  <si>
    <t xml:space="preserve">121–143. §</t>
  </si>
  <si>
    <t xml:space="preserve">49. Módosító rendelkezések</t>
  </si>
  <si>
    <t xml:space="preserve">144. §</t>
  </si>
  <si>
    <t xml:space="preserve">145–153. §</t>
  </si>
  <si>
    <t xml:space="preserve">1. melléklet a 418/2024. (XII. 23.) Korm. rendelethez</t>
  </si>
  <si>
    <t xml:space="preserve">2. melléklet a 418/2024. (XII. 23.) Korm. rendelethez</t>
  </si>
  <si>
    <t xml:space="preserve">3. melléklet a 418/2024. (XII. 23.) Korm. rendelethez</t>
  </si>
  <si>
    <t xml:space="preserve">4. melléklet a 418/2024. (XII. 23.) Korm. rendelethez</t>
  </si>
  <si>
    <t xml:space="preserve">Forrásszöveg</t>
  </si>
  <si>
    <t xml:space="preserve">A letöltött normaszöveg; kiadói lábjegyzetek nélkül. Táblázatsorban a | jel cellahatárt jelöl.</t>
  </si>
  <si>
    <t xml:space="preserve">Forrásazonosító</t>
  </si>
  <si>
    <t xml:space="preserve">Jogszabályhely / cím</t>
  </si>
  <si>
    <t xml:space="preserve">Szó szerinti szöveg</t>
  </si>
  <si>
    <t xml:space="preserve">Bekezdés eleje</t>
  </si>
  <si>
    <t xml:space="preserve">Online forrás</t>
  </si>
  <si>
    <t xml:space="preserve">TV-S0001</t>
  </si>
  <si>
    <t xml:space="preserve">2024. évi LXIX. törvény</t>
  </si>
  <si>
    <t xml:space="preserve">TV-S0002</t>
  </si>
  <si>
    <t xml:space="preserve">Magyarország kiberbiztonságáról</t>
  </si>
  <si>
    <t xml:space="preserve">TV-S0003</t>
  </si>
  <si>
    <t xml:space="preserve">Bevezető rendelkezés</t>
  </si>
  <si>
    <t xml:space="preserve">[1] A nemzet érdekében kiemelten fontos napjaink információs társadalmát érő fenyegetések miatt az elektronikus információs rendszerek fenyegetéseinek mérséklése és a kulcsfontosságú ágazatokban a szolgáltatások folyamatosságának biztosítása.</t>
  </si>
  <si>
    <t xml:space="preserve">TV-S0004</t>
  </si>
  <si>
    <t xml:space="preserve">[2] Társadalmi elvárás az állam és polgárai számára elengedhetetlen elektronikus információs rendszerekben kezelt adatok és információk bizalmassága, sértetlensége és rendelkezésre állása zárt, teljes körű, folytonos és a kockázatokkal arányos védelmének biztosítása, ezáltal a kibertér védelme, amely hozzájárul Magyarország és az Európai Unió biztonságához, ellenálló képességének és versenyképességének növeléséhez.</t>
  </si>
  <si>
    <t xml:space="preserve">TV-S0005</t>
  </si>
  <si>
    <t xml:space="preserve">[3] A társadalom gyors digitális átalakulásával és összekapcsolódásával az elektronikus információs rendszerek, valamint a digitális eszközök a mindennapi élet központi elemévé váltak. A fejlődés a digitális fenyegetettségek körének bővüléséhez is vezetett, ami akadályozhatja a gazdasági tevékenységek folytatását, pénzügyi veszteséget okozhat és alááshatja a felhasználók bizalmát, ezzel jelentős károkat okozva a gazdasági és társadalmi életben. Ezen túlmenően a kiberbiztonság kulcsfontosságú tényező számos kritikus ágazat számára a digitális átalakulás sikeres felkarolásához és a digitalizáció gazdasági, társadalmi és fenntartható előnyeinek teljes körű kiaknázásához.</t>
  </si>
  <si>
    <t xml:space="preserve">TV-S0006</t>
  </si>
  <si>
    <t xml:space="preserve">[4] Mindezekre, valamint az Európai Unió egész területén egységesen magas szintű kiberbiztonságot biztosító intézkedésekről szóló irányelvére figyelemmel az Országgyűlés a következő törvényt alkotja:</t>
  </si>
  <si>
    <t xml:space="preserve">TV-S0007</t>
  </si>
  <si>
    <t xml:space="preserve">I. FEJEZET</t>
  </si>
  <si>
    <t xml:space="preserve">TV-S0008</t>
  </si>
  <si>
    <t xml:space="preserve">ÁLTALÁNOS RENDELKEZÉSEK</t>
  </si>
  <si>
    <t xml:space="preserve">TV-S0009</t>
  </si>
  <si>
    <t xml:space="preserve">TV-S0010</t>
  </si>
  <si>
    <t xml:space="preserve">1. § (1)</t>
  </si>
  <si>
    <t xml:space="preserve">1. § (1) E törvénynek a szervezetek kötelezettségeire és a kiberbiztonsági hatósági felügyeletre vonatkozó rendelkezéseit kell alkalmazni</t>
  </si>
  <si>
    <t xml:space="preserve">TV-S0011</t>
  </si>
  <si>
    <t xml:space="preserve">1. § (1) a)</t>
  </si>
  <si>
    <t xml:space="preserve">a) az 1. mellékletben felsorolt, a közigazgatási ágazathoz tartozó szervezetekre,</t>
  </si>
  <si>
    <t xml:space="preserve">TV-S0012</t>
  </si>
  <si>
    <t xml:space="preserve">1. § (1) b)</t>
  </si>
  <si>
    <t xml:space="preserve">b) a többségi állami befolyás alatt álló azon gazdálkodó szervezetekre, amelyek nem tartoznak az a) pont hatálya alá és amelyek vonatkozásában legalább az egyik feltétel teljesül az alábbiak közül:</t>
  </si>
  <si>
    <t xml:space="preserve">TV-S0013</t>
  </si>
  <si>
    <t xml:space="preserve">1. § (1) b) ba)</t>
  </si>
  <si>
    <t xml:space="preserve">ba) összes foglalkoztatotti létszáma eléri vagy meghaladja az 50 főt, vagy</t>
  </si>
  <si>
    <t xml:space="preserve">TV-S0014</t>
  </si>
  <si>
    <t xml:space="preserve">1. § (1) b) bb)</t>
  </si>
  <si>
    <t xml:space="preserve">bb) éves nettó árbevétele vagy éves költségvetési bevételi előirányzata meghaladja a 10 millió eurónak megfelelő forintösszeget, és – a számvitelről szóló 2000. évi C. törvény 8. § (2) bekezdése szerinti beszámoló készítésére köteles szervezet esetében – mérlegfőösszege meghaladja a 10 millió eurónak megfelelő forintösszeget,</t>
  </si>
  <si>
    <t xml:space="preserve">TV-S0015</t>
  </si>
  <si>
    <t xml:space="preserve">1. § (1) c)</t>
  </si>
  <si>
    <t xml:space="preserve">c) a 23. § (1) bekezdés a) pontja szerinti nemzeti kiberbiztonsági hatóság (a továbbiakban: nemzeti kiberbiztonsági hatóság), vagy a 23. § (2) bekezdése szerinti honvédelmi kiberbiztonsági hatóság (a továbbiakban: honvédelmi kiberbiztonsági hatóság) által a (6) bekezdés szerint alapvető vagy fontos szervezetként azonosított, az a), b) és d)–f) pont, valamint az (EU) 2022/2554 európai parlamenti és tanácsi rendelet hatálya alá nem tartozó szervezetekre,</t>
  </si>
  <si>
    <t xml:space="preserve">TV-S0016</t>
  </si>
  <si>
    <t xml:space="preserve">1. § (1) d)</t>
  </si>
  <si>
    <t xml:space="preserve">d) azokra a 2. és 3. melléklet szerinti szervezetekre, amelyek nem tartoznak az a) pont hatálya alá és a kis- és középvállalkozásokról, fejlődésük támogatásáról szóló törvény szerint középvállalkozásoknak minősülnek, valamint azokra a 2. és 3. melléklet szerinti szervezetekre, amelyek nem tartoznak az a) pont hatálya alá, és amelyek vonatkozásában legalább az egyik feltétel teljesül a következők közül:</t>
  </si>
  <si>
    <t xml:space="preserve">TV-S0017</t>
  </si>
  <si>
    <t xml:space="preserve">1. § (1) d) da)</t>
  </si>
  <si>
    <t xml:space="preserve">da) összes foglalkoztatotti létszáma eléri vagy meghaladja az 50 főt, vagy</t>
  </si>
  <si>
    <t xml:space="preserve">TV-S0018</t>
  </si>
  <si>
    <t xml:space="preserve">1. § (1) d) db)</t>
  </si>
  <si>
    <t xml:space="preserve">db) éves nettó árbevétele vagy éves költségvetési bevételi előirányzata meghaladja a 10 millió eurónak megfelelő forintösszeget, és – a számvitelről szóló 2000. évi C. törvény 8. § (2) bekezdése szerinti beszámoló készítésére köteles szervezet esetében – mérlegfőösszege meghaladja a 10 millió eurónak megfelelő forintösszeget,</t>
  </si>
  <si>
    <t xml:space="preserve">TV-S0019</t>
  </si>
  <si>
    <t xml:space="preserve">1. § (1) e)</t>
  </si>
  <si>
    <t xml:space="preserve">e) méretüktől függetlenül, az a) pont hatálya alá nem tartozó, a 2. és 3. melléklet szerinti szervezetekre, ha a szervezet</t>
  </si>
  <si>
    <t xml:space="preserve">TV-S0020</t>
  </si>
  <si>
    <t xml:space="preserve">1. § (1) e) ea)</t>
  </si>
  <si>
    <t xml:space="preserve">ea) elektronikus hírközlési szolgáltató,</t>
  </si>
  <si>
    <t xml:space="preserve">TV-S0021</t>
  </si>
  <si>
    <t xml:space="preserve">1. § (1) e) eb)</t>
  </si>
  <si>
    <t xml:space="preserve">eb) bizalmi szolgáltató,</t>
  </si>
  <si>
    <t xml:space="preserve">TV-S0022</t>
  </si>
  <si>
    <t xml:space="preserve">1. § (1) e) ec)</t>
  </si>
  <si>
    <t xml:space="preserve">ec) DNS-szolgáltató,</t>
  </si>
  <si>
    <t xml:space="preserve">TV-S0023</t>
  </si>
  <si>
    <t xml:space="preserve">1. § (1) e) ed)</t>
  </si>
  <si>
    <t xml:space="preserve">ed) legfelső szintű doménnév-nyilvántartó vagy</t>
  </si>
  <si>
    <t xml:space="preserve">TV-S0024</t>
  </si>
  <si>
    <t xml:space="preserve">1. § (1) e) ee)</t>
  </si>
  <si>
    <t xml:space="preserve">ee) doménnév-regisztrációt végző szolgáltató, valamint</t>
  </si>
  <si>
    <t xml:space="preserve">TV-S0025</t>
  </si>
  <si>
    <t xml:space="preserve">1. § (1) f)</t>
  </si>
  <si>
    <t xml:space="preserve">f) a honvédelmi érdekhez kapcsolódó tevékenységet folytató gazdasági társaságokra.</t>
  </si>
  <si>
    <t xml:space="preserve">TV-S0026</t>
  </si>
  <si>
    <t xml:space="preserve">1. § (1a)</t>
  </si>
  <si>
    <t xml:space="preserve">TV-S0027</t>
  </si>
  <si>
    <t xml:space="preserve">1. § (2)</t>
  </si>
  <si>
    <t xml:space="preserve">TV-S0028</t>
  </si>
  <si>
    <t xml:space="preserve">1. § (2a)</t>
  </si>
  <si>
    <t xml:space="preserve">TV-S0029</t>
  </si>
  <si>
    <t xml:space="preserve">1. § (3)</t>
  </si>
  <si>
    <t xml:space="preserve">TV-S0030</t>
  </si>
  <si>
    <t xml:space="preserve">1. § (4)</t>
  </si>
  <si>
    <t xml:space="preserve">(4) Az (1) bekezdés szerinti szervezetek közül alapvető szervezetnek minősülnek az alábbi szervezetek:</t>
  </si>
  <si>
    <t xml:space="preserve">TV-S0031</t>
  </si>
  <si>
    <t xml:space="preserve">1. § (4) a)</t>
  </si>
  <si>
    <t xml:space="preserve">a) az 1. melléklet szerinti szervezetek, kivéve a 20 000 főt meg nem haladó lakosságszámú települések képviselő-testületének hivatalai,</t>
  </si>
  <si>
    <t xml:space="preserve">TV-S0032</t>
  </si>
  <si>
    <t xml:space="preserve">1. § (4) b)</t>
  </si>
  <si>
    <t xml:space="preserve">b) az (1) bekezdés b) pontja szerinti szervezetek,</t>
  </si>
  <si>
    <t xml:space="preserve">TV-S0033</t>
  </si>
  <si>
    <t xml:space="preserve">1. § (4) c)</t>
  </si>
  <si>
    <t xml:space="preserve">c) azon szervezetek, amelyeket a nemzeti kiberbiztonsági hatóság vagy a honvédelmi kiberbiztonsági hatóság alapvető szervezetként azonosított,</t>
  </si>
  <si>
    <t xml:space="preserve">TV-S0034</t>
  </si>
  <si>
    <t xml:space="preserve">1. § (4) d)</t>
  </si>
  <si>
    <t xml:space="preserve">d) a Kszetv. alapján kijelölt kritikus szervezetek,</t>
  </si>
  <si>
    <t xml:space="preserve">TV-S0035</t>
  </si>
  <si>
    <t xml:space="preserve">1. § (4) e)</t>
  </si>
  <si>
    <t xml:space="preserve">e) a Vbö. alapján kijelölt, az ország védelme és biztonsága szempontjából jelentős szervezetek,</t>
  </si>
  <si>
    <t xml:space="preserve">TV-S0036</t>
  </si>
  <si>
    <t xml:space="preserve">1. § (4) f)</t>
  </si>
  <si>
    <t xml:space="preserve">f) a 2. melléklet szerinti azon szervezetek, amelyek a kis- és középvállalkozásokról, fejlődésük támogatásáról szóló törvény szerint középvállalkozásnak minősülnek vagy meghaladják a középvállalkozásokra vonatkozóan előírt küszöbértékeket, valamint</t>
  </si>
  <si>
    <t xml:space="preserve">TV-S0037</t>
  </si>
  <si>
    <t xml:space="preserve">1. § (4) g)</t>
  </si>
  <si>
    <t xml:space="preserve">g) a minősített bizalmi szolgáltatók és a legfelső szintű doménnév-nyilvántartók, valamint a DNS-szolgáltatók, méretüktől függetlenül,</t>
  </si>
  <si>
    <t xml:space="preserve">TV-S0038</t>
  </si>
  <si>
    <t xml:space="preserve">1. § (4) h)</t>
  </si>
  <si>
    <t xml:space="preserve">h) a honvédelmi érdekhez kapcsolódó tevékenységet folytató gazdasági társaságok.</t>
  </si>
  <si>
    <t xml:space="preserve">TV-S0039</t>
  </si>
  <si>
    <t xml:space="preserve">1. § (5)</t>
  </si>
  <si>
    <t xml:space="preserve">(5) Az (1) bekezdés szerinti szervezetek közül fontos szervezetnek minősülnek és a szervezetekre vonatkozó rendelkezéseket az e törvényben foglalt eltérésekkel kell alkalmazni az alábbi szervezetekre:</t>
  </si>
  <si>
    <t xml:space="preserve">TV-S0040</t>
  </si>
  <si>
    <t xml:space="preserve">1. § (5) a)</t>
  </si>
  <si>
    <t xml:space="preserve">a) a 20 000 főt meg nem haladó lakosságszámú települések képviselő-testületének hivatalai,</t>
  </si>
  <si>
    <t xml:space="preserve">TV-S0041</t>
  </si>
  <si>
    <t xml:space="preserve">1. § (5) b)</t>
  </si>
  <si>
    <t xml:space="preserve">b) azon szervezetek, amelyeket a nemzeti kiberbiztonsági hatóság vagy a honvédelmi kiberbiztonsági hatóság fontos szervezetként azonosított,</t>
  </si>
  <si>
    <t xml:space="preserve">TV-S0042</t>
  </si>
  <si>
    <t xml:space="preserve">1. § (5) c)</t>
  </si>
  <si>
    <t xml:space="preserve">c) a 2. melléklet szerinti szervezet, amely nem minősül alapvető szervezetnek, valamint</t>
  </si>
  <si>
    <t xml:space="preserve">TV-S0043</t>
  </si>
  <si>
    <t xml:space="preserve">1. § (5) d)</t>
  </si>
  <si>
    <t xml:space="preserve">d) a 3. melléklet szerinti szervezet, amely a (4) bekezdés b)–e) pontja alapján nem minősül alapvető szervezetnek.</t>
  </si>
  <si>
    <t xml:space="preserve">TV-S0044</t>
  </si>
  <si>
    <t xml:space="preserve">1. § (6)</t>
  </si>
  <si>
    <t xml:space="preserve">(6) Az (1) bekezdés c) pontja szerinti azonosítási eljárás feltétele, hogy a szervezet</t>
  </si>
  <si>
    <t xml:space="preserve">TV-S0045</t>
  </si>
  <si>
    <t xml:space="preserve">1. § (6) 1.</t>
  </si>
  <si>
    <t xml:space="preserve">1. Magyarországon egyedüli szolgáltatója egy olyan szolgáltatásnak, amely elengedhetetlen a kritikus társadalmi vagy gazdasági tevékenységek fenntartásához;</t>
  </si>
  <si>
    <t xml:space="preserve">TV-S0046</t>
  </si>
  <si>
    <t xml:space="preserve">1. § (6) 2.</t>
  </si>
  <si>
    <t xml:space="preserve">2. által nyújtott szolgáltatás zavara jelentős hatással lehet a közrendre, a közbiztonságra vagy a közegészségre;</t>
  </si>
  <si>
    <t xml:space="preserve">TV-S0047</t>
  </si>
  <si>
    <t xml:space="preserve">1. § (6) 3.</t>
  </si>
  <si>
    <t xml:space="preserve">3. által nyújtott szolgáltatás zavara jelentős hatást gyakorolhat kritikus fontosságú társadalmi vagy gazdasági tevékenységekre;</t>
  </si>
  <si>
    <t xml:space="preserve">TV-S0048</t>
  </si>
  <si>
    <t xml:space="preserve">1. § (6) 4.</t>
  </si>
  <si>
    <t xml:space="preserve">4. által nyújtott szolgáltatás zavara jelentős rendszerszintű kockázatot idézhet elő, különösen azokban az ágazatokban, ahol az említett zavarnak határokon átnyúló hatása lehet;</t>
  </si>
  <si>
    <t xml:space="preserve">TV-S0049</t>
  </si>
  <si>
    <t xml:space="preserve">1. § (6) 5.</t>
  </si>
  <si>
    <t xml:space="preserve">5. nemzeti vagy regionális szinten különös fontossággal bír az adott ágazat vagy szolgáltatás típusa, vagy más, hazai kölcsönösen függő ágazatok szempontjából;</t>
  </si>
  <si>
    <t xml:space="preserve">TV-S0050</t>
  </si>
  <si>
    <t xml:space="preserve">1. § (6) 6.</t>
  </si>
  <si>
    <t xml:space="preserve">6. a nemzetbiztonsági védelem alá eső szervek és létesítmények köréről szóló kormányhatározat alapján nemzetbiztonsági védelem alatt áll; vagy nemzetbiztonsági okból a nemzeti kiberbiztonsági hatóság, honvédelmi vagy katonai nemzetbiztonsági okból a honvédelmi kiberbiztonsági hatóság indokoltnak tartja az azonosítását;</t>
  </si>
  <si>
    <t xml:space="preserve">TV-S0051</t>
  </si>
  <si>
    <t xml:space="preserve">1. § (6) 7.</t>
  </si>
  <si>
    <t xml:space="preserve">7. legalább 20000 személynek nyújt a 2. és 3. mellékletben foglalt ágazatok szerinti, vagy az állam működéséhez szükséges szolgáltatásokat;</t>
  </si>
  <si>
    <t xml:space="preserve">TV-S0052</t>
  </si>
  <si>
    <t xml:space="preserve">1. § (6) 8.</t>
  </si>
  <si>
    <t xml:space="preserve">8. legalább 5, e törvény hatálya alá tartozó szervezetnek nyújt szolgáltatásokat;</t>
  </si>
  <si>
    <t xml:space="preserve">TV-S0053</t>
  </si>
  <si>
    <t xml:space="preserve">1. § (6) 9.</t>
  </si>
  <si>
    <t xml:space="preserve">9. többségi állami befolyás alatt áll;</t>
  </si>
  <si>
    <t xml:space="preserve">TV-S0054</t>
  </si>
  <si>
    <t xml:space="preserve">1. § (6) 10.</t>
  </si>
  <si>
    <t xml:space="preserve">10. jogszabályban meghatározott, a nemzeti adatvagyon körébe tartozó állami nyilvántartások adatfeldolgozója;</t>
  </si>
  <si>
    <t xml:space="preserve">TV-S0055</t>
  </si>
  <si>
    <t xml:space="preserve">1. § (6) 11.</t>
  </si>
  <si>
    <t xml:space="preserve">11. az alapvető vagy fontos szervezet számára adatkezelést végez;</t>
  </si>
  <si>
    <t xml:space="preserve">TV-S0056</t>
  </si>
  <si>
    <t xml:space="preserve">1. § (6) 12.</t>
  </si>
  <si>
    <t xml:space="preserve">12. olyan köztulajdonban álló gazdasági társaságnak minősül, amely nem tartozik az (1) bekezdés b) pontjának hatálya alá vagy</t>
  </si>
  <si>
    <t xml:space="preserve">TV-S0057</t>
  </si>
  <si>
    <t xml:space="preserve">1. § (6) 13.</t>
  </si>
  <si>
    <t xml:space="preserve">13. költségvetési és európai uniós forrásból támogatott projektek keretében fejleszt elektronikus információs rendszert.</t>
  </si>
  <si>
    <t xml:space="preserve">TV-S0058</t>
  </si>
  <si>
    <t xml:space="preserve">1. § (7)</t>
  </si>
  <si>
    <t xml:space="preserve">TV-S0059</t>
  </si>
  <si>
    <t xml:space="preserve">1. § (8)</t>
  </si>
  <si>
    <t xml:space="preserve">(8) E törvény poszt-kvantumtitkosításra vonatkozó rendelkezéseit a Szabályozott Tevékenységek Felügyeleti Hatósága (a továbbiakban: SZTFH) elnökének rendeletében meghatározott, a következő szervezetekre (a továbbiakban: poszt-kvantumtitkosítás alkalmazására kötelezett szervezet) és hatósági felügyeletükre irányuló tevékenységre kell alkalmazni:</t>
  </si>
  <si>
    <t xml:space="preserve">TV-S0060</t>
  </si>
  <si>
    <t xml:space="preserve">1. § (8) a)</t>
  </si>
  <si>
    <t xml:space="preserve">a) a kormányzati célú hálózatokról szóló kormányrendelet szerinti igénybevételre kötelezett szervezet, valamint</t>
  </si>
  <si>
    <t xml:space="preserve">TV-S0061</t>
  </si>
  <si>
    <t xml:space="preserve">1. § (8) b)</t>
  </si>
  <si>
    <t xml:space="preserve">b) a következő törvények hatálya alá tartozó közműszolgáltató és a következő törvények felhatalmazása alapján kiadott jogszabályok hatálya alá tartozó, közszolgáltatást nyújtó szervezet:</t>
  </si>
  <si>
    <t xml:space="preserve">TV-S0062</t>
  </si>
  <si>
    <t xml:space="preserve">1. § (8) b) ba)</t>
  </si>
  <si>
    <t xml:space="preserve">ba) a földgázellátásról szóló törvény,</t>
  </si>
  <si>
    <t xml:space="preserve">TV-S0063</t>
  </si>
  <si>
    <t xml:space="preserve">1. § (8) b) bb)</t>
  </si>
  <si>
    <t xml:space="preserve">bb) a földgáz biztonsági készletezéséről szóló törvény,</t>
  </si>
  <si>
    <t xml:space="preserve">TV-S0064</t>
  </si>
  <si>
    <t xml:space="preserve">1. § (8) b) bc)</t>
  </si>
  <si>
    <t xml:space="preserve">bc) a villamos energiáról szóló törvény,</t>
  </si>
  <si>
    <t xml:space="preserve">TV-S0065</t>
  </si>
  <si>
    <t xml:space="preserve">1. § (8) b) bd)</t>
  </si>
  <si>
    <t xml:space="preserve">bd) a távhőszolgáltatásról szóló törvény,</t>
  </si>
  <si>
    <t xml:space="preserve">TV-S0066</t>
  </si>
  <si>
    <t xml:space="preserve">1. § (8) b) be)</t>
  </si>
  <si>
    <t xml:space="preserve">be) a víziközmű-szolgáltatásról szóló törvény, valamint</t>
  </si>
  <si>
    <t xml:space="preserve">TV-S0067</t>
  </si>
  <si>
    <t xml:space="preserve">1. § (8) b) bf)</t>
  </si>
  <si>
    <t xml:space="preserve">bf) a hulladékról szóló törvény.</t>
  </si>
  <si>
    <t xml:space="preserve">TV-S0068</t>
  </si>
  <si>
    <t xml:space="preserve">1. § (9)</t>
  </si>
  <si>
    <t xml:space="preserve">(9) E törvény sérülékenységvizsgálatra vonatkozó rendelkezéseit kell alkalmazni:</t>
  </si>
  <si>
    <t xml:space="preserve">TV-S0069</t>
  </si>
  <si>
    <t xml:space="preserve">1. § (9) a)</t>
  </si>
  <si>
    <t xml:space="preserve">a) az (1) bekezdés a)–c) és f) pontja szerinti szervezetek elektronikus információs rendszereit, valamint</t>
  </si>
  <si>
    <t xml:space="preserve">TV-S0070</t>
  </si>
  <si>
    <t xml:space="preserve">1. § (9) b)</t>
  </si>
  <si>
    <t xml:space="preserve">b) a megállapodásban foglalt eltérésekkel a 61. § szerinti megállapodásban meghatározott elektronikus információs rendszereket</t>
  </si>
  <si>
    <t xml:space="preserve">TV-S0071</t>
  </si>
  <si>
    <t xml:space="preserve">érintő sérülékenységvizsgálatokra.</t>
  </si>
  <si>
    <t xml:space="preserve">TV-S0072</t>
  </si>
  <si>
    <t xml:space="preserve">1. § (10)</t>
  </si>
  <si>
    <t xml:space="preserve">(10) E törvény kiberbiztonsági incidenskezelésre vonatkozó rendelkezéseit kell alkalmazni:</t>
  </si>
  <si>
    <t xml:space="preserve">TV-S0073</t>
  </si>
  <si>
    <t xml:space="preserve">1. § (10) a)</t>
  </si>
  <si>
    <t xml:space="preserve">a) az (1) bekezdés szerinti szervezetek, valamint</t>
  </si>
  <si>
    <t xml:space="preserve">TV-S0074</t>
  </si>
  <si>
    <t xml:space="preserve">1. § (10) b)</t>
  </si>
  <si>
    <t xml:space="preserve">b) az e törvényben meghatározott eltérésekkel az (EU) 2022/2554 európai parlamenti és tanácsi rendelet hatálya alá tartozó szervezetek</t>
  </si>
  <si>
    <t xml:space="preserve">TV-S0075</t>
  </si>
  <si>
    <t xml:space="preserve">elektronikus információs rendszereit érintő kiberbiztonsági incidensek kezelésére.</t>
  </si>
  <si>
    <t xml:space="preserve">TV-S0076</t>
  </si>
  <si>
    <t xml:space="preserve">1. § (11)</t>
  </si>
  <si>
    <t xml:space="preserve">TV-S0077</t>
  </si>
  <si>
    <t xml:space="preserve">2. § (1)</t>
  </si>
  <si>
    <t xml:space="preserve">2. § (1) E törvény rendelkezéseit kell alkalmazni</t>
  </si>
  <si>
    <t xml:space="preserve">TV-S0078</t>
  </si>
  <si>
    <t xml:space="preserve">2. § (1) a)</t>
  </si>
  <si>
    <t xml:space="preserve">a) a Magyarország területén letelepedett vagy letelepedett képviselővel rendelkező 1. § szerinti szervezetekre,</t>
  </si>
  <si>
    <t xml:space="preserve">TV-S0079</t>
  </si>
  <si>
    <t xml:space="preserve">2. § (1) b)</t>
  </si>
  <si>
    <t xml:space="preserve">b) a Magyarország területén szolgáltatást nyújtó elektronikus hírközlési szolgáltatókra,</t>
  </si>
  <si>
    <t xml:space="preserve">TV-S0080</t>
  </si>
  <si>
    <t xml:space="preserve">2. § (1) c)</t>
  </si>
  <si>
    <t xml:space="preserve">c) azokra a DNS-szolgáltatókra, legfelső szintű doménnév-nyilvántartókra, doménnév-nyilvántartási szolgáltatásokat nyújtó szervezetekre, felhőszolgáltatókra, adatközpont-szolgáltatókra, tartalomszolgáltató hálózati szolgáltatókra, kihelyezett (irányított) infokommunikációs szolgáltatást nyújtó szolgáltatókra, kihelyezett (irányított) infokommunikációs biztonsági szolgáltatást nyújtó szolgáltatókra, az online piacterek, online keresőprogramok és közösségimédia-szolgáltatási platformok szolgáltatóira, amelyek üzleti tevékenységének fő helye Magyarország területén található.</t>
  </si>
  <si>
    <t xml:space="preserve">TV-S0081</t>
  </si>
  <si>
    <t xml:space="preserve">2. § (2)</t>
  </si>
  <si>
    <t xml:space="preserve">(2) Az (1) bekezdés c) pontja szerinti szervezet üzleti tevékenységének fő helye abban az esetben van Magyarországon, ha</t>
  </si>
  <si>
    <t xml:space="preserve">TV-S0082</t>
  </si>
  <si>
    <t xml:space="preserve">2. § (2) a)</t>
  </si>
  <si>
    <t xml:space="preserve">a) a kiberbiztonsági kockázatkezelési intézkedésekkel kapcsolatos döntéseket túlnyomórészt Magyarországon hozzák meg,</t>
  </si>
  <si>
    <t xml:space="preserve">TV-S0083</t>
  </si>
  <si>
    <t xml:space="preserve">2. § (2) b)</t>
  </si>
  <si>
    <t xml:space="preserve">b) a szervezet elektronikus információs rendszereivel kapcsolatos kiberbiztonsági műveleteket Magyarországon végzik, vagy</t>
  </si>
  <si>
    <t xml:space="preserve">TV-S0084</t>
  </si>
  <si>
    <t xml:space="preserve">2. § (2) c)</t>
  </si>
  <si>
    <t xml:space="preserve">c) a szervezetnek a legmagasabb munkavállalói létszámmal rendelkező telephelye Magyarországon van.</t>
  </si>
  <si>
    <t xml:space="preserve">TV-S0085</t>
  </si>
  <si>
    <t xml:space="preserve">3. § (1)</t>
  </si>
  <si>
    <t xml:space="preserve">3. § (1) E törvény hatálya nem terjed ki</t>
  </si>
  <si>
    <t xml:space="preserve">TV-S0086</t>
  </si>
  <si>
    <t xml:space="preserve">3. § (1) a)</t>
  </si>
  <si>
    <t xml:space="preserve">a) a minősített adatot kezelő elektronikus információs rendszerekre,</t>
  </si>
  <si>
    <t xml:space="preserve">TV-S0087</t>
  </si>
  <si>
    <t xml:space="preserve">3. § (1) b)</t>
  </si>
  <si>
    <t xml:space="preserve">b) a műveleti célú elektronikus információs rendszerekre,</t>
  </si>
  <si>
    <t xml:space="preserve">TV-S0088</t>
  </si>
  <si>
    <t xml:space="preserve">3. § (1) c)</t>
  </si>
  <si>
    <t xml:space="preserve">c) az atomenergia alkalmazása körében a fizikai védelemről és a kapcsolódó engedélyezési, jelentési és ellenőrzési rendszerről szóló kormányrendelet hatálya alá tartozó programozható rendszerekre, valamint</t>
  </si>
  <si>
    <t xml:space="preserve">TV-S0089</t>
  </si>
  <si>
    <t xml:space="preserve">3. § (1) d)</t>
  </si>
  <si>
    <t xml:space="preserve">d) a Kormány rendeletében kijelölt szerv által nyújtott kiberbiztonsági szolgáltatásokra.</t>
  </si>
  <si>
    <t xml:space="preserve">TV-S0090</t>
  </si>
  <si>
    <t xml:space="preserve">3. § (2)</t>
  </si>
  <si>
    <t xml:space="preserve">TV-S0091</t>
  </si>
  <si>
    <t xml:space="preserve">3. § (3)</t>
  </si>
  <si>
    <t xml:space="preserve">TV-S0092</t>
  </si>
  <si>
    <t xml:space="preserve">TV-S0093</t>
  </si>
  <si>
    <t xml:space="preserve">4. § E törvény alkalmazásában</t>
  </si>
  <si>
    <t xml:space="preserve">TV-S0094</t>
  </si>
  <si>
    <t xml:space="preserve">4. § 1.</t>
  </si>
  <si>
    <t xml:space="preserve">1. adat: az információ hordozója, a tények, fogalmak vagy utasítások formalizált ábrázolása, amely az emberek vagy automatikus eszközök számára közlésre, megjelenítésre vagy feldolgozásra alkalmas;</t>
  </si>
  <si>
    <t xml:space="preserve">TV-S0095</t>
  </si>
  <si>
    <t xml:space="preserve">4. § 2.</t>
  </si>
  <si>
    <t xml:space="preserve">2. adatfeldolgozás: az információs önrendelkezési jogról és az információszabadságról szóló törvény szerinti fogalom;</t>
  </si>
  <si>
    <t xml:space="preserve">TV-S0096</t>
  </si>
  <si>
    <t xml:space="preserve">4. § 3.</t>
  </si>
  <si>
    <t xml:space="preserve">3. adatfeldolgozó: az információs önrendelkezési jogról és az információszabadságról szóló törvény szerinti fogalom;</t>
  </si>
  <si>
    <t xml:space="preserve">TV-S0097</t>
  </si>
  <si>
    <t xml:space="preserve">4. § 4.</t>
  </si>
  <si>
    <t xml:space="preserve">4. adatkezelés: az információs önrendelkezési jogról és az információszabadságról szóló törvény szerinti fogalom;</t>
  </si>
  <si>
    <t xml:space="preserve">TV-S0098</t>
  </si>
  <si>
    <t xml:space="preserve">4. § 5.</t>
  </si>
  <si>
    <t xml:space="preserve">5. adatkezelő: az információs önrendelkezési jogról és az információszabadságról szóló törvény szerinti fogalom;</t>
  </si>
  <si>
    <t xml:space="preserve">TV-S0099</t>
  </si>
  <si>
    <t xml:space="preserve">4. § 6.</t>
  </si>
  <si>
    <t xml:space="preserve">6. adatkicserélő szolgáltatás: az elektronikus hírközlésről szóló törvény szerinti fogalom;</t>
  </si>
  <si>
    <t xml:space="preserve">TV-S0100</t>
  </si>
  <si>
    <t xml:space="preserve">4. § 7.</t>
  </si>
  <si>
    <t xml:space="preserve">7. adatközponti szolgáltatás: olyan szolgáltatás, amely központosított elhelyezést, összeköttetést és működést biztosít adattároló, -feldolgozó és -továbbító információtechnológiai és hálózati berendezések számára, ideértve az energiaellátást és környezeti felügyeletet biztosító létesítményeket és infrastruktúrát is;</t>
  </si>
  <si>
    <t xml:space="preserve">TV-S0101</t>
  </si>
  <si>
    <t xml:space="preserve">4. § 8.</t>
  </si>
  <si>
    <t xml:space="preserve">8. adatosztályozás: a szervezet által az elektronikus információs rendszerben kezelt adatok és információk biztonsági besorolása azok bizalmasságának, sértetlenségének és rendelkezésre állásának szempontjából;</t>
  </si>
  <si>
    <t xml:space="preserve">TV-S0102</t>
  </si>
  <si>
    <t xml:space="preserve">4. § 9.</t>
  </si>
  <si>
    <t xml:space="preserve">9. ágazaton belüli kiberbiztonsági incidenskezelő központ: olyan kiberbiztonsági incidenskezelő központ, amelyet az e törvény hatálya alá tartozó egy vagy több, egy ágazathoz tartozó szervezet az ágazaton belül meghatározott szakterületen előforduló kiberbiztonsági incidenseinek a központosított és egységes kezelése érdekében üzemeltet;</t>
  </si>
  <si>
    <t xml:space="preserve">TV-S0103</t>
  </si>
  <si>
    <t xml:space="preserve">4. § 10.</t>
  </si>
  <si>
    <t xml:space="preserve">10. auditor: az e törvény szerinti kiberbiztonsági audittevékenység végzésére jogosult, független gazdálkodó szervezet;</t>
  </si>
  <si>
    <t xml:space="preserve">TV-S0104</t>
  </si>
  <si>
    <t xml:space="preserve">4. § 11.</t>
  </si>
  <si>
    <t xml:space="preserve">11. behatolásvizsgálat: olyan sérülékenységvizsgálati módszer, amelynek során az IKT-rendszer, valamint az elektronikus információs rendszer gyenge pontjainak feltárására és kihasználhatóságának ellenőrzésére kerül sor a biztonsági intézkedések elleni rosszindulatú támadások szimulációjával;</t>
  </si>
  <si>
    <t xml:space="preserve">TV-S0105</t>
  </si>
  <si>
    <t xml:space="preserve">4. § 12.</t>
  </si>
  <si>
    <t xml:space="preserve">12. belső informatikai biztonsági vizsgálat: olyan sérülékenységvizsgálati módszer, amelynek során az informatikai rendszer sérülékenységvizsgálata a belső hálózati végpontról közvetlenül történik, vagy a belső hálózatban használt eszköz, vagy rendszerelem vizsgálata kerül végrehajtásra;</t>
  </si>
  <si>
    <t xml:space="preserve">TV-S0106</t>
  </si>
  <si>
    <t xml:space="preserve">4. § 13.</t>
  </si>
  <si>
    <t xml:space="preserve">13. bizalmasság: az elektronikus információs rendszer azon tulajdonsága, hogy a benne tárolt adatot, információt csak az arra jogosultak és csak a jogosultságuk szintje szerint ismerhetik meg, használhatják fel, illetve rendelkezhetnek a felhasználásáról;</t>
  </si>
  <si>
    <t xml:space="preserve">TV-S0107</t>
  </si>
  <si>
    <t xml:space="preserve">4. § 14.</t>
  </si>
  <si>
    <t xml:space="preserve">14. bizalmi szolgáltatás: a digitális államról és a digitális szolgáltatások nyújtásának egyes szabályairól szóló törvény szerinti fogalom;</t>
  </si>
  <si>
    <t xml:space="preserve">TV-S0108</t>
  </si>
  <si>
    <t xml:space="preserve">4. § 15.</t>
  </si>
  <si>
    <t xml:space="preserve">15. bizalmi szolgáltató: a digitális államról és a digitális szolgáltatások nyújtásának egyes szabályairól szóló törvény szerinti fogalom;</t>
  </si>
  <si>
    <t xml:space="preserve">TV-S0109</t>
  </si>
  <si>
    <t xml:space="preserve">4. § 16.</t>
  </si>
  <si>
    <t xml:space="preserve">16. biztonsági osztály: az elektronikus információs rendszer védelmének elvárt erőssége;</t>
  </si>
  <si>
    <t xml:space="preserve">TV-S0110</t>
  </si>
  <si>
    <t xml:space="preserve">4. § 17.</t>
  </si>
  <si>
    <t xml:space="preserve">17. biztonsági osztályba sorolás: a kockázatok alapján az elektronikus információs rendszer védelme elvárt erősségének meghatározása;</t>
  </si>
  <si>
    <t xml:space="preserve">TV-S0111</t>
  </si>
  <si>
    <t xml:space="preserve">4. § 18.</t>
  </si>
  <si>
    <t xml:space="preserve">18. digitális szolgáltatás: a digitális államról és a digitális szolgáltatások nyújtásának egyes szabályairól szóló törvény szerinti fogalom;</t>
  </si>
  <si>
    <t xml:space="preserve">TV-S0112</t>
  </si>
  <si>
    <t xml:space="preserve">4. § 19.</t>
  </si>
  <si>
    <t xml:space="preserve">19. DNS: hierarchikusan felépülő elnevezési rendszer, más néven doménnévrendszer, amely lehetővé teszi az internetes szolgáltatások és erőforrások azonosítását, lehetővé téve a végfelhasználók eszközei számára az internetes útvonal-meghatározási és összekapcsolási szolgáltatások igénybevételét e szolgáltatások és erőforrások elérése érdekében;</t>
  </si>
  <si>
    <t xml:space="preserve">TV-S0113</t>
  </si>
  <si>
    <t xml:space="preserve">4. § 20.</t>
  </si>
  <si>
    <t xml:space="preserve">20. DNS-szolgáltató: olyan szervezet, amely a következő szolgáltatások valamelyikét nyújtja a szervezeten kívüli más szervezet vagy személy részére:</t>
  </si>
  <si>
    <t xml:space="preserve">TV-S0114</t>
  </si>
  <si>
    <t xml:space="preserve">4. § 20. a)</t>
  </si>
  <si>
    <t xml:space="preserve">a) autoritatív DNS-szolgáltatás: a doménnév – doménnév-regisztrációt végző szolgáltató által kezelt – adatainak lekérdezését közvetlenül lehetővé tevő szolgáltatás, amely a legfelső szintű doménnév- nyilvántartó szolgáltatás része,</t>
  </si>
  <si>
    <t xml:space="preserve">TV-S0115</t>
  </si>
  <si>
    <t xml:space="preserve">4. § 20. b)</t>
  </si>
  <si>
    <t xml:space="preserve">b) rekurzív DNS-szolgáltatás: olyan DNS-szolgáltatás, amely a felhasználók doménnév-lekérdezéseit a megfelelő autoritatív DNS-szolgáltatókhoz továbbítja a hierarchikusan felépülő doménnévrendszerben és az autoritatív DNS-szolgáltató által a lekérdezésre adott válaszokat továbbítja a felhasználó részére,</t>
  </si>
  <si>
    <t xml:space="preserve">TV-S0116</t>
  </si>
  <si>
    <t xml:space="preserve">4. § 20. c)</t>
  </si>
  <si>
    <t xml:space="preserve">c) DNS-gyorsítótárazás: a doménnév-lekérdezésre adott válaszok átmeneti tárolása és a felhasználói lekérdezéseknek a tárolt doménnévadatok alapján történő kiszolgálása,</t>
  </si>
  <si>
    <t xml:space="preserve">TV-S0117</t>
  </si>
  <si>
    <t xml:space="preserve">4. § 21.</t>
  </si>
  <si>
    <t xml:space="preserve">21. doménnév: az internetes kommunikációhoz használt IP-cím alfanumerikus karakterekből álló megfelelője,</t>
  </si>
  <si>
    <t xml:space="preserve">TV-S0118</t>
  </si>
  <si>
    <t xml:space="preserve">4. § 22.</t>
  </si>
  <si>
    <t xml:space="preserve">22. doménnév-regisztrációt végző szolgáltató: a legfelső szintű doménnév-nyilvántartó által felhatalmazott szolgáltató, amely jogosult domén regisztrálására;</t>
  </si>
  <si>
    <t xml:space="preserve">TV-S0119</t>
  </si>
  <si>
    <t xml:space="preserve">4. § 23.</t>
  </si>
  <si>
    <t xml:space="preserve">23. elektronikus hírközlési szolgáltató: az elektronikus hírközlésről szóló törvény szerinti fogalom;</t>
  </si>
  <si>
    <t xml:space="preserve">TV-S0120</t>
  </si>
  <si>
    <t xml:space="preserve">4. § 24.</t>
  </si>
  <si>
    <t xml:space="preserve">24. elektronikus információs rendszer:</t>
  </si>
  <si>
    <t xml:space="preserve">TV-S0121</t>
  </si>
  <si>
    <t xml:space="preserve">4. § 24. a)</t>
  </si>
  <si>
    <t xml:space="preserve">a) az elektronikus hírközlésről szóló törvény szerinti elektronikus hírközlési hálózat,</t>
  </si>
  <si>
    <t xml:space="preserve">TV-S0122</t>
  </si>
  <si>
    <t xml:space="preserve">4. § 24. b)</t>
  </si>
  <si>
    <t xml:space="preserve">b) minden olyan eszköz vagy egymással összekapcsolt vagy kapcsolatban álló eszközök csoportja, amelyek közül egy vagy több valamely program alapján digitális adatok automatizált kezelését végzi, ideértve a kiber-fizikai rendszereket, vagy</t>
  </si>
  <si>
    <t xml:space="preserve">TV-S0123</t>
  </si>
  <si>
    <t xml:space="preserve">4. § 24. c)</t>
  </si>
  <si>
    <t xml:space="preserve">c) az a) és b) alpontban szereplő elemek által működésük, használatuk, védelmük és karbantartásuk céljából tárolt, kezelt, visszakeresett vagy továbbított digitális adatok;</t>
  </si>
  <si>
    <t xml:space="preserve">TV-S0124</t>
  </si>
  <si>
    <t xml:space="preserve">4. § 25.</t>
  </si>
  <si>
    <t xml:space="preserve">25. elektronikus információs rendszer biztonsága: az elektronikus információs rendszerek azon képessége, hogy adott bizonyossággal ellenálljanak minden olyan eseménynek, amely veszélyeztetheti a rajtuk tárolt, továbbított vagy kezelt adatok vagy az említett hálózati és információs rendszerek által kínált vagy azokon keresztül elérhető szolgáltatások rendelkezésre állását, sértetlenségét vagy bizalmasságát;</t>
  </si>
  <si>
    <t xml:space="preserve">TV-S0125</t>
  </si>
  <si>
    <t xml:space="preserve">4. § 26.</t>
  </si>
  <si>
    <t xml:space="preserve">26. életciklus: az elektronikus információs rendszer tervezését, fejlesztését, üzemeltetését és megszüntetését magába foglaló időtartam;</t>
  </si>
  <si>
    <t xml:space="preserve">TV-S0126</t>
  </si>
  <si>
    <t xml:space="preserve">4. § 27.</t>
  </si>
  <si>
    <t xml:space="preserve">27. esemény: az elektronikus információs rendszerben bekövetkezett állapotváltozás;</t>
  </si>
  <si>
    <t xml:space="preserve">TV-S0127</t>
  </si>
  <si>
    <t xml:space="preserve">4. § 28.</t>
  </si>
  <si>
    <t xml:space="preserve">28. európai kiberbiztonsági tanúsítási rendszer: az (EU) 2019/881 európai parlamenti és tanácsi rendelet 2. cikk 9. pontja szerinti fogalom;</t>
  </si>
  <si>
    <t xml:space="preserve">TV-S0128</t>
  </si>
  <si>
    <t xml:space="preserve">4. § 29.</t>
  </si>
  <si>
    <t xml:space="preserve">29. felhasználó szervezet: központi rendszert vagy központi szolgáltatást igénybe vevő szervezet;</t>
  </si>
  <si>
    <t xml:space="preserve">TV-S0129</t>
  </si>
  <si>
    <t xml:space="preserve">4. § 30.</t>
  </si>
  <si>
    <t xml:space="preserve">30. felhőszolgáltatás: olyan digitális szolgáltatás, amely önkiszolgáló módon történő hálózati hozzáférést tesz lehetővé igény szerint méretezhető, megosztott fizikai vagy virtuális erőforrások rugalmas készletéhez;</t>
  </si>
  <si>
    <t xml:space="preserve">TV-S0130</t>
  </si>
  <si>
    <t xml:space="preserve">4. § 31.</t>
  </si>
  <si>
    <t xml:space="preserve">31. felhőszolgáltató: felhőalapú számítástechnikai szolgáltatást nyújtó szervezet;</t>
  </si>
  <si>
    <t xml:space="preserve">TV-S0131</t>
  </si>
  <si>
    <t xml:space="preserve">4. § 31a.</t>
  </si>
  <si>
    <t xml:space="preserve">31a. gazdálkodó szervezet: a polgári perrendtartásról szóló törvény szerinti fogalom;</t>
  </si>
  <si>
    <t xml:space="preserve">TV-S0132</t>
  </si>
  <si>
    <t xml:space="preserve">4. § 32.</t>
  </si>
  <si>
    <t xml:space="preserve">32. gyártó: az IKT-termék gyártója, IKT-szolgáltatás nyújtója, valamint IKT-folyamat gyártója vagy nyújtója;</t>
  </si>
  <si>
    <t xml:space="preserve">TV-S0133</t>
  </si>
  <si>
    <t xml:space="preserve">4. § 33.</t>
  </si>
  <si>
    <t xml:space="preserve">33. használatbavétel: az elektronikus információs rendszer adatokkal való feltöltése és rendeltetésszerű használatának megkezdése;</t>
  </si>
  <si>
    <t xml:space="preserve">TV-S0134</t>
  </si>
  <si>
    <t xml:space="preserve">4. § 34.</t>
  </si>
  <si>
    <t xml:space="preserve">34. honvédelmi célú elektronikus információs rendszer:</t>
  </si>
  <si>
    <t xml:space="preserve">TV-S0135</t>
  </si>
  <si>
    <t xml:space="preserve">4. § 34. a)</t>
  </si>
  <si>
    <t xml:space="preserve">a) a honvédelmi szervezetek, a honvédelemért felelős miniszter fenntartói irányítása alá tartozó, honvédségi szervezetnek nem minősülő többcélú szakképző intézmény, a honvédelemért felelős miniszter tulajdonosi joggyakorlása alá tartozó gazdasági társaságok, valamint jogszabály szerint a honvédelmi érdekhez kapcsolódó tevékenységet folytató gazdasági társaságok elektronikus információs rendszereinek összessége, amely ágazatspecifikus módon támogatja a honvédelmi ágazaton belüli és ágazatok közötti működést,</t>
  </si>
  <si>
    <t xml:space="preserve">TV-S0136</t>
  </si>
  <si>
    <t xml:space="preserve">4. § 34. b)</t>
  </si>
  <si>
    <t xml:space="preserve">b) az ország védelme és biztonsága szempontjából jelentős honvédelmi ágazaton belüli szervezet és infrastruktúra elektronikus információs rendszerei,</t>
  </si>
  <si>
    <t xml:space="preserve">TV-S0137</t>
  </si>
  <si>
    <t xml:space="preserve">4. § 34. c)</t>
  </si>
  <si>
    <t xml:space="preserve">c) az ország védelme és biztonsága szempontjából jelentős kettős kijelöléssel nem érintett szervezet és infrastruktúra elektronikus információs rendszerei, valamint</t>
  </si>
  <si>
    <t xml:space="preserve">TV-S0138</t>
  </si>
  <si>
    <t xml:space="preserve">4. § 34. d)</t>
  </si>
  <si>
    <t xml:space="preserve">d) a honvédelmi kiberbiztonsági hatóság által alapvető vagy fontos szervezetként azonosított szervezet elektronikus információs rendszere;</t>
  </si>
  <si>
    <t xml:space="preserve">TV-S0139</t>
  </si>
  <si>
    <t xml:space="preserve">4. § 35.</t>
  </si>
  <si>
    <t xml:space="preserve">35. honvédelmi kiberbiztonsági incidenskezelő központ: a 63. § (2) bekezdése szerint kijelölt szerv;</t>
  </si>
  <si>
    <t xml:space="preserve">TV-S0140</t>
  </si>
  <si>
    <t xml:space="preserve">4. § 36.</t>
  </si>
  <si>
    <t xml:space="preserve">36. ideiglenes hozzáférhetetlenné tétel: az elektronikus adathoz való hozzáférés ideiglenes megakadályozása;</t>
  </si>
  <si>
    <t xml:space="preserve">TV-S0141</t>
  </si>
  <si>
    <t xml:space="preserve">4. § 37.</t>
  </si>
  <si>
    <t xml:space="preserve">37. IKT-folyamat: az (EU) 2019/881 európai parlamenti és tanácsi rendelet 2. cikk 14. pontjában meghatározott fogalom;</t>
  </si>
  <si>
    <t xml:space="preserve">TV-S0142</t>
  </si>
  <si>
    <t xml:space="preserve">4. § 38.</t>
  </si>
  <si>
    <t xml:space="preserve">38. IKT-szolgáltatás: az (EU) 2019/881 európai parlamenti és tanácsi rendelet 2. cikk 13. pontjában meghatározott fogalom;</t>
  </si>
  <si>
    <t xml:space="preserve">TV-S0143</t>
  </si>
  <si>
    <t xml:space="preserve">4. § 39.</t>
  </si>
  <si>
    <t xml:space="preserve">39. IKT-termék: az (EU) 2019/881 európai parlamenti és tanácsi rendelet 2. cikk 12. pontjában meghatározott fogalom;</t>
  </si>
  <si>
    <t xml:space="preserve">TV-S0144</t>
  </si>
  <si>
    <t xml:space="preserve">4. § 40.</t>
  </si>
  <si>
    <t xml:space="preserve">40. jelentős kiberbiztonsági incidens:</t>
  </si>
  <si>
    <t xml:space="preserve">TV-S0145</t>
  </si>
  <si>
    <t xml:space="preserve">4. § 40. a)</t>
  </si>
  <si>
    <t xml:space="preserve">a) a közvetlenül alkalmazandó európai uniós jogi aktusban ekként meghatározott kiberbiztonsági incidens,</t>
  </si>
  <si>
    <t xml:space="preserve">TV-S0146</t>
  </si>
  <si>
    <t xml:space="preserve">4. § 40. b)</t>
  </si>
  <si>
    <t xml:space="preserve">b) közvetlenül alkalmazandó európai uniós jogi aktus hiányában az olyan kiberbiztonsági incidens, amely</t>
  </si>
  <si>
    <t xml:space="preserve">TV-S0147</t>
  </si>
  <si>
    <t xml:space="preserve">4. § 40. b) ba)</t>
  </si>
  <si>
    <t xml:space="preserve">ba) a szervezet üzleti szolgáltatásának vagy a szervezet által nyújtott szolgáltatásnak legalább 5%-os csökkenésével vagy a szervezet éves bevételének legalább 5%-os kiesésével jár vagy fenyeget;</t>
  </si>
  <si>
    <t xml:space="preserve">TV-S0148</t>
  </si>
  <si>
    <t xml:space="preserve">4. § 40. b) bb)</t>
  </si>
  <si>
    <t xml:space="preserve">bb) súlyos működési zavart okoz vagy képes okozni a szolgáltatásokban, vagy pénzügyi vagy reputációs veszteséget okoz vagy képes okozni a kiberbiztonsági incidens által érintett szervezetnek vagy személynek; vagy</t>
  </si>
  <si>
    <t xml:space="preserve">TV-S0149</t>
  </si>
  <si>
    <t xml:space="preserve">4. § 40. b) bc)</t>
  </si>
  <si>
    <t xml:space="preserve">bc) jelentős vagyoni vagy nem vagyoni kár okozásával más természetes vagy jogi személyeket érintett, vagy képes érinteni;</t>
  </si>
  <si>
    <t xml:space="preserve">TV-S0150</t>
  </si>
  <si>
    <t xml:space="preserve">4. § 41.</t>
  </si>
  <si>
    <t xml:space="preserve">41. jelentős kiberfenyegetés: olyan kiberfenyegetés, amelyről – technikai jellemzői alapján – feltételezhető, hogy jelentős vagyoni vagy nem vagyoni hátrányt vagy kárt okozva súlyos hatást gyakorolhat egy szervezet elektronikus információs rendszereire vagy a szervezet szolgáltatásainak felhasználóira;</t>
  </si>
  <si>
    <t xml:space="preserve">TV-S0151</t>
  </si>
  <si>
    <t xml:space="preserve">4. § 42.</t>
  </si>
  <si>
    <t xml:space="preserve">42. képviselő: Magyarországon letelepedett minden olyan természetes vagy jogi személy, akit vagy amelyet kifejezetten kijelöltek arra, hogy valamely, Magyarországon nem letelepedett szervezet nevében eljárjon, és akihez vagy amelyhez a kiberbiztonsági hatóság, vagy a kiberbiztonsági incidenskezelő központ az adott szervezet helyett fordulhat;</t>
  </si>
  <si>
    <t xml:space="preserve">TV-S0152</t>
  </si>
  <si>
    <t xml:space="preserve">4. § 43.</t>
  </si>
  <si>
    <t xml:space="preserve">43. kiberbiztonság: az (EU) 2019/881 európai parlamenti és tanácsi rendelet 2. cikk 1. pontjában meghatározott fogalom;</t>
  </si>
  <si>
    <t xml:space="preserve">TV-S0153</t>
  </si>
  <si>
    <t xml:space="preserve">4. § 44.</t>
  </si>
  <si>
    <t xml:space="preserve">44. kiberbiztonsági audit: az elektronikus információs rendszerek biztonsági osztályba sorolása, valamint a biztonsági osztályba sorolás szerinti védelmi intézkedések megfelelőségének ellenőrzése;</t>
  </si>
  <si>
    <t xml:space="preserve">TV-S0154</t>
  </si>
  <si>
    <t xml:space="preserve">4. § 45.</t>
  </si>
  <si>
    <t xml:space="preserve">45. kiberbiztonsági hatóság: a 23. § (1) bekezdés a) és b) pontja, valamint (2) bekezdése szerinti hatóság;</t>
  </si>
  <si>
    <t xml:space="preserve">TV-S0155</t>
  </si>
  <si>
    <t xml:space="preserve">4. § 46.</t>
  </si>
  <si>
    <t xml:space="preserve">46. kiberbiztonsági incidens: olyan esemény, amely veszélyezteti az elektronikus információs rendszereken tárolt, továbbított vagy kezelt adatok vagy az e rendszerek által kínált vagy azokon keresztül elérhető szolgáltatások rendelkezésre állását, sértetlenségét vagy bizalmasságát;</t>
  </si>
  <si>
    <t xml:space="preserve">TV-S0156</t>
  </si>
  <si>
    <t xml:space="preserve">4. § 47.</t>
  </si>
  <si>
    <t xml:space="preserve">47. kiberbiztonsági incidenskezelés: minden olyan tevékenység és eljárás, amelynek célja a kiberbiztonsági incidens megelőzése, észlelése, elemzése és elszigetelése vagy a kiberbiztonsági incidensre való reagálás és a kiberbiztonsági incidenst követően a működés helyreállítása;</t>
  </si>
  <si>
    <t xml:space="preserve">TV-S0157</t>
  </si>
  <si>
    <t xml:space="preserve">4. § 48.</t>
  </si>
  <si>
    <t xml:space="preserve">48. kiberbiztonsági incidenskezelő központ: a 63. § (1) és (2) bekezdése szerinti szerv;</t>
  </si>
  <si>
    <t xml:space="preserve">TV-S0158</t>
  </si>
  <si>
    <t xml:space="preserve">4. § 49.</t>
  </si>
  <si>
    <t xml:space="preserve">49. kiberbiztonsági incidensközeli helyzet: olyan esemény, amely veszélyeztethette volna az elektronikus információs rendszereken tárolt, továbbított vagy kezelt adatok vagy az e rendszerek által kínált vagy azokon keresztül elérhető szolgáltatások rendelkezésre állását, sértetlenségét vagy bizalmasságát, de amelynek bekövetkezését sikerült megakadályozni, vagy amely nem következett be;</t>
  </si>
  <si>
    <t xml:space="preserve">TV-S0159</t>
  </si>
  <si>
    <t xml:space="preserve">4. § 50.</t>
  </si>
  <si>
    <t xml:space="preserve">50. kiberfenyegetés: az (EU) 2019/881 európai parlamenti és tanácsi rendelet 2. cikk 8. pontjában meghatározott fogalom;</t>
  </si>
  <si>
    <t xml:space="preserve">TV-S0160</t>
  </si>
  <si>
    <t xml:space="preserve">4. § 51.</t>
  </si>
  <si>
    <t xml:space="preserve">51. kiber-fizikai rendszer: olyan programozható elektronikus információs rendszerek, amelyek kölcsönhatásba lépnek a fizikai környezettel vagy kezelik a fizikai környezettel kölcsönhatásba lépő eszközöket. Ezek az elektronikus információs rendszerek közvetlenül fizikai változást érzékelnek vagy idéznek elő az eszközök, folyamatok és események megfigyelésével vagy vezérlésével;</t>
  </si>
  <si>
    <t xml:space="preserve">TV-S0161</t>
  </si>
  <si>
    <t xml:space="preserve">4. § 52.</t>
  </si>
  <si>
    <t xml:space="preserve">52. kihelyezett (irányított) infokommunikációs biztonsági szolgáltatást nyújtó szolgáltató: olyan kihelyezett (irányított) infokommunikációs szolgáltatást nyújtó szolgáltató, amely a kiberbiztonsági kockázatok kezelését végzi vagy azzal összefüggő szolgáltatást nyújt;</t>
  </si>
  <si>
    <t xml:space="preserve">TV-S0162</t>
  </si>
  <si>
    <t xml:space="preserve">4. § 53.</t>
  </si>
  <si>
    <t xml:space="preserve">53. kihelyezett (irányított) infokommunikációs szolgáltatást nyújtó szolgáltató: olyan szervezet, amely az IKT-termék, hálózat, infrastruktúra, alkalmazás vagy bármely más elektronikus információs rendszer telepítésével, kezelésével, üzemeltetésével vagy karbantartásával kapcsolatos szolgáltatásokat nyújt a szolgáltatást igénybe vevő telephelyén vagy távolról;</t>
  </si>
  <si>
    <t xml:space="preserve">TV-S0163</t>
  </si>
  <si>
    <t xml:space="preserve">4. § 54.</t>
  </si>
  <si>
    <t xml:space="preserve">54. kockázat: a fenyegetettség mértéke, amely egy fenyegetés bekövetkezése gyakoriságának, bekövetkezési valószínűségének és az ez által okozott kár nagyságának a függvénye;</t>
  </si>
  <si>
    <t xml:space="preserve">TV-S0164</t>
  </si>
  <si>
    <t xml:space="preserve">4. § 55.</t>
  </si>
  <si>
    <t xml:space="preserve">55. kockázatelemzés: az elektronikus információs rendszer értékének, sérülékenységének, fenyegetéseinek, a várható károknak és ezek gyakoriságának felmérése útján a kockázatok feltárása és értékelése;</t>
  </si>
  <si>
    <t xml:space="preserve">TV-S0165</t>
  </si>
  <si>
    <t xml:space="preserve">4. § 56.</t>
  </si>
  <si>
    <t xml:space="preserve">56. kockázatkezelés: az elektronikus információs rendszerre ható kockázatok csökkentésére irányuló intézkedésrendszer kidolgozása és az intézkedések végrehajtása;</t>
  </si>
  <si>
    <t xml:space="preserve">TV-S0166</t>
  </si>
  <si>
    <t xml:space="preserve">4. § 57.</t>
  </si>
  <si>
    <t xml:space="preserve">57. kockázatmenedzsment keretrendszer: olyan strukturált, ugyanakkor rugalmas megközelítés és szervezeti folyamatok összessége, amely integrálja a kiberbiztonsággal kapcsolatos kockázatkezelési tevékenységeket a rendszerfejlesztési életciklusban a kockázatokkal arányos védelmi intézkedések azonosításán, bevezetésén, értékelésén, működtetésén és nyomon követésén keresztül az új és már használatban lévő rendszerek fenyegetettségeinek folyamatos felderítése, és kockázatainak hatékony kezelése érdekében;</t>
  </si>
  <si>
    <t xml:space="preserve">TV-S0167</t>
  </si>
  <si>
    <t xml:space="preserve">4. § 58.</t>
  </si>
  <si>
    <t xml:space="preserve">58. közigazgatási szerv: az 1. melléklet 1–13. pontja szerinti szervezet;</t>
  </si>
  <si>
    <t xml:space="preserve">TV-S0168</t>
  </si>
  <si>
    <t xml:space="preserve">4. § 59.</t>
  </si>
  <si>
    <t xml:space="preserve">59. közösségimédia-szolgáltatási platform: olyan platform, amely lehetővé teszi a végfelhasználók számára, hogy több eszközön keresztül kapcsolódjanak, tartalmakat osszanak meg, fedezzenek fel és kommunikáljanak egymással;</t>
  </si>
  <si>
    <t xml:space="preserve">TV-S0169</t>
  </si>
  <si>
    <t xml:space="preserve">4. § 60.</t>
  </si>
  <si>
    <t xml:space="preserve">60. központi rendszer: egyes állami, önkormányzati feladatok ellátását segítő, zárt ügyfélkör számára központosítottan fejlesztett vagy működtetett elektronikus információs rendszer, amelyen keresztül megvalósított funkciókat egy adott intézményi körben kötelezően vagy opcionálisan vesznek igénybe a felhasználó szervezetek;</t>
  </si>
  <si>
    <t xml:space="preserve">TV-S0170</t>
  </si>
  <si>
    <t xml:space="preserve">4. § 61.</t>
  </si>
  <si>
    <t xml:space="preserve">61. központi szolgáltatás: a központi szolgáltató által kötelezően vagy egyedi igény alapján biztosítandó szolgáltatás;</t>
  </si>
  <si>
    <t xml:space="preserve">TV-S0171</t>
  </si>
  <si>
    <t xml:space="preserve">4. § 62.</t>
  </si>
  <si>
    <t xml:space="preserve">62. központi szolgáltató: olyan szervezet, amely állami és önkormányzati feladatot ellátó szervezet részére jogszabály alapján kizárólagos joggal nyújt informatikai és elektronikus hírközlési szolgáltatást;</t>
  </si>
  <si>
    <t xml:space="preserve">TV-S0172</t>
  </si>
  <si>
    <t xml:space="preserve">4. § 63.</t>
  </si>
  <si>
    <t xml:space="preserve">63. kutatóhely: a tudományos kutatásról, fejlesztésről és innovációról szóló törvény szerinti kutatóhely – az oktatási intézmények kivételével –, amelynek elsődleges célja alkalmazott kutatás vagy kísérleti fejlesztés folytatása a kutatás eredményeinek kereskedelmi célokra való hasznosítása céljából;</t>
  </si>
  <si>
    <t xml:space="preserve">TV-S0173</t>
  </si>
  <si>
    <t xml:space="preserve">4. § 64.</t>
  </si>
  <si>
    <t xml:space="preserve">64. legfelső szintű doménnév-nyilvántartó: olyan szervezet, amelyre egy meghatározott legfelső szintű domént bíztak és amely felelős egyrészt a legfelső szintű domén kezeléséért – ideértve a legfelső szintű domén alatti doménnevek nyilvántartásba vételét –, másrészt a legfelső szintű domén technikai üzemeltetéséért, amely magában foglalja a névszervereinek üzemeltetését, adatbázisainak karbantartását és a legfelső szintű doménzónafájlok elosztását a névszerverek között, függetlenül attól, hogy ezeknek az üzemeltetési tevékenységeknek bármelyikét maga a szervezet végzi vagy azokat kiszervezi, kivéve azokat az eseteket, amikor a legfelső szintű doménneveket a nyilvántartó kizárólag saját használatra veszi igénybe;</t>
  </si>
  <si>
    <t xml:space="preserve">TV-S0174</t>
  </si>
  <si>
    <t xml:space="preserve">4. § 65.</t>
  </si>
  <si>
    <t xml:space="preserve">65. megfelelőségértékelés: – a IX/A. Fejezet kivételével – az az értékelési eljárás, amely bizonyítja, hogy egy IKT-termékkel, IKT-folyamattal, IKT-szolgáltatással kapcsolatos, meghatározott követelmények teljesültek;</t>
  </si>
  <si>
    <t xml:space="preserve">TV-S0175</t>
  </si>
  <si>
    <t xml:space="preserve">4. § 66.</t>
  </si>
  <si>
    <t xml:space="preserve">66. megfelelőségértékelő szervezet: a termékek forgalmazása tekintetében az akkreditálás és piacfelügyelet előírásainak megállapításáról és a 339/93/EGK rendelet hatályon kívül helyezéséről szóló, 2008. július 9-i 765/2008/EK európai parlamenti és tanácsi rendeletben ekként meghatározott fogalom;</t>
  </si>
  <si>
    <t xml:space="preserve">TV-S0176</t>
  </si>
  <si>
    <t xml:space="preserve">4. § 67.</t>
  </si>
  <si>
    <t xml:space="preserve">67. megfelelőségi nyilatkozat: a gyártó vagy a szolgáltató által kiállított dokumentum, amely igazolja, hogy egy adott IKT-termék, IKT-szolgáltatás vagy IKT-folyamat esetében értékelték, hogy az megfelel-e valamely nemzeti kiberbiztonsági tanúsítási rendszer biztonsági követelményeinek;</t>
  </si>
  <si>
    <t xml:space="preserve">TV-S0177</t>
  </si>
  <si>
    <t xml:space="preserve">4. § 68.</t>
  </si>
  <si>
    <t xml:space="preserve">68. megfelelőségi önértékelés: az (EU) 2019/881 európai parlamenti és tanácsi rendeletben ekként meghatározott fogalom;</t>
  </si>
  <si>
    <t xml:space="preserve">TV-S0178</t>
  </si>
  <si>
    <t xml:space="preserve">4. § 69.</t>
  </si>
  <si>
    <t xml:space="preserve">69. mérföldkő: az európai uniós forrásból finanszírozott központi rendszer fejlesztése esetén a Helyreállítási és Rezilienciaépítési Eszköz létrehozásáról szóló, 2021. február 12-i (EU) 2021/241 európai parlamenti és tanácsi rendelet 2. cikk 4. pontja és az Európai Regionális Fejlesztési Alapra, az Európai Szociális Alap Pluszra, a Kohéziós Alapra, az Igazságos Átmenet Alapra és az Európai Tengerügyi, Halászati és Akvakultúra-alapra vonatkozó közös rendelkezések, valamint az előbbiekre és a Menekültügyi, Migrációs és Integrációs Alapra, a Belső Biztonsági Alapra és a határigazgatás és a vízumpolitika pénzügyi támogatására szolgáló eszközre vonatkozó pénzügyi szabályok megállapításáról szóló, 2021. június 24-i (EU) 2021/1060 európai parlamenti és tanácsi rendelet 2. cikk 4. pontja szerinti, valamint a fejlesztésekre irányuló egyéb projektek esetén a projektben meghatározott fogalom;</t>
  </si>
  <si>
    <t xml:space="preserve">TV-S0179</t>
  </si>
  <si>
    <t xml:space="preserve">4. § 70.</t>
  </si>
  <si>
    <t xml:space="preserve">70. minősített bizalmi szolgáltatás: a digitális államról és a digitális szolgáltatások nyújtásának egyes szabályairól szóló törvény szerinti fogalom;</t>
  </si>
  <si>
    <t xml:space="preserve">TV-S0180</t>
  </si>
  <si>
    <t xml:space="preserve">4. § 71.</t>
  </si>
  <si>
    <t xml:space="preserve">71. minősített bizalmi szolgáltató: a digitális államról és a digitális szolgáltatások nyújtásának egyes szabályairól szóló törvény szerinti fogalom;</t>
  </si>
  <si>
    <t xml:space="preserve">TV-S0181</t>
  </si>
  <si>
    <t xml:space="preserve">4. § 72.</t>
  </si>
  <si>
    <t xml:space="preserve">72. műszaki előírás: az európai szabványosításról, a 89/686/EGK és a 93/15/EGK tanácsi irányelv, a 94/9/ EK, a 94/25/EK, a 95/16/EK, a 97/23/EK, a 98/34/EK, a 2004/22/EK, a 2007/23/EK, a 2009/23/EK és a 2009/105/EK európai parlamenti és tanácsi irányelv módosításáról, valamint a 87/95/EGK tanácsi határozat és az 1673/2006/EK európai parlamenti és tanácsi határozat hatályon kívül helyezéséről szóló, 2012. október 25-i 1025/2012/EU európai parlamenti és tanácsi rendelet (a továbbiakban: 1025/2012/EU rendelet) 2. cikk 4. pontjában meghatározott fogalom;</t>
  </si>
  <si>
    <t xml:space="preserve">TV-S0182</t>
  </si>
  <si>
    <t xml:space="preserve">4. § 73.</t>
  </si>
  <si>
    <t xml:space="preserve">73. műveleti célú elektronikus információs rendszer:</t>
  </si>
  <si>
    <t xml:space="preserve">TV-S0183</t>
  </si>
  <si>
    <t xml:space="preserve">4. § 73. a)</t>
  </si>
  <si>
    <t xml:space="preserve">a) a rendvédelmi szervek és a nemzetbiztonsági szolgálatok számára törvényben meghatározott közbiztonsági, nemzetbiztonsági feladatok ellátása érdekében használt elektronikus információs rendszer és</t>
  </si>
  <si>
    <t xml:space="preserve">TV-S0184</t>
  </si>
  <si>
    <t xml:space="preserve">4. § 73. b)</t>
  </si>
  <si>
    <t xml:space="preserve">b) a honvédségi szervezetek által, a törvényben meghatározott katonai műveleti feladatok – így különösen közvetlen művelettámogatás, -tervezés, -vezetés, helyzetkövetés – ellátása érdekében használt elektronikus információs rendszer;</t>
  </si>
  <si>
    <t xml:space="preserve">TV-S0185</t>
  </si>
  <si>
    <t xml:space="preserve">4. § 74.</t>
  </si>
  <si>
    <t xml:space="preserve">74. nagyszabású kiberbiztonsági incidens: olyan kiberbiztonsági incidens, amely olyan mértékű zavart okoz, amely meghaladja Magyarországnak az arra való reagálási képességét, vagy amely Magyarországra és legalább még egy másik országra jelentős hatást gyakorol;</t>
  </si>
  <si>
    <t xml:space="preserve">TV-S0186</t>
  </si>
  <si>
    <t xml:space="preserve">4. § 75.</t>
  </si>
  <si>
    <t xml:space="preserve">75. nem privát felhőszolgáltatás: olyan szolgáltató által nyújtott felhőszolgáltatás, amelyet a szolgáltató bárki számára elérhető módon vagy kizárólag a szervezetek egy meghatározott köre számára nyújt;</t>
  </si>
  <si>
    <t xml:space="preserve">TV-S0187</t>
  </si>
  <si>
    <t xml:space="preserve">4. § 76.</t>
  </si>
  <si>
    <t xml:space="preserve">76. nemzeti kiberbiztonsági incidenskezelő központ: az Európai Hálózat- és Információbiztonsági Ügynökség ajánlásai szerint működő, kiberbiztonsági incidensekre reagáló egység, amely a nemzetközi hálózatbiztonsági, valamint kritikus információs infrastruktúrák védelmére szakosodott szervezetekben tagsággal rendelkezik [európai használatban: CSIRT (Computer Security Incident Response Team), amerikai használatban: CERT (Computer Emergency Response Team)];</t>
  </si>
  <si>
    <t xml:space="preserve">TV-S0188</t>
  </si>
  <si>
    <t xml:space="preserve">4. § 77.</t>
  </si>
  <si>
    <t xml:space="preserve">77. nemzeti kiberbiztonsági tanúsítási rendszer: IKT-termékek, IKT-szolgáltatások és IKT-folyamatok tanúsítására, megfelelőségértékelésére Magyarországon alkalmazandó, az európai kiberbiztonsági rendszerek elvei alapján kidolgozott és a tanúsító hatóság által meghatározott szabályok, műszaki követelmények, szabványok és eljárások átfogó rendszere;</t>
  </si>
  <si>
    <t xml:space="preserve">TV-S0189</t>
  </si>
  <si>
    <t xml:space="preserve">4. § 78.</t>
  </si>
  <si>
    <t xml:space="preserve">78. nemzeti kiberbiztonsági stratégia: a kiberbiztonság területén követendő stratégiai célokat és prioritásokat, valamint a megvalósításukhoz szükséges irányítási intézkedéseket meghatározó dokumentum;</t>
  </si>
  <si>
    <t xml:space="preserve">TV-S0190</t>
  </si>
  <si>
    <t xml:space="preserve">4. § 79.</t>
  </si>
  <si>
    <t xml:space="preserve">79. nemzeti kiberbiztonsági tanúsítvány: olyan független harmadik fél által kiállított dokumentum, amely igazolja, hogy egy adott IKT-termék, IKT-szolgáltatás vagy IKT-folyamat esetében értékelték, hogy az megfelel-e valamely nemzeti kiberbiztonsági tanúsítási rendszer biztonsági követelményeinek;</t>
  </si>
  <si>
    <t xml:space="preserve">TV-S0191</t>
  </si>
  <si>
    <t xml:space="preserve">4. § 80.</t>
  </si>
  <si>
    <t xml:space="preserve">80. nemzeti válságkezelési terv: az (EU) 2022/2555 európai parlamenti és tanácsi irányelv alapján a nagyszabású kiberbiztonsági incidensek és válságok elhárítására szolgáló nemzeti terv, amely meghatározza a nagyszabású kiberbiztonsági incidensek és válságok kezelésének célkitűzéseit és szabályait;</t>
  </si>
  <si>
    <t xml:space="preserve">TV-S0192</t>
  </si>
  <si>
    <t xml:space="preserve">4. § 81.</t>
  </si>
  <si>
    <t xml:space="preserve">81. online keresőprogram: az online közvetítő szolgáltatások üzleti felhasználói tekintetében alkalmazandó tisztességes és átlátható feltételek előmozdításáról szóló, 2019. június 20-i (EU) 2019/1150 európai parlamenti és tanácsi rendelet 2. cikk 5. pontjában meghatározott fogalom;</t>
  </si>
  <si>
    <t xml:space="preserve">TV-S0193</t>
  </si>
  <si>
    <t xml:space="preserve">4. § 82.</t>
  </si>
  <si>
    <t xml:space="preserve">82. online piactér: olyan szolgáltatás, amely a kereskedő által vagy a kereskedő nevében működtetett szoftvert, többek között weboldalt, valamely weboldal egy részét vagy valamely alkalmazást használ, és amelynek révén a fogyasztók távollevők közötti szerződést köthetnek más kereskedőkkel vagy fogyasztókkal;</t>
  </si>
  <si>
    <t xml:space="preserve">TV-S0194</t>
  </si>
  <si>
    <t xml:space="preserve">4. § 83.</t>
  </si>
  <si>
    <t xml:space="preserve">83. regisztrált felhasználói jogosultság: a biztonsági vizsgálatot végző személy számára a sérülékenységvizsgálat elvégzése érdekében célzottan létrehozott felhasználói jogosultság;</t>
  </si>
  <si>
    <t xml:space="preserve">TV-S0195</t>
  </si>
  <si>
    <t xml:space="preserve">4. § 84.</t>
  </si>
  <si>
    <t xml:space="preserve">84. rendelkezésre állás: annak biztosítása, hogy az elektronikus információs rendszerek az arra jogosult személy számára elérhetőek és az abban kezelt adatok felhasználhatóak legyenek;</t>
  </si>
  <si>
    <t xml:space="preserve">TV-S0196</t>
  </si>
  <si>
    <t xml:space="preserve">4. § 85.</t>
  </si>
  <si>
    <t xml:space="preserve">85. sebezhetőség: IKT-termék, -szolgáltatás, -folyamat gyengesége, érzékenysége vagy hiányossága, amelynek kihasználása veszélyezteti vagy sérti az IKT-termék, -szolgáltatás, -folyamat bizalmasságát, sértetlenségét vagy rendelkezésre állását;</t>
  </si>
  <si>
    <t xml:space="preserve">TV-S0197</t>
  </si>
  <si>
    <t xml:space="preserve">4. § 86.</t>
  </si>
  <si>
    <t xml:space="preserve">86. sértetlenség: az adat tulajdonsága, amely arra vonatkozik, hogy az adat tartalma és tulajdonságai az elvárttal megegyeznek, ideértve a bizonyosságot abban, hogy az az elvárt forrásból származik, azaz hiteles, valamint a származás ellenőrizhetőségét, bizonyosságát, azaz letagadhatatlanságát is, illetve az elektronikus információs rendszer elemeinek azon tulajdonságát, amely arra vonatkozik, hogy az elektronikus információs rendszer eleme rendeltetésének megfelelően használható;</t>
  </si>
  <si>
    <t xml:space="preserve">TV-S0198</t>
  </si>
  <si>
    <t xml:space="preserve">4. § 87.</t>
  </si>
  <si>
    <t xml:space="preserve">87. sérülékenység: az elektronikus információs rendszer gyengesége, érzékenysége vagy hiányossága, amelynek kihasználása veszélyezteti vagy sérti egy elektronikus információs rendszer bizalmasságát, sértetlenségét vagy rendelkezésre állását;</t>
  </si>
  <si>
    <t xml:space="preserve">TV-S0199</t>
  </si>
  <si>
    <t xml:space="preserve">4. § 88.</t>
  </si>
  <si>
    <t xml:space="preserve">88. sérülékenységkezelési terv: a sérülékenységek megszüntetésére irányuló tervdokumentum;</t>
  </si>
  <si>
    <t xml:space="preserve">TV-S0200</t>
  </si>
  <si>
    <t xml:space="preserve">4. § 89.</t>
  </si>
  <si>
    <t xml:space="preserve">89. sérülékenységvizsgálat: sérülékenységmenedzsment eszköz vagy módszer, amely során informatikai rendszerek, hardverek és szoftverek biztonsági szempontból történő átvizsgálása zajlik, az ellenőrzést automatizált eszközökkel és közvetlen, szakértő által végzett vizsgálatokkal hajtják végre;</t>
  </si>
  <si>
    <t xml:space="preserve">TV-S0201</t>
  </si>
  <si>
    <t xml:space="preserve">4. § 90.</t>
  </si>
  <si>
    <t xml:space="preserve">90. szabvány: az 1025/2012/EU rendelet 2. cikk 1. pontjában meghatározott fogalom;</t>
  </si>
  <si>
    <t xml:space="preserve">TV-S0202</t>
  </si>
  <si>
    <t xml:space="preserve">4. § 91.</t>
  </si>
  <si>
    <t xml:space="preserve">91. szervezet: állami szerv vagy állami szervezet, a Polgári Törvénykönyvről szóló törvény szerinti jogi személy, jogi személyiség nélküli szervezet;</t>
  </si>
  <si>
    <t xml:space="preserve">TV-S0203</t>
  </si>
  <si>
    <t xml:space="preserve">4. § 92.</t>
  </si>
  <si>
    <t xml:space="preserve">92. támogató rendszer: az 1. § (1) bekezdés a)–c) pontja szerinti szervezet alapfeladatainak ellátásában közvetlenül nem részt vevő elektronikus információs rendszer, amely szükséges azon rendszerek működéséhez, amelyek alapfeladatot látnak el;</t>
  </si>
  <si>
    <t xml:space="preserve">TV-S0204</t>
  </si>
  <si>
    <t xml:space="preserve">4. § 93.</t>
  </si>
  <si>
    <t xml:space="preserve">93. tanúsítás: független harmadik fél által végzett megfelelőségértékelési tevékenység;</t>
  </si>
  <si>
    <t xml:space="preserve">TV-S0205</t>
  </si>
  <si>
    <t xml:space="preserve">4. § 94.</t>
  </si>
  <si>
    <t xml:space="preserve">94. tartalomszolgáltató hálózat szolgáltatója: a digitális tartalmak és szolgáltatások széles körű, akadálymentes és gyors rendelkezésre állását biztosító, földrajzilag elosztott szerverek hálózatának szolgáltatója;</t>
  </si>
  <si>
    <t xml:space="preserve">TV-S0206</t>
  </si>
  <si>
    <t xml:space="preserve">4. § 95.</t>
  </si>
  <si>
    <t xml:space="preserve">95. távoli sérülékenységvizsgálat: olyan sérülékenységvizsgálat, amelynek során</t>
  </si>
  <si>
    <t xml:space="preserve">TV-S0207</t>
  </si>
  <si>
    <t xml:space="preserve">4. § 95. a)</t>
  </si>
  <si>
    <t xml:space="preserve">a) az elektronikus információs rendszer internet felőli, külső sérülékenységvizsgálatára kerül sor, amelynek keretében az interneten fellelhető, nyilvános adatbázisokban való szabad keresés, célzott információgyűjtés, valamint az elérhető számítógépek szolgáltatásai sebezhetőségének feltérképezése történik,</t>
  </si>
  <si>
    <t xml:space="preserve">TV-S0208</t>
  </si>
  <si>
    <t xml:space="preserve">4. § 95. b)</t>
  </si>
  <si>
    <t xml:space="preserve">b) automatizált és kézi vizsgálatok útján kerülnek feltárásra a webes alkalmazások sérülékenységei, vagy</t>
  </si>
  <si>
    <t xml:space="preserve">TV-S0209</t>
  </si>
  <si>
    <t xml:space="preserve">4. § 95. c)</t>
  </si>
  <si>
    <t xml:space="preserve">c) a vezeték nélküli hozzáférési és kapcsolódási pontok keresése, feltérképezése, titkosítási eljárások elemzése, titkosítási kulcsok visszafejthetőségének ellenőrzése célszoftverek és kézi vizsgálat útján történik;</t>
  </si>
  <si>
    <t xml:space="preserve">TV-S0210</t>
  </si>
  <si>
    <t xml:space="preserve">4. § 96.</t>
  </si>
  <si>
    <t xml:space="preserve">96. továbbfejlesztés: az érintett, már működő elektronikus információs rendszer olyan mértékű fejlesztése, amely funkcionalitásának érdemi megváltozásával jár, vagy védelmének elvárt erősségére hatással van;</t>
  </si>
  <si>
    <t xml:space="preserve">TV-S0211</t>
  </si>
  <si>
    <t xml:space="preserve">4. § 96a.</t>
  </si>
  <si>
    <t xml:space="preserve">96a. többségi állami befolyás alatt álló gazdálkodó szervezet:</t>
  </si>
  <si>
    <t xml:space="preserve">TV-S0212</t>
  </si>
  <si>
    <t xml:space="preserve">4. § 96a. a)</t>
  </si>
  <si>
    <t xml:space="preserve">a) a magyar államnak a Polgári Törvénykönyvről szóló törvényben meghatározott többségi befolyása, vagy</t>
  </si>
  <si>
    <t xml:space="preserve">TV-S0213</t>
  </si>
  <si>
    <t xml:space="preserve">4. § 96a. b)</t>
  </si>
  <si>
    <t xml:space="preserve">b) a Kormány, annak tagja, az Országgyűlés elnöke közvetlen, vagy az általa irányított költségvetési szerven keresztül gyakorolt rendelkezési, irányítási, felügyeleti joga</t>
  </si>
  <si>
    <t xml:space="preserve">TV-S0214</t>
  </si>
  <si>
    <t xml:space="preserve">alatt álló gazdálkodó szervezet;</t>
  </si>
  <si>
    <t xml:space="preserve">TV-S0215</t>
  </si>
  <si>
    <t xml:space="preserve">4. § 97.</t>
  </si>
  <si>
    <t xml:space="preserve">97. üzemeltetési kiberbiztonsági incidens: olyan kiberbiztonsági incidens, amely az elektronikus információs rendszereken tárolt, továbbított vagy kezelt adatok vagy az e rendszerek által kínált, vagy azokon keresztül elérhető szolgáltatások rendelkezésre állását nem szándékoltan csökkenti vagy megszünteti;</t>
  </si>
  <si>
    <t xml:space="preserve">TV-S0216</t>
  </si>
  <si>
    <t xml:space="preserve">4. § 98.</t>
  </si>
  <si>
    <t xml:space="preserve">98. üzemeltető: az a természetes személy, jogi személy, jogi személyiség nélküli szervezet vagy egyéni vállalkozó, aki vagy amely az elektronikus információs rendszer vagy annak részei működtetését végzi és a működésért felelős;</t>
  </si>
  <si>
    <t xml:space="preserve">TV-S0217</t>
  </si>
  <si>
    <t xml:space="preserve">4. § 99.</t>
  </si>
  <si>
    <t xml:space="preserve">99. zárt, teljes körű, folytonos és a kockázatokkal arányos védelem: az elektronikus információs rendszer olyan védelme,</t>
  </si>
  <si>
    <t xml:space="preserve">TV-S0218</t>
  </si>
  <si>
    <t xml:space="preserve">4. § 99. a)</t>
  </si>
  <si>
    <t xml:space="preserve">a) amely az időben változó körülmények és viszonyok között is megszakítás nélkül megvalósul,</t>
  </si>
  <si>
    <t xml:space="preserve">TV-S0219</t>
  </si>
  <si>
    <t xml:space="preserve">4. § 99. b)</t>
  </si>
  <si>
    <t xml:space="preserve">b) amely az elektronikus információs rendszer valamennyi elemére kiterjed,</t>
  </si>
  <si>
    <t xml:space="preserve">TV-S0220</t>
  </si>
  <si>
    <t xml:space="preserve">4. § 99. c)</t>
  </si>
  <si>
    <t xml:space="preserve">c) amely az összes számításba vehető fenyegetést, veszélyt figyelembe veszi, valamint</t>
  </si>
  <si>
    <t xml:space="preserve">TV-S0221</t>
  </si>
  <si>
    <t xml:space="preserve">4. § 99. d)</t>
  </si>
  <si>
    <t xml:space="preserve">d) amelynek költségei arányosak a fenyegetések által okozható károk értékével.</t>
  </si>
  <si>
    <t xml:space="preserve">TV-S0222</t>
  </si>
  <si>
    <t xml:space="preserve">TV-S0223</t>
  </si>
  <si>
    <t xml:space="preserve">5. § (1)</t>
  </si>
  <si>
    <t xml:space="preserve">5. § (1) Az e törvény hatálya alá tartozó elektronikus információs rendszerek teljes életciklusában meg kell valósítani és biztosítani kell</t>
  </si>
  <si>
    <t xml:space="preserve">TV-S0224</t>
  </si>
  <si>
    <t xml:space="preserve">5. § (1) a)</t>
  </si>
  <si>
    <t xml:space="preserve">a) az elektronikus információs rendszerben kezelt adatok, információk és az elektronikus információs rendszerek által nyújtott vagy azon keresztül elérhető szolgáltatások bizalmassága, sértetlensége és rendelkezésre állása, valamint</t>
  </si>
  <si>
    <t xml:space="preserve">TV-S0225</t>
  </si>
  <si>
    <t xml:space="preserve">5. § (1) b)</t>
  </si>
  <si>
    <t xml:space="preserve">b) az elektronikus információs rendszer elemeinek sértetlensége és rendelkezésre állása</t>
  </si>
  <si>
    <t xml:space="preserve">TV-S0226</t>
  </si>
  <si>
    <t xml:space="preserve">vonatkozásában a zárt, teljes körű, folytonos és a kockázatokkal arányos védelmet.</t>
  </si>
  <si>
    <t xml:space="preserve">TV-S0227</t>
  </si>
  <si>
    <t xml:space="preserve">5. § (2)</t>
  </si>
  <si>
    <t xml:space="preserve">(2) Az elektronikus információs rendszer védelme keretében az elektronikus információs rendszer felett rendelkezési jogosultsággal rendelkező szervezet, az adatkezelő vagy az adatfeldolgozó által, adott cél érdekében</t>
  </si>
  <si>
    <t xml:space="preserve">TV-S0228</t>
  </si>
  <si>
    <t xml:space="preserve">5. § (2) a)</t>
  </si>
  <si>
    <t xml:space="preserve">a) az adatok, információk kezelésére használt eszközök, ideértve a környezeti infrastruktúrát, a hardvert, a hálózatot és az adathordozókat</t>
  </si>
  <si>
    <t xml:space="preserve">TV-S0229</t>
  </si>
  <si>
    <t xml:space="preserve">5. § (2) b)</t>
  </si>
  <si>
    <t xml:space="preserve">b) az adatok, információk kezelésére használt eljárások, ideértve a szabályozást, a szoftvert és a kapcsolódó folyamatokat, valamint</t>
  </si>
  <si>
    <t xml:space="preserve">TV-S0230</t>
  </si>
  <si>
    <t xml:space="preserve">5. § (2) c)</t>
  </si>
  <si>
    <t xml:space="preserve">c) az a) és b) pontban foglaltakat kezelő személyek</t>
  </si>
  <si>
    <t xml:space="preserve">TV-S0231</t>
  </si>
  <si>
    <t xml:space="preserve">együttesének védelmét is biztosítani szükséges.</t>
  </si>
  <si>
    <t xml:space="preserve">TV-S0232</t>
  </si>
  <si>
    <t xml:space="preserve">5. § (3)</t>
  </si>
  <si>
    <t xml:space="preserve">(3) Megfelelő költségvetési forrást kell biztosítani</t>
  </si>
  <si>
    <t xml:space="preserve">TV-S0233</t>
  </si>
  <si>
    <t xml:space="preserve">5. § (3) a)</t>
  </si>
  <si>
    <t xml:space="preserve">a) a nemzeti kiberbiztonsági hatóság és a honvédelmi kiberbiztonsági hatóság,</t>
  </si>
  <si>
    <t xml:space="preserve">TV-S0234</t>
  </si>
  <si>
    <t xml:space="preserve">5. § (3) b)</t>
  </si>
  <si>
    <t xml:space="preserve">b) az 57. § (1) bekezdése szerinti sérülékenységvizsgálat végzésére jogosult állami szerv (a továbbiakban: sérülékenységvizsgálat végzésére jogosult állami szerv), valamint</t>
  </si>
  <si>
    <t xml:space="preserve">TV-S0235</t>
  </si>
  <si>
    <t xml:space="preserve">5. § (3) c)</t>
  </si>
  <si>
    <t xml:space="preserve">c) a 63. § szerinti nemzeti kiberbiztonsági incidenskezelő központ és a honvédelmi kiberbiztonsági incidenskezelő központ</t>
  </si>
  <si>
    <t xml:space="preserve">TV-S0236</t>
  </si>
  <si>
    <t xml:space="preserve">működésére.</t>
  </si>
  <si>
    <t xml:space="preserve">TV-S0237</t>
  </si>
  <si>
    <t xml:space="preserve">II. FEJEZET</t>
  </si>
  <si>
    <t xml:space="preserve">TV-S0238</t>
  </si>
  <si>
    <t xml:space="preserve">ALAPVETŐ ÉS FONTOS SZERVEZETEK KÖTELEZETTSÉGEI</t>
  </si>
  <si>
    <t xml:space="preserve">TV-S0239</t>
  </si>
  <si>
    <t xml:space="preserve">TV-S0240</t>
  </si>
  <si>
    <t xml:space="preserve">6. § (1)</t>
  </si>
  <si>
    <t xml:space="preserve">6. § (1) A szervezet elektronikus információs rendszerének kell tekinteni a szervezet rendelkezésében lévő elektronikus információs rendszert.</t>
  </si>
  <si>
    <t xml:space="preserve">TV-S0241</t>
  </si>
  <si>
    <t xml:space="preserve">6. § (2)</t>
  </si>
  <si>
    <t xml:space="preserve">(2) A szervezet vezetője az elektronikus információs rendszerek védelme érdekében kockázatmenedzsment keretrendszert hoz létre és működtet a közvetlenül alkalmazandó európai uniós jogi aktusban, ennek hiányában és a közvetlenül alkalmazandó európai uniós jogi aktus által nem szabályozott kérdésekben az informatikáért felelős miniszter rendeletében foglaltak szerint.</t>
  </si>
  <si>
    <t xml:space="preserve">TV-S0242</t>
  </si>
  <si>
    <t xml:space="preserve">6. § (3)</t>
  </si>
  <si>
    <t xml:space="preserve">(3) A (2) bekezdésben meghatározott tevékenység keretében a szervezet vezetője</t>
  </si>
  <si>
    <t xml:space="preserve">TV-S0243</t>
  </si>
  <si>
    <t xml:space="preserve">6. § (3) 1.</t>
  </si>
  <si>
    <t xml:space="preserve">1. gondoskodik a szervezet által használt elektronikus információs rendszerek, központi szolgáltatások felméréséről és nyilvántartásba vételéről a következők szerinti bontásban:</t>
  </si>
  <si>
    <t xml:space="preserve">TV-S0244</t>
  </si>
  <si>
    <t xml:space="preserve">6. § (3) 1. a)</t>
  </si>
  <si>
    <t xml:space="preserve">a) a szervezet rendelkezésében lévő elektronikus információs rendszerek,</t>
  </si>
  <si>
    <t xml:space="preserve">TV-S0245</t>
  </si>
  <si>
    <t xml:space="preserve">6. § (3) 1. b)</t>
  </si>
  <si>
    <t xml:space="preserve">b) a szervezet által használt központi rendszerek,</t>
  </si>
  <si>
    <t xml:space="preserve">TV-S0246</t>
  </si>
  <si>
    <t xml:space="preserve">6. § (3) 1. c)</t>
  </si>
  <si>
    <t xml:space="preserve">c) a szervezet által igénybe vett, központi szolgáltató által biztosított szolgáltatások és támogató rendszerek,</t>
  </si>
  <si>
    <t xml:space="preserve">TV-S0247</t>
  </si>
  <si>
    <t xml:space="preserve">6. § (3) 1. d)</t>
  </si>
  <si>
    <t xml:space="preserve">d) a szervezet rendelkezésében lévő vagy a szervezet által használt egyéb támogató rendszerek;</t>
  </si>
  <si>
    <t xml:space="preserve">TV-S0248</t>
  </si>
  <si>
    <t xml:space="preserve">6. § (3) 2.</t>
  </si>
  <si>
    <t xml:space="preserve">2. meghatározza a szervezet rendelkezésében lévő, továbbá a szervezet használatában lévő elektronikus információs rendszerek védelmével kapcsolatos szerepköröket, felelősöket, feladatokat és az ehhez szükséges hatásköröket, kinevezi vagy megbízza az elektronikus információs rendszer biztonságáért felelős személyt;</t>
  </si>
  <si>
    <t xml:space="preserve">TV-S0249</t>
  </si>
  <si>
    <t xml:space="preserve">6. § (3) 3.</t>
  </si>
  <si>
    <t xml:space="preserve">3. az 1. melléklet szerinti szervezet esetében gondoskodik az 1. pont a) alpontja szerinti elektronikus információs rendszerben kezelt adatok felméréséről és osztályozásáról;</t>
  </si>
  <si>
    <t xml:space="preserve">TV-S0250</t>
  </si>
  <si>
    <t xml:space="preserve">6. § (3) 4.</t>
  </si>
  <si>
    <t xml:space="preserve">4. az informatikáért felelős miniszter rendelete szerinti hatáselemzést és kockázatmenedzsment tevékenységet végez az 1. pont a) alpontja szerinti elektronikus információs rendszerekre és azok környezetére vonatkozóan;</t>
  </si>
  <si>
    <t xml:space="preserve">TV-S0251</t>
  </si>
  <si>
    <t xml:space="preserve">6. § (3) 5.</t>
  </si>
  <si>
    <t xml:space="preserve">5. a jogszabályban meghatározottak szerint biztonsági osztályba sorolja az 1. pont a) alpontja szerinti elektronikus információs rendszereket;</t>
  </si>
  <si>
    <t xml:space="preserve">TV-S0252</t>
  </si>
  <si>
    <t xml:space="preserve">6. § (3) 6.</t>
  </si>
  <si>
    <t xml:space="preserve">6. meghatározza az 1. pont a) alpontja szerinti elektronikus információs rendszerek vonatkozásában a kockázatokkal arányos védelmi intézkedéseket;</t>
  </si>
  <si>
    <t xml:space="preserve">TV-S0253</t>
  </si>
  <si>
    <t xml:space="preserve">6. § (3) 7.</t>
  </si>
  <si>
    <t xml:space="preserve">7. kiadja a felhasználókra és az elektronikus információbiztonsági követelményekre vonatkozó információbiztonsági szabályzatot, valamint gondoskodik annak legalább kétévente vagy a jogszabályban meghatározott esetekben történő felülvizsgálatáról;</t>
  </si>
  <si>
    <t xml:space="preserve">TV-S0254</t>
  </si>
  <si>
    <t xml:space="preserve">6. § (3) 8.</t>
  </si>
  <si>
    <t xml:space="preserve">8. biztosítja az elektronikus információs rendszerek védelme vonatkozásában meghatározott védelmi intézkedések teljesülését;</t>
  </si>
  <si>
    <t xml:space="preserve">TV-S0255</t>
  </si>
  <si>
    <t xml:space="preserve">6. § (3) 9.</t>
  </si>
  <si>
    <t xml:space="preserve">9. gondoskodik – ha releváns – az európai uniós jogi aktusban foglaltak, valamint az informatikáért felelős miniszter rendelete szerint kiválasztott védelmi intézkedések megfelelőségének első biztonsági osztályba sorolás alkalmával történő értékeléséről,</t>
  </si>
  <si>
    <t xml:space="preserve">TV-S0256</t>
  </si>
  <si>
    <t xml:space="preserve">6. § (3) 10.</t>
  </si>
  <si>
    <t xml:space="preserve">10. rendszeresen gondoskodik a védelmi intézkedések időszakos értékeléséről, ennek keretében legalább kockázatelemzések, ellenőrzések, független és a kiberbiztonsági hatóság által kiadott ajánlás szerinti belső kiberbiztonsági értékelés lefolytatása révén meggyőződik arról, hogy a jogszabályoknak és a kockázatoknak megfelelően meghatározott védelmi intézkedések megfelelően biztosítják-e a szervezet és elektronikus információs rendszerei biztonságát;</t>
  </si>
  <si>
    <t xml:space="preserve">TV-S0257</t>
  </si>
  <si>
    <t xml:space="preserve">6. § (3) 11.</t>
  </si>
  <si>
    <t xml:space="preserve">11. gondoskodik a biztonsági osztályhoz kapcsolódó védelmi intézkedések értékelése során feltárt hiányosságok orvoslásáról;</t>
  </si>
  <si>
    <t xml:space="preserve">TV-S0258</t>
  </si>
  <si>
    <t xml:space="preserve">6. § (3) 12.</t>
  </si>
  <si>
    <t xml:space="preserve">12. a szervezeten belül dönt az elektronikus információs rendszerek használatbavételéről vagy használatának folytatásáról és</t>
  </si>
  <si>
    <t xml:space="preserve">TV-S0259</t>
  </si>
  <si>
    <t xml:space="preserve">6. § (3) 13.</t>
  </si>
  <si>
    <t xml:space="preserve">13. gondoskodik a kiberbiztonsági hatósági kötelezések teljesítéséről.</t>
  </si>
  <si>
    <t xml:space="preserve">TV-S0260</t>
  </si>
  <si>
    <t xml:space="preserve">6. § (4)</t>
  </si>
  <si>
    <t xml:space="preserve">(4) A (3) bekezdés 10. pontjában meghatározott feladatokat a szervezet vezetője legalább kétévente, az információbiztonsági szabályzat felülvizsgálatával, illetve amennyiben annak végrehajtására kötelezett, a biztonsági osztályba sorolás felülvizsgálatával egyidejűleg hajtja végre.</t>
  </si>
  <si>
    <t xml:space="preserve">TV-S0261</t>
  </si>
  <si>
    <t xml:space="preserve">6. § (5)</t>
  </si>
  <si>
    <t xml:space="preserve">(5) A szervezet vezetője az elektronikus információs rendszer védelmének biztosítása érdekében</t>
  </si>
  <si>
    <t xml:space="preserve">TV-S0262</t>
  </si>
  <si>
    <t xml:space="preserve">6. § (5) a)</t>
  </si>
  <si>
    <t xml:space="preserve">a) gondoskodik az elektronikus információs rendszerek védelmi feladatainak és az azokhoz kapcsolódó felelősségi köröknek az oktatásáról, saját maga és a szervezet munkatársainak – az informatikáért felelős miniszter rendeletében meghatározott – kiberbiztonsági képzéséről, továbbképzéséről;</t>
  </si>
  <si>
    <t xml:space="preserve">TV-S0263</t>
  </si>
  <si>
    <t xml:space="preserve">6. § (5) b)</t>
  </si>
  <si>
    <t xml:space="preserve">b) biztosítja a kötelezően előírt hazai kiberbiztonsági gyakorlatokon történő részvételt, illetve kiberbiztonsági gyakorlat önálló megtartását;</t>
  </si>
  <si>
    <t xml:space="preserve">TV-S0264</t>
  </si>
  <si>
    <t xml:space="preserve">6. § (5) c)</t>
  </si>
  <si>
    <t xml:space="preserve">c) gondoskodik az elektronikus információs rendszer eseményeinek nyomonkövethetőségéről;</t>
  </si>
  <si>
    <t xml:space="preserve">TV-S0265</t>
  </si>
  <si>
    <t xml:space="preserve">6. § (5) d)</t>
  </si>
  <si>
    <t xml:space="preserve">d) ha a szervezet közreműködőt vesz igénybe az elektronikus információs rendszer létrehozása, üzemeltetése, auditálása, karbantartása, javítása, illetve a kiberbiztonsági incidensek kezelése során, vagy a szervezet elektronikus információs rendszerével kapcsolatos adatkezelési, adatfeldolgozási tevékenység ellátásához, gondoskodik arról, hogy a közreműködő által az elektronikus információs rendszerrel kapcsolatosan ellátott tevékenységgel összefüggésben szükséges kiberbiztonsági követelmények az e törvényben foglaltaknak megfelelően szerződéses kötelemként teljesüljenek;</t>
  </si>
  <si>
    <t xml:space="preserve">TV-S0266</t>
  </si>
  <si>
    <t xml:space="preserve">6. § (5) e)</t>
  </si>
  <si>
    <t xml:space="preserve">e) az elektronikus információs rendszert érintő kiberfenyegetés, kiberbiztonsági incidensközeli helyzet vagy kiberbiztonsági incidens bekövetkezésekor minden szükséges és rendelkezésére álló erőforrás felhasználásával gondoskodik a gyors és hatékony reagálásról, az illetékes kiberbiztonsági incidenskezelő központnak való bejelentésről, a kiberbiztonsági incidensek kezeléséről, valamint a helyreállításról;</t>
  </si>
  <si>
    <t xml:space="preserve">TV-S0267</t>
  </si>
  <si>
    <t xml:space="preserve">6. § (5) f)</t>
  </si>
  <si>
    <t xml:space="preserve">f) gondoskodik az érintetteknek a kiberbiztonsági incidensekről és a lehetséges fenyegetésekről történő haladéktalan tájékoztatásáról;</t>
  </si>
  <si>
    <t xml:space="preserve">TV-S0268</t>
  </si>
  <si>
    <t xml:space="preserve">6. § (5) g)</t>
  </si>
  <si>
    <t xml:space="preserve">g) gondoskodik a kiberbiztonsági hatóság és az illetékes kiberbiztonsági incidenskezelő központ ajánlásainak, iránymutatásainak az elektronikus információs rendszer védelmének biztosítása érdekében történő figyelembevételéről;</t>
  </si>
  <si>
    <t xml:space="preserve">TV-S0269</t>
  </si>
  <si>
    <t xml:space="preserve">6. § (5) h)</t>
  </si>
  <si>
    <t xml:space="preserve">h) köteles törekedni arra, hogy a jelen jogszabályban meghatározott feladatokat a lehető legrövidebb időn belül hajtsa végre;</t>
  </si>
  <si>
    <t xml:space="preserve">TV-S0270</t>
  </si>
  <si>
    <t xml:space="preserve">6. § (5) i)</t>
  </si>
  <si>
    <t xml:space="preserve">i) az 1. § (1) bekezdés a)–c) pontja szerinti szervezetek esetében gondoskodik arról, hogy a szervezet által az adott évben informatikai fejlesztésre fordított költségek legalább 5%-ának megfelelő összeget a szervezet a tárgyév során kiberbiztonsági fejlesztésekre fordítson és</t>
  </si>
  <si>
    <t xml:space="preserve">TV-S0271</t>
  </si>
  <si>
    <t xml:space="preserve">6. § (5) j)</t>
  </si>
  <si>
    <t xml:space="preserve">j) megteszi az elektronikus információs rendszer védelme érdekében felmerülő egyéb szükséges intézkedéseket.</t>
  </si>
  <si>
    <t xml:space="preserve">TV-S0272</t>
  </si>
  <si>
    <t xml:space="preserve">6. § (6)</t>
  </si>
  <si>
    <t xml:space="preserve">(6) A (3)–(5) bekezdésben meghatározott feladatokért a szervezet vezetője az (5) bekezdés d) pontjában meghatározott esetben is felelős, kivéve – az igénybe vett szolgáltatások mértékéig – azokat az esetköröket, amikor központi szolgáltatót vagy központi rendszert kell a szervezetnek igénybe vennie.</t>
  </si>
  <si>
    <t xml:space="preserve">TV-S0273</t>
  </si>
  <si>
    <t xml:space="preserve">6. § (7)</t>
  </si>
  <si>
    <t xml:space="preserve">(7) Az (5) bekezdés e) pontja szerinti jelentési kötelezettség teljesítése nem érinti a más törvény alapján fennálló jelentési kötelezettségeket.</t>
  </si>
  <si>
    <t xml:space="preserve">TV-S0274</t>
  </si>
  <si>
    <t xml:space="preserve">6. § (8)</t>
  </si>
  <si>
    <t xml:space="preserve">(8) Az (1)–(5) bekezdés szerinti egyes követelményeknek való megfelelés igazolására – ha rendelkezésre áll – európai vagy nemzeti kiberbiztonsági tanúsítási rendszer alapján tanúsított IKT-termék, IKT-szolgáltatás vagy IKT-folyamat alkalmazható.</t>
  </si>
  <si>
    <t xml:space="preserve">TV-S0275</t>
  </si>
  <si>
    <t xml:space="preserve">6. § (9)</t>
  </si>
  <si>
    <t xml:space="preserve">(9) Az informatikáért felelős miniszter rendeletében – a honvédelmi célú elektronikus információs rendszerek tekintetében a honvédelmi miniszter rendeletében – meghatározott, 1. § (1) bekezdés a)–c) és f) pontja szerinti szervezetek, valamint az SZTFH elnökének rendeletében meghatározott, 1. § (1) bekezdés d) és e) pontja szerinti szervezetek kötelesek az európai vagy nemzeti kiberbiztonsági tanúsítási rendszer alapján tanúsított – az informatikáért felelős miniszter, a honvédelmi miniszter vagy az SZTFH elnöke rendeletében meghatározott – IKT-terméket, IKT-szolgáltatást vagy IKT-folyamatot használni.</t>
  </si>
  <si>
    <t xml:space="preserve">TV-S0276</t>
  </si>
  <si>
    <t xml:space="preserve">6. § (10)</t>
  </si>
  <si>
    <t xml:space="preserve">(10) Az 1. § (1) bekezdés a) és c) pontja hatálya alá tartozó fontos szervezet, valamint a 2. és 3. melléklet szerinti szervezetnek nem minősülő, 1. § (1) bekezdés b) pontja hatálya alá tartozó szervezet rendelkezésében lévő elektronikus információs rendszerek vonatkozásában</t>
  </si>
  <si>
    <t xml:space="preserve">TV-S0277</t>
  </si>
  <si>
    <t xml:space="preserve">6. § (10) a)</t>
  </si>
  <si>
    <t xml:space="preserve">a) nem szükséges a (2) bekezdésben foglalt teljes körű kockázatmenedzsment keretrendszert működtetni,</t>
  </si>
  <si>
    <t xml:space="preserve">TV-S0278</t>
  </si>
  <si>
    <t xml:space="preserve">6. § (10) b)</t>
  </si>
  <si>
    <t xml:space="preserve">b) nem kell teljesíteni a (3) bekezdés 4–5. és 9. pontjában foglaltakat, valamint</t>
  </si>
  <si>
    <t xml:space="preserve">TV-S0279</t>
  </si>
  <si>
    <t xml:space="preserve">6. § (10) c)</t>
  </si>
  <si>
    <t xml:space="preserve">c) legalább az „alap” biztonsági osztályra irányadó követelményeket kell teljesíteni.</t>
  </si>
  <si>
    <t xml:space="preserve">TV-S0280</t>
  </si>
  <si>
    <t xml:space="preserve">6. § (11)</t>
  </si>
  <si>
    <t xml:space="preserve">(11) A honvédelmi célú elektronikus információs rendszer felett rendelkezési jogosultsággal bíró szervezet a honvédelmi célú elektronikus információs rendszer vonatkozásában a hatósági eljárásban a honvédelmi kiberbiztonsági hatóságot keresi meg, az e törvény által előírt bejelentési és egyéb kötelezettségeket a honvédelmi kiberbiztonsági hatóság felé teljesíti.</t>
  </si>
  <si>
    <t xml:space="preserve">TV-S0281</t>
  </si>
  <si>
    <t xml:space="preserve">6. § (12)</t>
  </si>
  <si>
    <t xml:space="preserve">(12) A hazai kiberbiztonsági gyakorlatok megtartásának részletszabályait, valamint az 1. § (1) bekezdés a)–c) és f) pontja hatálya alá tartozó szervezetek kötelezettségeire vonatkozó részletes rendelkezéseket kormányrendelet határozza meg.</t>
  </si>
  <si>
    <t xml:space="preserve">TV-S0282</t>
  </si>
  <si>
    <t xml:space="preserve">7. § (1)</t>
  </si>
  <si>
    <t xml:space="preserve">7. § (1) A kiberbiztonsági felügyeleti tevékenységért – a költségvetési szervek kivételével – az 1. § (1) bekezdés b) pontja szerinti azon szervezet, amely egyúttal a 2. és 3. melléklet szerinti szervezet is, valamint az 1. § (1) bekezdés d) és e) pontja szerinti szervezet – ha a szervezet a Polgári Törvénykönyvről szóló törvény szerinti elismert vállalatcsoport (a továbbiakban: elismert vállalatcsoport) ellenőrzött tagja, helyette az uralkodó tag – az SZTFH elnökének rendeletében – a (2) bekezdésben foglaltak alapján – meghatározott mértékű kiberbiztonsági felügyeleti díj fizetésére köteles.</t>
  </si>
  <si>
    <t xml:space="preserve">TV-S0283</t>
  </si>
  <si>
    <t xml:space="preserve">7. § (2)</t>
  </si>
  <si>
    <t xml:space="preserve">(2) Az éves kiberbiztonsági felügyeleti díj mértéke az (1) bekezdés szerinti szervezet előző üzleti évi nettó árbevételének – árbevétel hiányában a tárgyévi árbevétel egész évre vetített időarányos részének – legfeljebb 0,015 százaléka, de legfeljebb 10 millió forint. Az ugyanazon elismert vállalatcsoportban vagy az ugyanazon, a Polgári Törvénykönyvről szóló törvény szerinti tényleges vállalatcsoportban, vagy a számvitelről szóló törvény szerinti anyavállalatot, leányvállalatokat és a konszolidálásba bevont közös vezetésű vállalkozásokat tartalmazó, egy konszolidációs körbe tartozó vállalkozáscsoportban részt vevő szervezetek tekintetében a fizetendő éves kiberbiztonsági felügyeleti díj együttes mértéke nem haladhatja meg az 50 millió forintot. A tényleges vállalatcsoportként vagy az egy konszolidációs körbe tartozó vállalkozáscsoportként való működés tényét az (1) bekezdés szerinti szervezet az SZTFH elnökének rendeletében foglaltak szerint igazolja.</t>
  </si>
  <si>
    <t xml:space="preserve">TV-S0284</t>
  </si>
  <si>
    <t xml:space="preserve">7. § (3)</t>
  </si>
  <si>
    <t xml:space="preserve">(3) A kiberbiztonsági felügyeleti díjat az (1) bekezdés szerinti kötelezett az SZTFH elnökének rendeletében meghatározott módon és időpontban köteles megfizetni az SZTFH részére.</t>
  </si>
  <si>
    <t xml:space="preserve">TV-S0285</t>
  </si>
  <si>
    <t xml:space="preserve">8. § (1)</t>
  </si>
  <si>
    <t xml:space="preserve">8. § (1) Az e törvény hatálya alá tartozó elektronikus információs rendszert működtető, nem Magyarországon bejegyzett szervezetnek Magyarország területén működő képviselőt kell írásban kijelölnie, aki az e törvényben foglaltak végrehajtásáért a szervezet vezetőjére vonatkozó szabályok szerint felel. A képviselő kijelölése nem érinti a szervezet, illetve a szervezet vezetőjének felelősségét.</t>
  </si>
  <si>
    <t xml:space="preserve">TV-S0286</t>
  </si>
  <si>
    <t xml:space="preserve">8. § (2)</t>
  </si>
  <si>
    <t xml:space="preserve">(2) A szervezet vezetője köteles gondoskodni arról, hogy a szervezet együttműködjön a kiberbiztonsági hatósággal.</t>
  </si>
  <si>
    <t xml:space="preserve">TV-S0287</t>
  </si>
  <si>
    <t xml:space="preserve">8. § (3)</t>
  </si>
  <si>
    <t xml:space="preserve">(3) Az együttműködés során a szervezet vezetője</t>
  </si>
  <si>
    <t xml:space="preserve">TV-S0288</t>
  </si>
  <si>
    <t xml:space="preserve">8. § (3) a)</t>
  </si>
  <si>
    <t xml:space="preserve">a) gondoskodik a jogszabályban és a hatóság honlapján meghatározottak szerint az adatoknak, dokumentumoknak, valamint ezek változásainak, a változást követő 14 napon belül a kiberbiztonsági hatóság részére – nyilvántartásba vétel céljából – történő megküldéséről, valamint</t>
  </si>
  <si>
    <t xml:space="preserve">TV-S0289</t>
  </si>
  <si>
    <t xml:space="preserve">8. § (3) b)</t>
  </si>
  <si>
    <t xml:space="preserve">b) biztosítja az ellenőrzés lefolytatásához szükséges feltételeket.</t>
  </si>
  <si>
    <t xml:space="preserve">TV-S0290</t>
  </si>
  <si>
    <t xml:space="preserve">8. § (4)</t>
  </si>
  <si>
    <t xml:space="preserve">(4) Az 1. § (1) bekezdés a)–c) és f) pontja szerinti szervezet – az 51. alcímben foglalt kivételekkel – az e törvény hatálya alá kerülését követő</t>
  </si>
  <si>
    <t xml:space="preserve">TV-S0291</t>
  </si>
  <si>
    <t xml:space="preserve">8. § (4) a)</t>
  </si>
  <si>
    <t xml:space="preserve">a) 30 napon belül bejelenti a nemzeti kiberbiztonsági hatóság részére a 28. § (1) bekezdés 1. pont a)–e) és j) alpontjában meghatározott adatokat, nyilvántartásba vétel céljából,</t>
  </si>
  <si>
    <t xml:space="preserve">TV-S0292</t>
  </si>
  <si>
    <t xml:space="preserve">8. § (4) b)</t>
  </si>
  <si>
    <t xml:space="preserve">b) 30 napon belül bejelenti a nemzeti kiberbiztonsági hatóság részére az elektronikus információs rendszer biztonságáért felelős személy adatait,</t>
  </si>
  <si>
    <t xml:space="preserve">TV-S0293</t>
  </si>
  <si>
    <t xml:space="preserve">8. § (4) c)</t>
  </si>
  <si>
    <t xml:space="preserve">c) 90 napon belül a 6. § (3) bekezdés 1. pontjában foglaltaknak megfelelően felméri a szervezet által használt elektronikus információs rendszereket,</t>
  </si>
  <si>
    <t xml:space="preserve">TV-S0294</t>
  </si>
  <si>
    <t xml:space="preserve">8. § (4) d)</t>
  </si>
  <si>
    <t xml:space="preserve">d) 120 napon belül – ha releváns – elvégzi a 9. § szerinti adatosztályozást,</t>
  </si>
  <si>
    <t xml:space="preserve">TV-S0295</t>
  </si>
  <si>
    <t xml:space="preserve">8. § (4) e)</t>
  </si>
  <si>
    <t xml:space="preserve">e) 180 napon belül megküldi a nemzeti kiberbiztonsági hatóság részére a szervezet információbiztonsági szabályzatát,</t>
  </si>
  <si>
    <t xml:space="preserve">TV-S0296</t>
  </si>
  <si>
    <t xml:space="preserve">8. § (4) f)</t>
  </si>
  <si>
    <t xml:space="preserve">f) 180 napon belül a 6. § szerinti kockázatmenedzsment keretrendszer létrehozatalával együttesen – amennyiben annak végrehajtására kötelezett – elvégzi a már meglévő elektronikus információs rendszereinek biztonsági osztályba sorolását, valamint felméri az elektronikus információs rendszerekhez kapcsolódó védelmi intézkedéseket, azok megfelelőségét és státuszát, továbbá megteszi a Kormány rendeletében meghatározott tartalmú bejelentést a nemzeti kiberbiztonsági hatóságnak.</t>
  </si>
  <si>
    <t xml:space="preserve">TV-S0297</t>
  </si>
  <si>
    <t xml:space="preserve">8. § (5)</t>
  </si>
  <si>
    <t xml:space="preserve">(5) Az 1. § (1) bekezdés b) pontja hatálya alá tartozó, és egyidejűleg 2. és 3. melléklet szerinti szervezetnek minősülő szervezet, valamint az 1. § (1) bekezdés d) és e) pontja szerinti szervezet köteles a működése megkezdését követő vagy az e törvény hatálya alá kerülést követő 30 napon belül a 29. § (1) bekezdés a) pontjában meghatározott adatokat – a 29. § (1) bekezdés a) pont ab) alpontja szerinti adatok kivételével – megküldeni az SZTFH részére a nyilvántartásba vétel érdekében.</t>
  </si>
  <si>
    <t xml:space="preserve">TV-S0298</t>
  </si>
  <si>
    <t xml:space="preserve">8. § (6)</t>
  </si>
  <si>
    <t xml:space="preserve">(6) A (4) és (5) bekezdés alkalmazása szempontjából az e törvény hatálya alá kerülés időpontja</t>
  </si>
  <si>
    <t xml:space="preserve">TV-S0299</t>
  </si>
  <si>
    <t xml:space="preserve">8. § (6) a)</t>
  </si>
  <si>
    <t xml:space="preserve">a) új szervezet esetében a szervezet létesítésének,</t>
  </si>
  <si>
    <t xml:space="preserve">TV-S0300</t>
  </si>
  <si>
    <t xml:space="preserve">8. § (6) b)</t>
  </si>
  <si>
    <t xml:space="preserve">b) az 1. § (1) bekezdés b) vagy d) pontja szerinti esetben</t>
  </si>
  <si>
    <t xml:space="preserve">TV-S0301</t>
  </si>
  <si>
    <t xml:space="preserve">8. § (6) b) ba)</t>
  </si>
  <si>
    <t xml:space="preserve">ba) az e törvény hatálya alá kerülésre okot adó feltétel bekövetkezését követő év első, vagy</t>
  </si>
  <si>
    <t xml:space="preserve">TV-S0302</t>
  </si>
  <si>
    <t xml:space="preserve">8. § (6) b) bb)</t>
  </si>
  <si>
    <t xml:space="preserve">bb) ha a szervezet a ba) alpont szerinti napot megelőzően benyújtott nyilvántartásba vételi kérelmében ezt kéri, a szervezet nyilvántartásba vételéről szóló döntés véglegessé válásának,</t>
  </si>
  <si>
    <t xml:space="preserve">TV-S0303</t>
  </si>
  <si>
    <t xml:space="preserve">8. § (6) c)</t>
  </si>
  <si>
    <t xml:space="preserve">c) a hatály alá kerülést eredményező jogállást megalapozó jogi aktus hatálybalépésének</t>
  </si>
  <si>
    <t xml:space="preserve">TV-S0304</t>
  </si>
  <si>
    <t xml:space="preserve">napja.</t>
  </si>
  <si>
    <t xml:space="preserve">TV-S0305</t>
  </si>
  <si>
    <t xml:space="preserve">8. § (6a)</t>
  </si>
  <si>
    <t xml:space="preserve">TV-S0306</t>
  </si>
  <si>
    <t xml:space="preserve">8. § (7)</t>
  </si>
  <si>
    <t xml:space="preserve">(7) A szervezet a kiberbiztonsági információk megosztása érdekében az informatikáért felelős miniszter rendeletében meghatározott együttműködések megvalósítása céljából – a honvédelmi célú elektronikus információs rendszerekre vonatkozó információk kivételével – kiberbiztonsági információmegosztási megállapodásokat köthet. A szervezet kiberbiztonsági információmegosztási megállapodás megkötéséről, ilyen megállapodásban való részvételéről vagy annak felmondásáról tájékoztatja a kiberbiztonsági hatóságot.</t>
  </si>
  <si>
    <t xml:space="preserve">TV-S0307</t>
  </si>
  <si>
    <t xml:space="preserve">TV-S0308</t>
  </si>
  <si>
    <t xml:space="preserve">9. § (1)</t>
  </si>
  <si>
    <t xml:space="preserve">9. § (1) Annak érdekében, hogy a szervezet által kezelt adatok védelme a kockázatokkal arányosan biztosítható legyen, az 1. § (1) bekezdés a) pontja szerinti szervezet köteles az általa az elektronikus információs rendszerben kezelt adatok bizalmasság, sértetlenség és rendelkezésre állás szerinti osztályozására kormányrendeletben foglaltak szerint.</t>
  </si>
  <si>
    <t xml:space="preserve">TV-S0309</t>
  </si>
  <si>
    <t xml:space="preserve">9. § (2)</t>
  </si>
  <si>
    <t xml:space="preserve">(2) Az 1. § (1) bekezdés b) és c), a honvédelmi célú elektronikus információs rendszerei vonatkozásában az f) pontja szerinti szervezet az adatosztályozást nem privát felhőszolgáltatás igénybevétele és külföldi adatkezelés megvalósítása esetén köteles elvégezni, a külföldi vagy nem privát felhőszolgáltatás igénybevételével történő adatkezelés kockázatainak felmérése érdekében.</t>
  </si>
  <si>
    <t xml:space="preserve">TV-S0310</t>
  </si>
  <si>
    <t xml:space="preserve">9. § (3)</t>
  </si>
  <si>
    <t xml:space="preserve">(3) Az adatosztályozás során figyelembe kell venni a logikailag együtt, egységben kezelt elektronikus adatok – ideértve az adatbázist, adattárat, egyedi dokumentumot és egyéb adatállományt – együttes biztonsági igényét.</t>
  </si>
  <si>
    <t xml:space="preserve">TV-S0311</t>
  </si>
  <si>
    <t xml:space="preserve">9. § (4)</t>
  </si>
  <si>
    <t xml:space="preserve">(4) Az 1. § (1) bekezdés a)–c) és a honvédelmi célú elektronikus információs rendszerei vonatkozásában az f) pontja szerinti szervezet kizárólag az adatosztályozás alapján, annak eredményére figyelemmel vehet igénybe nem privát felhőszolgáltatást, vagy kezelhet külföldön adatot, amennyiben más jogszabály a felhőszolgáltatás igénybevételét, vagy a külföldi adatkezelést nem tiltja vagy korlátozza.</t>
  </si>
  <si>
    <t xml:space="preserve">TV-S0312</t>
  </si>
  <si>
    <t xml:space="preserve">9. § (5)</t>
  </si>
  <si>
    <t xml:space="preserve">(5) A szervezet a biztonsági osztályba sorolás keretében, valamint abban az esetben vizsgálja felül az adatosztályozást, amennyiben az elektronikus információs rendszerben kezelendő adatok körében változás következik be.</t>
  </si>
  <si>
    <t xml:space="preserve">TV-S0313</t>
  </si>
  <si>
    <t xml:space="preserve">TV-S0314</t>
  </si>
  <si>
    <t xml:space="preserve">10. § (1)</t>
  </si>
  <si>
    <t xml:space="preserve">10. § (1) A szervezet elektronikus információs rendszerei, valamint az azokban kezelt adatok, a nyújtott szolgáltatások kockázatokkal arányos védelmének biztosítása érdekében a szervezet az e törvény hatálya alá tartozó, a szervezet rendelkezésében lévő elektronikus információs rendszereit „alap”, „jelentős” vagy „magas” biztonsági osztályba sorolja az érintett elektronikus információs rendszer sértetlensége és rendelkezésre állása, valamint az általa kezelt adat bizalmassága, sértetlensége és rendelkezésre állásának kockázata alapján, szigorodó védelmi előírásokkal.</t>
  </si>
  <si>
    <t xml:space="preserve">TV-S0315</t>
  </si>
  <si>
    <t xml:space="preserve">10. § (2)</t>
  </si>
  <si>
    <t xml:space="preserve">(2) A biztonsági osztályba sorolásról a szervezet vezetője dönt, és felel annak a jogszabályoknak és kockázatoknak való megfelelőségéért, a felhasznált adatok teljességéért és időszerűségéért. A biztonsági osztályba sorolás eredményét a szervezet az elektronikus információs rendszerek nyilvántartásában vagy egyéb belső szabályzatban rögzíti.</t>
  </si>
  <si>
    <t xml:space="preserve">TV-S0316</t>
  </si>
  <si>
    <t xml:space="preserve">10. § (3)</t>
  </si>
  <si>
    <t xml:space="preserve">(3) A biztonsági osztályba sorolás követelményeit, valamint az egyes biztonsági osztályok esetében alkalmazandó konkrét védelmi intézkedéseket az informatikáért felelős miniszter rendeletben határozza meg.</t>
  </si>
  <si>
    <t xml:space="preserve">TV-S0317</t>
  </si>
  <si>
    <t xml:space="preserve">10. § (4)</t>
  </si>
  <si>
    <t xml:space="preserve">(4) A szervezet az elektronikus információs rendszer biztonsági osztálya alapján meghatározza és megvalósítja az informatikáért felelős miniszter rendeletében előírt védelmi intézkedéseket az adott elektronikus információs rendszerre vonatkozóan.</t>
  </si>
  <si>
    <t xml:space="preserve">TV-S0318</t>
  </si>
  <si>
    <t xml:space="preserve">10. § (5)</t>
  </si>
  <si>
    <t xml:space="preserve">(5) Az 1. § (1) bekezdés a) és a honvédelmi célú elektronikus információs rendszerei vonatkozásában az f) pontja szerinti szervezet, valamint a 2. és 3. melléklet szerinti szervezetnek nem minősülő, 1. § (1) bekezdés b) pontja szerinti szervezet elektronikus információs rendszere vonatkozásában az e törvény hatálya alá kerüléskor teljesítenie kell legalább az informatikáért felelős miniszter rendeletében az „alap” biztonsági osztály vonatkozásában előírt védelmi intézkedéseket.</t>
  </si>
  <si>
    <t xml:space="preserve">TV-S0319</t>
  </si>
  <si>
    <t xml:space="preserve">10. § (6)</t>
  </si>
  <si>
    <t xml:space="preserve">(6) Ha az (5) bekezdés szerinti elektronikus információs rendszer vonatkozásában a biztonsági osztályba sorolás alapján az „alap”-nál magasabb biztonsági osztály került meghatározásra, a védelem elvárt erősségének eléréséhez a szervezetnek a biztonsági osztályba sorolást követően legfeljebb 2 év áll rendelkezésére a biztonsági osztályhoz rendelt biztonsági intézkedések kivitelezésére.</t>
  </si>
  <si>
    <t xml:space="preserve">TV-S0320</t>
  </si>
  <si>
    <t xml:space="preserve">10. § (7)</t>
  </si>
  <si>
    <t xml:space="preserve">(7) A biztonsági osztályba sorolást legalább kétévente, vagy az elektronikus rendszer biztonságát érintő, jogszabályban meghatározott változás esetén soron kívül, dokumentált módon felül kell vizsgálni.</t>
  </si>
  <si>
    <t xml:space="preserve">TV-S0321</t>
  </si>
  <si>
    <t xml:space="preserve">TV-S0322</t>
  </si>
  <si>
    <t xml:space="preserve">11. § (1)</t>
  </si>
  <si>
    <t xml:space="preserve">11. § (1) A szervezet vezetője az elektronikus információs rendszer védelméhez kapcsolódó feladatok ellátása, a kockázatmenedzsment keretrendszer működtetése, a kiberbiztonsági incidensek bejelentése és a kiberbiztonsági incidenskezelő központtal való kapcsolattartás érdekében a szervezeten belül kijelöli az elektronikus információs rendszer biztonságáért felelős személyt vagy a szervezeten kívüli személlyel megállapodást köt.</t>
  </si>
  <si>
    <t xml:space="preserve">TV-S0323</t>
  </si>
  <si>
    <t xml:space="preserve">11. § (2)</t>
  </si>
  <si>
    <t xml:space="preserve">(2) Az 1. § (1) bekezdés a)–c) és f) pontja szerinti szervezetek esetében az (1) bekezdés szerinti megállapodás kötelező tartalmi elemeit kormányrendelet tartalmazza. Megállapodás megkötése esetén is meg kell jelölni azt a természetes személyt, aki az elektronikus információs rendszer biztonságáért felelős személy feladatait ellátja.</t>
  </si>
  <si>
    <t xml:space="preserve">TV-S0324</t>
  </si>
  <si>
    <t xml:space="preserve">11. § (3)</t>
  </si>
  <si>
    <t xml:space="preserve">(3) Az elektronikus információs rendszer biztonságáért felelős személy feladatait csak olyan személy végezheti, aki</t>
  </si>
  <si>
    <t xml:space="preserve">TV-S0325</t>
  </si>
  <si>
    <t xml:space="preserve">11. § (3) a)</t>
  </si>
  <si>
    <t xml:space="preserve">a) cselekvőképes, büntetlen előéletű és</t>
  </si>
  <si>
    <t xml:space="preserve">TV-S0326</t>
  </si>
  <si>
    <t xml:space="preserve">11. § (3) b)</t>
  </si>
  <si>
    <t xml:space="preserve">b) az 1. § (1) bekezdés a)–c) és f) pontja szerinti szervezet, a Kszetv. alapján kritikus szervezetként kijelölt szervezet, valamint a Vbö. alapján az ország védelme és biztonsága szempontjából jelentős szervezetként kijelölt szervezet esetében rendelkezik a feladatellátáshoz szükséges, az informatikáért felelős miniszter rendeletében előírt végzettséggel, valamint rendelkezik</t>
  </si>
  <si>
    <t xml:space="preserve">TV-S0327</t>
  </si>
  <si>
    <t xml:space="preserve">11. § (3) b) ba)</t>
  </si>
  <si>
    <t xml:space="preserve">ba) a 75. § (1) bekezdése szerinti nemzeti koordinációs központ által – az informatikáért felelős miniszter rendeletében foglaltak szerint – közzétett szakképzettséggel, akkreditált nemzetközi képzettséggel (a továbbiakban együtt: szakképzettség), vagy</t>
  </si>
  <si>
    <t xml:space="preserve">TV-S0328</t>
  </si>
  <si>
    <t xml:space="preserve">11. § (3) b) bb)</t>
  </si>
  <si>
    <t xml:space="preserve">bb) az informatikáért felelős miniszter rendeletében meghatározott szakterületen szerzett szakmai tapasztalattal.</t>
  </si>
  <si>
    <t xml:space="preserve">TV-S0329</t>
  </si>
  <si>
    <t xml:space="preserve">11. § (4)</t>
  </si>
  <si>
    <t xml:space="preserve">TV-S0330</t>
  </si>
  <si>
    <t xml:space="preserve">11. § (5)</t>
  </si>
  <si>
    <t xml:space="preserve">(5) A (4) bekezdést nem kell alkalmazni a következő szervezetek vonatkozásában:</t>
  </si>
  <si>
    <t xml:space="preserve">TV-S0331</t>
  </si>
  <si>
    <t xml:space="preserve">11. § (5) a)</t>
  </si>
  <si>
    <t xml:space="preserve">a) az 1. § (1) bekezdés a)–c) pontja szerinti fontos szervezetek,</t>
  </si>
  <si>
    <t xml:space="preserve">TV-S0332</t>
  </si>
  <si>
    <t xml:space="preserve">11. § (5) b)</t>
  </si>
  <si>
    <t xml:space="preserve">b) az 1. § (1) bekezdés d) és e) pontja szerinti szervezetek.</t>
  </si>
  <si>
    <t xml:space="preserve">TV-S0333</t>
  </si>
  <si>
    <t xml:space="preserve">11. § (6)</t>
  </si>
  <si>
    <t xml:space="preserve">(6) A szervezet vezetője biztosítja, hogy az elektronikus információs rendszer biztonságáért felelős személy</t>
  </si>
  <si>
    <t xml:space="preserve">TV-S0334</t>
  </si>
  <si>
    <t xml:space="preserve">11. § (6) a)</t>
  </si>
  <si>
    <t xml:space="preserve">a) valamennyi, az elektronikus információs rendszerek védelmét érintő döntés előkészítésében részt vegyen;</t>
  </si>
  <si>
    <t xml:space="preserve">TV-S0335</t>
  </si>
  <si>
    <t xml:space="preserve">11. § (6) b)</t>
  </si>
  <si>
    <t xml:space="preserve">b) rendelkezésére álljanak az elektronikus információs rendszer védelmének biztosításához szükséges feltételek, jogosultságok, információk, humán- és anyagi erőforrások;</t>
  </si>
  <si>
    <t xml:space="preserve">TV-S0336</t>
  </si>
  <si>
    <t xml:space="preserve">11. § (6) c)</t>
  </si>
  <si>
    <t xml:space="preserve">c) hozzáférjen mindazon rendszerekhez, adatokhoz és információkhoz, amelyek az általa ellátandó feladatok végrehajtásához szükségesek és</t>
  </si>
  <si>
    <t xml:space="preserve">TV-S0337</t>
  </si>
  <si>
    <t xml:space="preserve">11. § (6) d)</t>
  </si>
  <si>
    <t xml:space="preserve">d) ha a szervezeten belül került kijelölésre, a szakmai ismereteinek fenntartásához szükséges, az informatikáért felelős miniszter rendeletében meghatározott továbbképzéseken részt vegyen.</t>
  </si>
  <si>
    <t xml:space="preserve">TV-S0338</t>
  </si>
  <si>
    <t xml:space="preserve">11. § (7)</t>
  </si>
  <si>
    <t xml:space="preserve">(7) Az elektronikus információs rendszer biztonságáért felelős személyt feladata ellátásával kapcsolatosan tudomására jutott adatok és információk tekintetében titoktartási kötelezettség terheli. A titoktartási kötelezettség alól a szervezet vezetője adhat felmentést.</t>
  </si>
  <si>
    <t xml:space="preserve">TV-S0339</t>
  </si>
  <si>
    <t xml:space="preserve">11. § (8)</t>
  </si>
  <si>
    <t xml:space="preserve">(8) Az elektronikus információs rendszer biztonságáért felelős személy részt vesz az informatikáért felelős miniszter rendeletében meghatározott továbbképzésen.</t>
  </si>
  <si>
    <t xml:space="preserve">TV-S0340</t>
  </si>
  <si>
    <t xml:space="preserve">11. § (9)</t>
  </si>
  <si>
    <t xml:space="preserve">(9) Az elektronikus információs rendszer biztonságáért felelős személy jogosult a szervezet elektronikus információbiztonsági kötelezettségeinek, feladatainak teljesítésében közreműködőktől a biztonsági követelmények teljesülésével kapcsolatban tájékoztatást kérni. Ennek keretében jogosult megismerni a követelményeknek való megfelelőség alátámasztásához szükséges közreműködői tevékenységgel kapcsolatos adatot, valamint az elektronikus információs rendszerek biztonsága tárgyában keletkezett valamennyi dokumentumot.</t>
  </si>
  <si>
    <t xml:space="preserve">TV-S0341</t>
  </si>
  <si>
    <t xml:space="preserve">11. § (10)</t>
  </si>
  <si>
    <t xml:space="preserve">(10) Indokolt esetben a szervezet kijelölhet vagy megbízhat az elektronikus információs rendszer biztonságáért felelős személy helyettesítésére jogosult személyt, aki az elektronikus információs rendszer biztonságáért felelős személy tartós távolléte vagy akadályoztatása esetén ellátja az elektronikus információs rendszer biztonságáért felelős személy feladatait. Az elektronikus információs rendszer biztonságáért felelős személy és helyettese között a feladatok és felelősség megosztásáról a szervezet vezetője rendelkezik. A helyettesre az elektronikus információs rendszer biztonságáért felelős személyre vonatkozó rendelkezéseket kell alkalmazni.</t>
  </si>
  <si>
    <t xml:space="preserve">TV-S0342</t>
  </si>
  <si>
    <t xml:space="preserve">11. § (11)</t>
  </si>
  <si>
    <t xml:space="preserve">(11) Ha a szervezet elektronikus információs rendszereinek száma, mérete vagy biztonsági igényei indokolják, a szervezeten belül elektronikus információbiztonsági szervezeti egység hozható létre, amelyet az elektronikus információs rendszer biztonságáért felelős személy vezet.</t>
  </si>
  <si>
    <t xml:space="preserve">TV-S0343</t>
  </si>
  <si>
    <t xml:space="preserve">11. § (12)</t>
  </si>
  <si>
    <t xml:space="preserve">(12) Az 1. § (1) bekezdés a)–c) és f) pontja szerinti szervezet, a Kszetv. alapján kritikus szervezetként kijelölt szervezet, valamint a Vbö. alapján az ország védelme és biztonsága szempontjából jelentős szervezetként kijelölt szervezet esetében az elektronikus információs rendszer biztonságáért felelős személy feladat- és hatáskörére vonatkozó részletes szabályokat kormányrendelet határozza meg.</t>
  </si>
  <si>
    <t xml:space="preserve">TV-S0344</t>
  </si>
  <si>
    <t xml:space="preserve">11. § (13)</t>
  </si>
  <si>
    <t xml:space="preserve">(13) A nemzeti kiberbiztonsági hatóság nyilvántartást vezet az elektronikus információs rendszer biztonságáért felelős személy feladatainak ellátására alkalmas személyekről.</t>
  </si>
  <si>
    <t xml:space="preserve">TV-S0345</t>
  </si>
  <si>
    <t xml:space="preserve">11. § (14)</t>
  </si>
  <si>
    <t xml:space="preserve">(14) Az elektronikus információs rendszer biztonságáért felelős személy feladatainak ellátására alkalmas személyek nyilvántartásának célja, hogy a nyilvántartásban szereplő személyek közül a szervezetek a feladat ellátására alkalmas elektronikus információs rendszer biztonságáért felelős személyt választhassanak.</t>
  </si>
  <si>
    <t xml:space="preserve">TV-S0346</t>
  </si>
  <si>
    <t xml:space="preserve">11. § (15)</t>
  </si>
  <si>
    <t xml:space="preserve">(15) Az elektronikus információs rendszer biztonságáért felelős személy feladatainak ellátására alkalmas személyek nyilvántartásába kerülés, illetve az onnan való törlés rendjét kormányrendelet határozza meg.</t>
  </si>
  <si>
    <t xml:space="preserve">TV-S0347</t>
  </si>
  <si>
    <t xml:space="preserve">11. § (16)</t>
  </si>
  <si>
    <t xml:space="preserve">(16) A nemzeti kiberbiztonsági hatóság vizsgálhatja, hogy az elektronikus információs rendszer biztonságáért felelős személy megfelel-e a (3) bekezdés a) pontjában meghatározott büntetlen előéletre irányuló követelménynek. Ennek megállapítása érdekében adatot igényelhet a bűnügyi nyilvántartási rendszerből.</t>
  </si>
  <si>
    <t xml:space="preserve">TV-S0348</t>
  </si>
  <si>
    <t xml:space="preserve">TV-S0349</t>
  </si>
  <si>
    <t xml:space="preserve">12. § (1)</t>
  </si>
  <si>
    <t xml:space="preserve">12. § (1) A kiberbiztonsággal kapcsolatos képzést folytató felsőoktatási intézmény a képzési tevékenység ellátásával összefüggésben</t>
  </si>
  <si>
    <t xml:space="preserve">TV-S0350</t>
  </si>
  <si>
    <t xml:space="preserve">a)</t>
  </si>
  <si>
    <t xml:space="preserve">TV-S0351</t>
  </si>
  <si>
    <t xml:space="preserve">12. § (1) b)</t>
  </si>
  <si>
    <t xml:space="preserve">b) közreműködhet az információbiztonsági, kibervédelmi, valamint a kritikus szervezetek vonatkozásában a komplex ellenálló képességi gyakorlatokon.</t>
  </si>
  <si>
    <t xml:space="preserve">TV-S0352</t>
  </si>
  <si>
    <t xml:space="preserve">12. § (2)</t>
  </si>
  <si>
    <t xml:space="preserve">(2) A kiberbiztonsággal kapcsolatos képzést folytató szervezet</t>
  </si>
  <si>
    <t xml:space="preserve">TV-S0353</t>
  </si>
  <si>
    <t xml:space="preserve">12. § (2) a)</t>
  </si>
  <si>
    <t xml:space="preserve">a) az alapvető és fontos szervezetek vezetői, az elektronikus információs rendszer biztonságáért felelős személyek által irányított szervezeti egységek munkatársai részére képzést,</t>
  </si>
  <si>
    <t xml:space="preserve">TV-S0354</t>
  </si>
  <si>
    <t xml:space="preserve">12. § (2) b)</t>
  </si>
  <si>
    <t xml:space="preserve">b) az alapvető és fontos szervezetek vezetői, az elektronikus információs rendszer biztonságáért felelős személyek, az elektronikus információs rendszer biztonságáért felelős személyek által irányított szervezeti egységek munkatársai részére továbbképzést</t>
  </si>
  <si>
    <t xml:space="preserve">TV-S0355</t>
  </si>
  <si>
    <t xml:space="preserve">szervezhet.</t>
  </si>
  <si>
    <t xml:space="preserve">TV-S0356</t>
  </si>
  <si>
    <t xml:space="preserve">TV-S0357</t>
  </si>
  <si>
    <t xml:space="preserve">13. § (1)</t>
  </si>
  <si>
    <t xml:space="preserve">13. § (1) Új elektronikus információs rendszerek fejlesztése, vagy már meglévő elektronikus információs rendszerek továbbfejlesztése (a továbbiakban együtt: fejlesztés) vonatkozásában jelen alcím rendelkezéseit kell alkalmazni az alábbi, alapvető szervezetnek minősülő szervezetek esetében</t>
  </si>
  <si>
    <t xml:space="preserve">TV-S0358</t>
  </si>
  <si>
    <t xml:space="preserve">13. § (1) a)</t>
  </si>
  <si>
    <t xml:space="preserve">a) az 1. § (1) bekezdés a) és c) pontja szerinti szervezet, valamint</t>
  </si>
  <si>
    <t xml:space="preserve">TV-S0359</t>
  </si>
  <si>
    <t xml:space="preserve">13. § (1) b)</t>
  </si>
  <si>
    <t xml:space="preserve">b) az 1. § (1) bekezdés b) pontja szerinti és egyben a 2. és 3. melléklet szerinti szervezetnek minősülő szervezet.</t>
  </si>
  <si>
    <t xml:space="preserve">TV-S0360</t>
  </si>
  <si>
    <t xml:space="preserve">13. § (2)</t>
  </si>
  <si>
    <t xml:space="preserve">(2) Elektronikus információs rendszer fejlesztése esetén a szervezet az információbiztonsági követelmények teljesülésének biztosítása és az elektronikus információs rendszer működésének nemzeti kiberbiztonsági hatóság általi jóváhagyása érdekében a kormányrendeletben meghatározottak szerint jár el.</t>
  </si>
  <si>
    <t xml:space="preserve">TV-S0361</t>
  </si>
  <si>
    <t xml:space="preserve">13. § (3)</t>
  </si>
  <si>
    <t xml:space="preserve">(3) A fejlesztés során az elektronikus információs rendszer tervezési életciklusában végre kell hajtani – ahol az adatosztályozási kötelezettséget e törvény előírja – a rendszerben kezelni tervezett adatok osztályozását és az elektronikus információs rendszer biztonsági osztályba sorolását, amelyet a kormányrendeletben meghatározott módon a nemzeti kiberbiztonsági hatóságnak jóváhagyásra be kell nyújtani</t>
  </si>
  <si>
    <t xml:space="preserve">TV-S0362</t>
  </si>
  <si>
    <t xml:space="preserve">13. § (3) a)</t>
  </si>
  <si>
    <t xml:space="preserve">a) belső fejlesztés esetén az erőforrások allokációját megelőzően,</t>
  </si>
  <si>
    <t xml:space="preserve">TV-S0363</t>
  </si>
  <si>
    <t xml:space="preserve">13. § (3) b)</t>
  </si>
  <si>
    <t xml:space="preserve">b) külső fejlesztés esetén az arra irányuló szerződés megkötését megelőzően – a közbeszerzésekre vonatkozó jogszabályi rendelkezéseket is figyelembe véve – olyan módon, hogy az információbiztonsági követelmények az elektronikus információs rendszer fejlesztésére irányuló szerződésbe rögzítésre kerüljenek.</t>
  </si>
  <si>
    <t xml:space="preserve">TV-S0364</t>
  </si>
  <si>
    <t xml:space="preserve">13. § (4)</t>
  </si>
  <si>
    <t xml:space="preserve">(4) A szervezet rögzíti a fejlesztésre irányuló szerződésben a nemzeti kiberbiztonsági hatóság által jóváhagyott osztályba soroláshoz kapcsolódó követelményeket és a fejlesztés során intézkedik azok megvalósulása iránt a fejlesztést végző szervezet felé.</t>
  </si>
  <si>
    <t xml:space="preserve">TV-S0365</t>
  </si>
  <si>
    <t xml:space="preserve">13. § (5)</t>
  </si>
  <si>
    <t xml:space="preserve">(5) A fejlesztést a nemzeti kiberbiztonsági hatóság által jóváhagyott, a biztonsági osztály vonatkozásában az informatikáért felelős miniszter rendeletében meghatározott védelmi követelményeknek megfelelően kell végrehajtani.</t>
  </si>
  <si>
    <t xml:space="preserve">TV-S0366</t>
  </si>
  <si>
    <t xml:space="preserve">13. § (6)</t>
  </si>
  <si>
    <t xml:space="preserve">(6) Ha a fejlesztés során olyan körülmény jut a szervezet tudomására, amely befolyásolja az érintett elektronikus információs rendszer biztonságát, akkor a (2)–(4) bekezdésben meghatározott feladatokat ismételten el kell végezni.</t>
  </si>
  <si>
    <t xml:space="preserve">TV-S0367</t>
  </si>
  <si>
    <t xml:space="preserve">13. § (7)</t>
  </si>
  <si>
    <t xml:space="preserve">(7) A nemzeti kiberbiztonsági hatóság eljárása során elrendelhet sérülékenységvizsgálatot.</t>
  </si>
  <si>
    <t xml:space="preserve">TV-S0368</t>
  </si>
  <si>
    <t xml:space="preserve">13. § (8)</t>
  </si>
  <si>
    <t xml:space="preserve">(8) Új elektronikus információs rendszer bevezetése vagy már működő elektronikus információs rendszer továbbfejlesztése során a megállapított biztonsági osztályhoz tartozó követelményeket a rendszer használatbavételéig teljesíteni kell.</t>
  </si>
  <si>
    <t xml:space="preserve">TV-S0369</t>
  </si>
  <si>
    <t xml:space="preserve">13. § (9)</t>
  </si>
  <si>
    <t xml:space="preserve">(9) A szervezet vezetőjének az elektronikus információs rendszer használatba vételére, további használatára irányuló, a 6. § (3) bekezdés 12. pontja szerinti döntése abban az esetben hozható meg, ha a nemzeti kiberbiztonsági hatóság által jóváhagyott biztonsági osztályba sorolásból következő követelmények a (8) bekezdés szerinti módon teljesültek.</t>
  </si>
  <si>
    <t xml:space="preserve">TV-S0370</t>
  </si>
  <si>
    <t xml:space="preserve">13. § (10)</t>
  </si>
  <si>
    <t xml:space="preserve">(10) A 6. § (3) bekezdés 12. pontja szerinti döntéssel egyidejűleg gondoskodni kell az elektronikus információs rendszer kormányrendeletben meghatározott adatainak nemzeti kiberbiztonsági hatósághoz történő bejelentéséről.</t>
  </si>
  <si>
    <t xml:space="preserve">TV-S0371</t>
  </si>
  <si>
    <t xml:space="preserve">13. § (11)</t>
  </si>
  <si>
    <t xml:space="preserve">(11) Központi rendszer fejlesztése esetén – az (1)–(10) bekezdésben foglaltakon túlmenően – az elektronikus információs rendszer felett rendelkezési jogosultsággal bíró szervezet köteles első alkalommal a tervezés fázisában és azt követően minden mérföldkő elérésekor tájékoztatni a nemzeti kiberbiztonsági hatóságot a központi rendszer biztonságát érintő kérdések vonatkozásában.</t>
  </si>
  <si>
    <t xml:space="preserve">TV-S0372</t>
  </si>
  <si>
    <t xml:space="preserve">TV-S0373</t>
  </si>
  <si>
    <t xml:space="preserve">14. § (1)</t>
  </si>
  <si>
    <t xml:space="preserve">14. § (1) Ha az elektronikus információs rendszer fejlesztése</t>
  </si>
  <si>
    <t xml:space="preserve">TV-S0374</t>
  </si>
  <si>
    <t xml:space="preserve">14. § (1) a)</t>
  </si>
  <si>
    <t xml:space="preserve">a) a 2. vagy 3. melléklet szerinti szervezetnek nem minősülő, az 1. § (1) bekezdés b) pontja szerinti alapvető szervezet vagy</t>
  </si>
  <si>
    <t xml:space="preserve">TV-S0375</t>
  </si>
  <si>
    <t xml:space="preserve">14. § (1) b)</t>
  </si>
  <si>
    <t xml:space="preserve">b) az 1. § (1) bekezdés a) és c) pontja szerinti fontos szervezet által történik,</t>
  </si>
  <si>
    <t xml:space="preserve">TV-S0376</t>
  </si>
  <si>
    <t xml:space="preserve">a 13. §-ban foglaltak helyett e § rendelkezései az irányadóak.</t>
  </si>
  <si>
    <t xml:space="preserve">TV-S0377</t>
  </si>
  <si>
    <t xml:space="preserve">14. § (2)</t>
  </si>
  <si>
    <t xml:space="preserve">(2) Az (1) bekezdés szerinti szervezet intézkedik a védelmi követelmények megvalósulása iránt a fejlesztést végző szervezet felé.</t>
  </si>
  <si>
    <t xml:space="preserve">TV-S0378</t>
  </si>
  <si>
    <t xml:space="preserve">14. § (3)</t>
  </si>
  <si>
    <t xml:space="preserve">(3) Az (1) bekezdés szerinti szervezet köteles a kiberbiztonsági hatóság részére bejelenteni</t>
  </si>
  <si>
    <t xml:space="preserve">TV-S0379</t>
  </si>
  <si>
    <t xml:space="preserve">14. § (3) a)</t>
  </si>
  <si>
    <t xml:space="preserve">a) az elektronikus információs rendszert a tervezési életciklusban, a fejlesztés megkezdését megelőzően, valamint</t>
  </si>
  <si>
    <t xml:space="preserve">TV-S0380</t>
  </si>
  <si>
    <t xml:space="preserve">14. § (3) b)</t>
  </si>
  <si>
    <t xml:space="preserve">b) a szervezet vezetőjének az elektronikus információs rendszer használatba vételére, további használatára irányuló, a 6. § (3) bekezdés 12. pontja szerinti döntését követően.</t>
  </si>
  <si>
    <t xml:space="preserve">TV-S0381</t>
  </si>
  <si>
    <t xml:space="preserve">14. § (4)</t>
  </si>
  <si>
    <t xml:space="preserve">(4) Indokolt esetben a kiberbiztonsági hatóság sérülékenységvizsgálatot rendelhet el.</t>
  </si>
  <si>
    <t xml:space="preserve">TV-S0382</t>
  </si>
  <si>
    <t xml:space="preserve">14. § (5)</t>
  </si>
  <si>
    <t xml:space="preserve">(5) A biztonsági osztályhoz tartozó követelményeket a rendszer használatbavételéig teljesíteni kell, a szervezet vezetőjének az elektronikus információs rendszer használatba vételére, további használatára irányuló, 6. § (3) bekezdés 12. pontja szerinti döntése ezek teljesülése esetében hozható meg.</t>
  </si>
  <si>
    <t xml:space="preserve">TV-S0383</t>
  </si>
  <si>
    <t xml:space="preserve">15. § (1)</t>
  </si>
  <si>
    <t xml:space="preserve">15. § (1) Ha az 1. § (1) bekezdés a)–c) pontja szerinti szervezet elektronikus információs rendszerének sérülékenységvizsgálata jogszabály vagy a nemzeti kiberbiztonsági hatóság döntése alapján kötelező, akkor a 6. § (3) bekezdés 12. pontja szerinti döntés feltétele a feltárt sérülékenységek vonatkozásában készített sérülékenységkezelési terv nemzeti kiberbiztonsági hatóság általi jóváhagyása.</t>
  </si>
  <si>
    <t xml:space="preserve">TV-S0384</t>
  </si>
  <si>
    <t xml:space="preserve">15. § (2)</t>
  </si>
  <si>
    <t xml:space="preserve">(2) Az (1) bekezdés szerinti, „jelentős” és „magas” biztonsági osztályba tartozó elektronikus információs rendszer esetében kötelező a kormányrendelet szerinti teljes körű sérülékenységvizsgálat kezdeményezése. Sérülékenységvizsgálat végzésének kötelezettsége alól kormányrendeletben meghatározott, sérülékenységvizsgálat végzésére jogosult állami szerv döntése alapján mentesülhet a szervezet.</t>
  </si>
  <si>
    <t xml:space="preserve">TV-S0385</t>
  </si>
  <si>
    <t xml:space="preserve">15. § (3)</t>
  </si>
  <si>
    <t xml:space="preserve">(3) Az 1. § (1) bekezdés a)–c) pontja szerinti szervezet elektronikus információs rendszerei fejlesztése során irányadó részletes szabályokat kormányrendelet tartalmazza.</t>
  </si>
  <si>
    <t xml:space="preserve">TV-S0386</t>
  </si>
  <si>
    <t xml:space="preserve">TV-S0387</t>
  </si>
  <si>
    <t xml:space="preserve">16. § (1)</t>
  </si>
  <si>
    <t xml:space="preserve">TV-S0388</t>
  </si>
  <si>
    <t xml:space="preserve">16. § (2)</t>
  </si>
  <si>
    <t xml:space="preserve">(2) A szervezet köteles</t>
  </si>
  <si>
    <t xml:space="preserve">TV-S0389</t>
  </si>
  <si>
    <t xml:space="preserve">16. § (2) a)</t>
  </si>
  <si>
    <t xml:space="preserve">a) a nyilvántartásba vételét követő 120 napon belül a kiberbiztonsági audit elvégzésére a 21. § (3) bekezdése szerinti nyilvántartásban szereplő auditorral megállapodást kötni, és</t>
  </si>
  <si>
    <t xml:space="preserve">TV-S0390</t>
  </si>
  <si>
    <t xml:space="preserve">16. § (2) b)</t>
  </si>
  <si>
    <t xml:space="preserve">b) a kiberbiztonsági auditot első alkalommal a nyilvántartásba vételét követő 2 éven belül elvégeztetni.</t>
  </si>
  <si>
    <t xml:space="preserve">TV-S0391</t>
  </si>
  <si>
    <t xml:space="preserve">16. § (3)</t>
  </si>
  <si>
    <t xml:space="preserve">TV-S0392</t>
  </si>
  <si>
    <t xml:space="preserve">16. § (4)</t>
  </si>
  <si>
    <t xml:space="preserve">(4) Ha az (1) bekezdés szerinti szervezet honvédelmi célú elektronikus információs rendszer felett is rendelkezési jogosultsággal bír, a szervezet vezetője felelős a (3) bekezdésben foglalt rendelkezések teljesüléséért.</t>
  </si>
  <si>
    <t xml:space="preserve">TV-S0393</t>
  </si>
  <si>
    <t xml:space="preserve">16. § (5)</t>
  </si>
  <si>
    <t xml:space="preserve">(5) A honvédelmi kiberbiztonsági hatóság a jogszabály szerint a honvédelmi érdekhez kapcsolódó tevékenységet folytató gazdasági társaságok és az ország védelme és biztonsága szempontjából jelentős kettős kijelöléssel nem érintett szervezet és honvédelmi infrastruktúra elektronikus információs rendszere esetében a honvédelmi célú elektronikus információs rendszerként történő nyilvántartásba vételről tájékoztatja az SZTFH-t.</t>
  </si>
  <si>
    <t xml:space="preserve">TV-S0394</t>
  </si>
  <si>
    <t xml:space="preserve">TV-S0395</t>
  </si>
  <si>
    <t xml:space="preserve">17. § (1)</t>
  </si>
  <si>
    <t xml:space="preserve">17. § (1) A szervezetnek gondoskodnia kell arról, hogy a támogató rendszer is az általa támogatott elektronikus információs rendszernek megfelelő szintű védelemben részesüljön az informatikáért felelős miniszter rendeletében foglaltak alapján, ha az adott védelmi intézkedések kockázatarányosan alkalmazhatók az érintett támogató rendszer vonatkozásában. A szervezet köteles felmérni a támogató rendszerben használt védelmi intézkedéseket.</t>
  </si>
  <si>
    <t xml:space="preserve">TV-S0396</t>
  </si>
  <si>
    <t xml:space="preserve">17. § (2)</t>
  </si>
  <si>
    <t xml:space="preserve">(2) Ha a szervezet a támogató rendszert szolgáltatásként nyújtja, tájékoztatja a támogató rendszert felhasználó szervezetet arról, hogy a támogató rendszer milyen biztonsági osztályhoz tartozó követelményeknek felel meg.</t>
  </si>
  <si>
    <t xml:space="preserve">TV-S0397</t>
  </si>
  <si>
    <t xml:space="preserve">17. § (3)</t>
  </si>
  <si>
    <t xml:space="preserve">(3) Kizárólag olyan támogató rendszer vehető igénybe, amely megfelel az általa támogatott elektronikus információs rendszer védelmi igényeinek.</t>
  </si>
  <si>
    <t xml:space="preserve">TV-S0398</t>
  </si>
  <si>
    <t xml:space="preserve">TV-S0399</t>
  </si>
  <si>
    <t xml:space="preserve">18. § (1)</t>
  </si>
  <si>
    <t xml:space="preserve">18. § (1) A központi rendszer felett rendelkezési jogot gyakorló szervezet az általa a felhasználó szervezet részére biztosított központi rendszer vonatkozásában</t>
  </si>
  <si>
    <t xml:space="preserve">TV-S0400</t>
  </si>
  <si>
    <t xml:space="preserve">18. § (1) a)</t>
  </si>
  <si>
    <t xml:space="preserve">a) ellátja 4. alcímben meghatározott feladatokat;</t>
  </si>
  <si>
    <t xml:space="preserve">TV-S0401</t>
  </si>
  <si>
    <t xml:space="preserve">18. § (1) b)</t>
  </si>
  <si>
    <t xml:space="preserve">b) bejelenti a nemzeti kiberbiztonsági hatóság részére, hogy a rendelkezésében lévő központi rendszert mely szervezet részére szolgáltatja;</t>
  </si>
  <si>
    <t xml:space="preserve">TV-S0402</t>
  </si>
  <si>
    <t xml:space="preserve">18. § (1) c)</t>
  </si>
  <si>
    <t xml:space="preserve">c) szerződéses követelményként meghatározza vagy szerződés hiányában honlapján elérhetővé teszi a felhasználó szervezet számára a központi rendszer védelme érdekében a felhasználó szervezet által a központi rendszer igénybevétele feltételeként betartandó elektronikus információbiztonsági követelményeket;</t>
  </si>
  <si>
    <t xml:space="preserve">TV-S0403</t>
  </si>
  <si>
    <t xml:space="preserve">18. § (1) d)</t>
  </si>
  <si>
    <t xml:space="preserve">d) ellenőrizheti a c) pontban meghatározott feladatok végrehajtását;</t>
  </si>
  <si>
    <t xml:space="preserve">TV-S0404</t>
  </si>
  <si>
    <t xml:space="preserve">18. § (1) e)</t>
  </si>
  <si>
    <t xml:space="preserve">e) a d) pont szerinti ellenőrzés során feltárt hiányosságok pótlására, hibák javítására határidő jelölésével felszólítja a felhasználó szervezetet, ennek eredménytelensége esetén további intézkedések megtétele érdekében tájékoztatja a nemzeti kiberbiztonsági hatóságot;</t>
  </si>
  <si>
    <t xml:space="preserve">TV-S0405</t>
  </si>
  <si>
    <t xml:space="preserve">18. § (1) f)</t>
  </si>
  <si>
    <t xml:space="preserve">f) együttműködik a felhasználó szervezettel, ennek keretében</t>
  </si>
  <si>
    <t xml:space="preserve">TV-S0406</t>
  </si>
  <si>
    <t xml:space="preserve">18. § (1) f) fa)</t>
  </si>
  <si>
    <t xml:space="preserve">fa) a felhasználó szervezetet a központi rendszert érintő előre tervezett eseményekről legalább 5 nappal az esemény előtt értesíti,</t>
  </si>
  <si>
    <t xml:space="preserve">TV-S0407</t>
  </si>
  <si>
    <t xml:space="preserve">18. § (1) f) fb)</t>
  </si>
  <si>
    <t xml:space="preserve">fb) soron kívül tájékoztatja a központi rendszert érintő kiberbiztonsági incidensekről,</t>
  </si>
  <si>
    <t xml:space="preserve">TV-S0408</t>
  </si>
  <si>
    <t xml:space="preserve">18. § (1) f) fc)</t>
  </si>
  <si>
    <t xml:space="preserve">fc) az elektronikus információs rendszert érintő kiberfenyegetés, kiberbiztonsági incidensközeli helyzet vagy kiberbiztonsági incidens esetén tájékoztatja a lehetséges megelőző, helyreállításhoz szükséges vagy egyéb intézkedésekről,</t>
  </si>
  <si>
    <t xml:space="preserve">TV-S0409</t>
  </si>
  <si>
    <t xml:space="preserve">18. § (1) f) fd)</t>
  </si>
  <si>
    <t xml:space="preserve">fd) ha a felhasználó szervezet elektronikus információs rendszere vonatkozásában végzett sérülékenységvizsgálat a központi rendszert érintő hibát, hiányosságot tár fel, intézkedik azok kijavítása érdekében,</t>
  </si>
  <si>
    <t xml:space="preserve">TV-S0410</t>
  </si>
  <si>
    <t xml:space="preserve">18. § (1) g)</t>
  </si>
  <si>
    <t xml:space="preserve">g) bejelenti az illetékes kiberbiztonsági incidenskezelő központnak a központi rendszert érintő kiberfenyegetéseket, kiberbiztonsági incidensközeli helyzeteket, valamint</t>
  </si>
  <si>
    <t xml:space="preserve">TV-S0411</t>
  </si>
  <si>
    <t xml:space="preserve">18. § (1) h)</t>
  </si>
  <si>
    <t xml:space="preserve">h) a központi rendszert érintő kiberfenyegetések, kiberbiztonsági incidensközeli helyzetek, kiberbiztonsági incidensek megelőzése, elhárítása, kezelése, illetve a következmények csökkentése érdekében megteszi az illetékes kiberbiztonsági incidenskezelő központ által előírt intézkedéseket, valamint az általa igénybe vett szolgáltatás érintettsége esetén intézkedik a szolgáltatás nyújtója felé a szükséges intézkedések megtétele érdekében.</t>
  </si>
  <si>
    <t xml:space="preserve">TV-S0412</t>
  </si>
  <si>
    <t xml:space="preserve">18. § (2)</t>
  </si>
  <si>
    <t xml:space="preserve">(2) A felhasználó szervezet által igénybe vett központi rendszer vonatkozásában a felhasználó szervezet</t>
  </si>
  <si>
    <t xml:space="preserve">TV-S0413</t>
  </si>
  <si>
    <t xml:space="preserve">18. § (2) a)</t>
  </si>
  <si>
    <t xml:space="preserve">a) az elektronikus információs rendszereinek a nemzeti kiberbiztonsági hatóság részére történő bejelentése során a központi rendszer használatát – a központi rendszer azonosítására alkalmas adatok, valamint a központi rendszer felett rendelkezési jogot gyakorló szervezet megjelölésével – bejelenti,</t>
  </si>
  <si>
    <t xml:space="preserve">TV-S0414</t>
  </si>
  <si>
    <t xml:space="preserve">18. § (2) b)</t>
  </si>
  <si>
    <t xml:space="preserve">b) a központi rendszer felett rendelkezési jogot gyakorló szervezet által meghatározott elektronikus információbiztonsági követelményeket teljesíti, ezeket rögzíti az információbiztonsági szabályzatában és</t>
  </si>
  <si>
    <t xml:space="preserve">TV-S0415</t>
  </si>
  <si>
    <t xml:space="preserve">18. § (2) c)</t>
  </si>
  <si>
    <t xml:space="preserve">c) a központi rendszert érintő kiberbiztonsági incidenseket bejelenti az illetékes kiberbiztonsági incidenskezelő központ és a központi rendszer felett rendelkezési jogot gyakorló szervezet részére.</t>
  </si>
  <si>
    <t xml:space="preserve">TV-S0416</t>
  </si>
  <si>
    <t xml:space="preserve">18. § (3)</t>
  </si>
  <si>
    <t xml:space="preserve">(3) Jogszabály alapján kötelezően igénybe vett központi rendszer felett rendelkezési jogot gyakorló szervezet esetén a központi rendszer szolgáltatója és a felhasználó szervezet közötti feladat- és felelősségmegosztást az adott központi rendszerre vonatkozó jogszabály rögzíti. Ennek hiányában, valamint önkéntesen igénybe vett központi rendszer esetében a központi rendszer felett rendelkezési jogot gyakorló szervezet és a felhasználó szervezet szolgáltatási szerződést köt.</t>
  </si>
  <si>
    <t xml:space="preserve">TV-S0417</t>
  </si>
  <si>
    <t xml:space="preserve">18. § (4)</t>
  </si>
  <si>
    <t xml:space="preserve">(4) A központi rendszerekről a nemzeti kiberbiztonsági hatóság nyilvántartást vezet.</t>
  </si>
  <si>
    <t xml:space="preserve">TV-S0418</t>
  </si>
  <si>
    <t xml:space="preserve">18. § (5)</t>
  </si>
  <si>
    <t xml:space="preserve">(5) A nemzeti kiberbiztonsági hatóság jogosult a központi rendszer vonatkozásában mind a központi rendszer szolgáltatójánál, mind a felhasználó szervezetnél az elektronikus információbiztonsági követelmények teljesülését ellenőrizni.</t>
  </si>
  <si>
    <t xml:space="preserve">TV-S0419</t>
  </si>
  <si>
    <t xml:space="preserve">TV-S0420</t>
  </si>
  <si>
    <t xml:space="preserve">19. § (1)</t>
  </si>
  <si>
    <t xml:space="preserve">19. § (1) A központi szolgáltató tájékoztatja a felhasználó szervezetet arról, hogy az általa nyújtott szolgáltatás milyen biztonsági osztály követelményeinek megfelelő szolgáltatásokat tud nyújtani, vagy arról, hogy a központi szolgáltatásokat megvalósító rendszerek milyen biztonsági osztály követelményeinek felelnek meg. Amennyiben a központi szolgáltató által nyújtott szolgáltatással érintett elektronikus információs rendszer biztonsági osztályának megfelelnek a központi szolgáltató által biztosított védelmi intézkedések, a felhasználó szervezet igénybe veszi a szolgáltatást. Ellenkező esetben a felhasználó szervezet nem veszi igénybe a szolgáltatást, illetve kötelező igénybevétel esetén a felhasználó szervezet gondoskodik a felhasználó szervezet hatáskörében megvalósítható, kockázatarányos helyettesítő intézkedések alkalmazásáról.</t>
  </si>
  <si>
    <t xml:space="preserve">TV-S0421</t>
  </si>
  <si>
    <t xml:space="preserve">19. § (2)</t>
  </si>
  <si>
    <t xml:space="preserve">(2) A központi szolgáltató</t>
  </si>
  <si>
    <t xml:space="preserve">TV-S0422</t>
  </si>
  <si>
    <t xml:space="preserve">19. § (2) a)</t>
  </si>
  <si>
    <t xml:space="preserve">a) köteles folyamatosan kapcsolatot tartani a nemzeti kiberbiztonsági hatósággal,</t>
  </si>
  <si>
    <t xml:space="preserve">TV-S0423</t>
  </si>
  <si>
    <t xml:space="preserve">19. § (2) b)</t>
  </si>
  <si>
    <t xml:space="preserve">b) bejelenti a nemzeti kiberbiztonsági hatóság részére, hogy a központi szolgáltatást vagy támogató rendszert mely szervezet részére nyújtja,</t>
  </si>
  <si>
    <t xml:space="preserve">TV-S0424</t>
  </si>
  <si>
    <t xml:space="preserve">19. § (2) c)</t>
  </si>
  <si>
    <t xml:space="preserve">c) gondoskodik a központi szolgáltatás vagy a támogató rendszer kockázatarányos védelmi intézkedéseinek megvalósításáról,</t>
  </si>
  <si>
    <t xml:space="preserve">TV-S0425</t>
  </si>
  <si>
    <t xml:space="preserve">19. § (2) d)</t>
  </si>
  <si>
    <t xml:space="preserve">d) meghatározza és elérhetővé teszi a felhasználó szervezet számára a központi szolgáltatás vagy támogató rendszer védelme érdekében a felhasználó szervezet által az igénybevétel feltételeként betartandó elektronikus információbiztonsági követelményeket,</t>
  </si>
  <si>
    <t xml:space="preserve">TV-S0426</t>
  </si>
  <si>
    <t xml:space="preserve">19. § (2) e)</t>
  </si>
  <si>
    <t xml:space="preserve">e) együttműködik a felhasználó szervezettel, ennek keretében</t>
  </si>
  <si>
    <t xml:space="preserve">TV-S0427</t>
  </si>
  <si>
    <t xml:space="preserve">19. § (2) e) ea)</t>
  </si>
  <si>
    <t xml:space="preserve">ea) a központi szolgáltatást vagy a támogató rendszert érintő előre tervezett eseményekről legalább 5 nappal az esemény előtt értesíti,</t>
  </si>
  <si>
    <t xml:space="preserve">TV-S0428</t>
  </si>
  <si>
    <t xml:space="preserve">19. § (2) e) eb)</t>
  </si>
  <si>
    <t xml:space="preserve">eb) soron kívül tájékoztatja a központi szolgáltatást vagy a támogató rendszert érintő kiberbiztonsági incidensekről,</t>
  </si>
  <si>
    <t xml:space="preserve">TV-S0429</t>
  </si>
  <si>
    <t xml:space="preserve">19. § (2) e) ec)</t>
  </si>
  <si>
    <t xml:space="preserve">ec) kiberfenyegetés, kiberbiztonsági incidensközeli helyzet vagy kiberbiztonsági incidens esetén tájékoztatja a lehetséges megelőző, helyreállításhoz szükséges vagy egyéb intézkedésekről,</t>
  </si>
  <si>
    <t xml:space="preserve">TV-S0430</t>
  </si>
  <si>
    <t xml:space="preserve">19. § (2) e) ed)</t>
  </si>
  <si>
    <t xml:space="preserve">ed) ha a felhasználó szervezet elektronikus információs rendszere vonatkozásában végzett sérülékenységvizsgálat a központi szolgáltatást vagy a támogató rendszert érintő hibát, hiányosságot tár fel, intézkedik azok kijavítása érdekében,</t>
  </si>
  <si>
    <t xml:space="preserve">TV-S0431</t>
  </si>
  <si>
    <t xml:space="preserve">19. § (2) f)</t>
  </si>
  <si>
    <t xml:space="preserve">f) bejelenti az illetékes kiberbiztonsági incidenskezelő központnak a központi szolgáltatást vagy a támogató rendszert érintő kiberfenyegetéseket, kiberbiztonsági incidensközeli helyzeteket, kiberbiztonsági incidenseket, valamint</t>
  </si>
  <si>
    <t xml:space="preserve">TV-S0432</t>
  </si>
  <si>
    <t xml:space="preserve">19. § (2) g)</t>
  </si>
  <si>
    <t xml:space="preserve">g) a központi szolgáltatást vagy a támogató rendszert érintő kiberfenyegetések, kiberbiztonsági incidensközeli helyzetek, kiberbiztonsági incidensek megelőzése, elhárítása, kezelése, illetve a következmények csökkentése érdekében megteszi az illetékes kiberbiztonsági incidenskezelő központ által előírt intézkedéseket, valamint az általa igénybe vett szolgáltatás érintettsége esetén intézkedik a szolgáltatás nyújtója felé a szükséges intézkedések megtétele érdekében.</t>
  </si>
  <si>
    <t xml:space="preserve">TV-S0433</t>
  </si>
  <si>
    <t xml:space="preserve">19. § (3)</t>
  </si>
  <si>
    <t xml:space="preserve">(3) A központi szolgáltató által a felhasználó szervezet részére biztosított központi szolgáltatás vagy támogató rendszer vonatkozásában a felhasználó szervezet</t>
  </si>
  <si>
    <t xml:space="preserve">TV-S0434</t>
  </si>
  <si>
    <t xml:space="preserve">19. § (3) a)</t>
  </si>
  <si>
    <t xml:space="preserve">a) bejelenti a nemzeti kiberbiztonsági hatóság részére a központi szolgáltatás vagy a támogató rendszer használatát a központi szolgáltató megjelölésével,</t>
  </si>
  <si>
    <t xml:space="preserve">TV-S0435</t>
  </si>
  <si>
    <t xml:space="preserve">19. § (3) b)</t>
  </si>
  <si>
    <t xml:space="preserve">b) a központi szolgáltató által meghatározott elektronikus információbiztonsági követelményeket teljesíti, ezeket rögzíti az információbiztonsági szabályzatában, valamint</t>
  </si>
  <si>
    <t xml:space="preserve">TV-S0436</t>
  </si>
  <si>
    <t xml:space="preserve">19. § (3) c)</t>
  </si>
  <si>
    <t xml:space="preserve">c) a központi szolgáltatást vagy a támogató rendszert érintő kiberbiztonsági incidenseket bejelenti a kiberbiztonsági incidenskezelő központ és a központi szolgáltató részére.</t>
  </si>
  <si>
    <t xml:space="preserve">TV-S0437</t>
  </si>
  <si>
    <t xml:space="preserve">19. § (4)</t>
  </si>
  <si>
    <t xml:space="preserve">(4) Jogszabály alapján kötelezően igénybe vett központi szolgáltatás vagy támogató rendszer esetén a központi szolgáltató és a felhasználó szervezet közötti feladat- és felelősségmegosztást az adott központi szolgáltatásra vagy támogató rendszerre vonatkozó jogszabály rögzíti. Ennek hiányában, valamint önkéntesen igénybe vett központi szolgáltatás vagy támogató rendszer esetében a központi szolgáltató és a felhasználó szervezet direktfinanszírozási szerződést köt.</t>
  </si>
  <si>
    <t xml:space="preserve">TV-S0438</t>
  </si>
  <si>
    <t xml:space="preserve">19. § (5)</t>
  </si>
  <si>
    <t xml:space="preserve">(5) A központi szolgáltató által az állami és önkormányzati feladatot ellátó szervezet részére jogszabály alapján kizárólagos joggal nyújtott informatikai és elektronikus hírközlési szolgáltatási feladatokra vonatkozó részletes szabályokat kormányrendelet határozza meg.</t>
  </si>
  <si>
    <t xml:space="preserve">TV-S0439</t>
  </si>
  <si>
    <t xml:space="preserve">19. § (6)</t>
  </si>
  <si>
    <t xml:space="preserve">(6) A központi szolgáltató által nyújtott központi szolgáltatásokról és támogató rendszerekről a nemzeti kiberbiztonsági hatóság nyilvántartást vezet.</t>
  </si>
  <si>
    <t xml:space="preserve">TV-S0440</t>
  </si>
  <si>
    <t xml:space="preserve">19. § (7)</t>
  </si>
  <si>
    <t xml:space="preserve">(7) A nemzeti kiberbiztonsági hatóság jogosult az elektronikus információbiztonsági követelmények teljesülését mind a központi szolgáltatónál, mind a felhasználó szervezetnél ellenőrizni.</t>
  </si>
  <si>
    <t xml:space="preserve">TV-S0441</t>
  </si>
  <si>
    <t xml:space="preserve">TV-S0442</t>
  </si>
  <si>
    <t xml:space="preserve">20. § (1)</t>
  </si>
  <si>
    <t xml:space="preserve">20. § (1) A legfelső szintű domén alatt bejegyzett doménnevekről a legfelső szintű doménnév-nyilvántartó központi nyilvántartást vezet.</t>
  </si>
  <si>
    <t xml:space="preserve">TV-S0443</t>
  </si>
  <si>
    <t xml:space="preserve">20. § (2)</t>
  </si>
  <si>
    <t xml:space="preserve">(2) A központi doménnév-nyilvántartás tartalmazza:</t>
  </si>
  <si>
    <t xml:space="preserve">TV-S0444</t>
  </si>
  <si>
    <t xml:space="preserve">20. § (2) a)</t>
  </si>
  <si>
    <t xml:space="preserve">a) az érintett doménnevet,</t>
  </si>
  <si>
    <t xml:space="preserve">TV-S0445</t>
  </si>
  <si>
    <t xml:space="preserve">20. § (2) b)</t>
  </si>
  <si>
    <t xml:space="preserve">b) a doménnév-regisztráció dátumát,</t>
  </si>
  <si>
    <t xml:space="preserve">TV-S0446</t>
  </si>
  <si>
    <t xml:space="preserve">20. § (2) c)</t>
  </si>
  <si>
    <t xml:space="preserve">c) a doménnévhasználó nevét, kapcsolattartásra alkalmas elektronikus levelezési címét, telefonszámát, és</t>
  </si>
  <si>
    <t xml:space="preserve">TV-S0447</t>
  </si>
  <si>
    <t xml:space="preserve">20. § (2) d)</t>
  </si>
  <si>
    <t xml:space="preserve">d) a doménnevet kezelő adminisztratív kapcsolattartó nevét, elektronikus levelezési címét és telefonszámát, ha azok eltérnek a c) pont szerinti adatoktól.</t>
  </si>
  <si>
    <t xml:space="preserve">TV-S0448</t>
  </si>
  <si>
    <t xml:space="preserve">20. § (3)</t>
  </si>
  <si>
    <t xml:space="preserve">(3) A (2) bekezdés szerinti adatok kezelésének célja a doménnevet kezelő adminisztratív kapcsolattartó, valamint a doménnév-használó természetes vagy jogi személy azonosító és kapcsolattartási adatainak naprakészen tartása.</t>
  </si>
  <si>
    <t xml:space="preserve">TV-S0449</t>
  </si>
  <si>
    <t xml:space="preserve">20. § (4)</t>
  </si>
  <si>
    <t xml:space="preserve">(4) A központi doménnév-nyilvántartás adatai hitelességének ellenőrzése és integritásának biztosítása érdekében a legfelső szintű doménnév-nyilvántartó köteles az ellenőrzésre vonatkozó – az SZTFH által előzetesen jóváhagyott – eljárásrendet nyilvánosan közzétenni.</t>
  </si>
  <si>
    <t xml:space="preserve">TV-S0450</t>
  </si>
  <si>
    <t xml:space="preserve">20. § (5)</t>
  </si>
  <si>
    <t xml:space="preserve">(5) A legfelső szintű doménnév-nyilvántartó a központi doménnév-nyilvántartásban szereplő adatokat – a személyes adatok kivételével – nyilvánosan hozzáférhetővé teszi.</t>
  </si>
  <si>
    <t xml:space="preserve">TV-S0451</t>
  </si>
  <si>
    <t xml:space="preserve">20. § (6)</t>
  </si>
  <si>
    <t xml:space="preserve">(6) A legfelső szintű doménnév-nyilvántartó a központi doménnév-nyilvántartásban szereplő adatokhoz az ügyészség, a Nemzeti Vagyonvisszaszerzési és Vagyonvédelmi Hivatal, a nemzetbiztonsági szolgálatok, a nyomozó hatóságok és a büntetőeljárásról szóló törvény szerinti előkészítő eljárást folytató szervezetek, a kiberbiztonsági hatóság és a kiberbiztonsági incidenskezelő központ részére közvetlen hozzáférést biztosít.</t>
  </si>
  <si>
    <t xml:space="preserve">TV-S0452</t>
  </si>
  <si>
    <t xml:space="preserve">III. FEJEZET</t>
  </si>
  <si>
    <t xml:space="preserve">TV-S0453</t>
  </si>
  <si>
    <t xml:space="preserve">A KIBERBIZTONSÁGI FELÜGYELET</t>
  </si>
  <si>
    <t xml:space="preserve">TV-S0454</t>
  </si>
  <si>
    <t xml:space="preserve">TV-S0455</t>
  </si>
  <si>
    <t xml:space="preserve">21. § (1)</t>
  </si>
  <si>
    <t xml:space="preserve">21. § (1) Az elektronikus információs rendszerek biztonsági osztályba sorolása, valamint a biztonsági osztályba sorolás szerinti védelmi intézkedések megfelelőségét az auditor ellenőrzi a kiberbiztonsági audit végrehajtása során.</t>
  </si>
  <si>
    <t xml:space="preserve">TV-S0456</t>
  </si>
  <si>
    <t xml:space="preserve">21. § (2)</t>
  </si>
  <si>
    <t xml:space="preserve">(2) Kiberbiztonsági auditot az az auditor végezhet, amely a feladat ellátásához szükséges szakértelemmel és infrastrukturális feltételekkel rendelkezik, valamint az 57. § (1) bekezdés c) pontja szerinti gazdálkodó szervezetnek (a továbbiakban: sérülékenységvizsgálat lefolytatására jogosult gazdálkodó szervezet) minősül. Az auditorral szemben támasztott követelményeket az SZTFH elnöke rendeletben határozza meg.</t>
  </si>
  <si>
    <t xml:space="preserve">TV-S0457</t>
  </si>
  <si>
    <t xml:space="preserve">21. § (3)</t>
  </si>
  <si>
    <t xml:space="preserve">(3) Az audit végrehajtására jogosult gazdálkodó szervezeteket a (2) bekezdés szerinti követelmények igazolt teljesítése esetén az SZTFH nyilvántartásba veszi az SZTFH elnökének rendeletében foglalt részletes szabályok szerint.</t>
  </si>
  <si>
    <t xml:space="preserve">TV-S0458</t>
  </si>
  <si>
    <t xml:space="preserve">21. § (4)</t>
  </si>
  <si>
    <t xml:space="preserve">(4) A (3) bekezdés szerinti nyilvántartás tartalmazza:</t>
  </si>
  <si>
    <t xml:space="preserve">TV-S0459</t>
  </si>
  <si>
    <t xml:space="preserve">21. § (4) a)</t>
  </si>
  <si>
    <t xml:space="preserve">a) az auditor adatait és annak kijelölt kapcsolattartója azonosításához szükséges természetes személyazonosító adatait, telefonszámát, valamint elektronikus levelezési címét,</t>
  </si>
  <si>
    <t xml:space="preserve">TV-S0460</t>
  </si>
  <si>
    <t xml:space="preserve">21. § (4) b)</t>
  </si>
  <si>
    <t xml:space="preserve">b) az auditor nyilvántartásba vételének időpontját, valamint – nyilvántartásba vételekor kapott – azonosító számát,</t>
  </si>
  <si>
    <t xml:space="preserve">TV-S0461</t>
  </si>
  <si>
    <t xml:space="preserve">21. § (4) c)</t>
  </si>
  <si>
    <t xml:space="preserve">c) az auditor által igénybe vett közreműködő adatait, valamint kijelölt kapcsolattartója azonosításához szükséges természetes személyazonosító adatait, telefonszámát, elektronikus levelezési címét, és</t>
  </si>
  <si>
    <t xml:space="preserve">TV-S0462</t>
  </si>
  <si>
    <t xml:space="preserve">21. § (4) d)</t>
  </si>
  <si>
    <t xml:space="preserve">d) az audit eredményét tartalmazó dokumentumot.</t>
  </si>
  <si>
    <t xml:space="preserve">TV-S0463</t>
  </si>
  <si>
    <t xml:space="preserve">21. § (4a)</t>
  </si>
  <si>
    <t xml:space="preserve">(4a) A (3) bekezdés szerinti nyilvántartás a (4) bekezdés b) pontjában meghatározott adatok tekintetében közhiteles hatósági nyilvántartás.</t>
  </si>
  <si>
    <t xml:space="preserve">TV-S0464</t>
  </si>
  <si>
    <t xml:space="preserve">21. § (5)</t>
  </si>
  <si>
    <t xml:space="preserve">(5) A szolgáltatási tevékenység megkezdésének és folytatásának általános szabályairól szóló törvénytől eltérően, ha a (3) bekezdés szerinti nyilvántartásba történő felvételről az SZTFH a rá irányadó ügyintézési határidőn belül nem döntött, a kérelmezőt nem illeti meg a kérelmében megjelölt tevékenység megkezdésének, illetve folytatásának joga, és az általános közigazgatási rendtartásról szóló törvénynek a hatóság mulasztására vonatkozó általános szabályait kell alkalmazni.</t>
  </si>
  <si>
    <t xml:space="preserve">TV-S0465</t>
  </si>
  <si>
    <t xml:space="preserve">21. § (6)</t>
  </si>
  <si>
    <t xml:space="preserve">(6) Ha az auditor auditori tevékenységet már nem végez, akkor a (4) bekezdés szerinti adatokat az SZTFH a tevékenység befejezésének bejelentését követő 5 év elteltével köteles a nyilvántartásból törölni.</t>
  </si>
  <si>
    <t xml:space="preserve">TV-S0466</t>
  </si>
  <si>
    <t xml:space="preserve">21. § (7)</t>
  </si>
  <si>
    <t xml:space="preserve">(7) Ha a (4) bekezdés szerinti adatok változását az auditor bejelenti, a nyilvántartásban a változás bejegyzését megelőzően szereplő adatot az SZTFH az adat változása bejegyzését követő 5 év elteltével a nyilvántartásból törli.</t>
  </si>
  <si>
    <t xml:space="preserve">TV-S0467</t>
  </si>
  <si>
    <t xml:space="preserve">21. § (8)</t>
  </si>
  <si>
    <t xml:space="preserve">(8) A (4) bekezdés szerinti adatok kezelésének célja az auditorokra vonatkozó információk naprakészen tartása, valamint az SZTFH ellenőrzési tevékenységének ellátása.</t>
  </si>
  <si>
    <t xml:space="preserve">TV-S0468</t>
  </si>
  <si>
    <t xml:space="preserve">21. § (9)</t>
  </si>
  <si>
    <t xml:space="preserve">(9) A (4) bekezdés szerinti nyilvántartásból – ha jogszabály eltérően nem rendelkezik – adattovábbítás kizárólag a kiberbiztonsági hatóságok, valamint a kiberbiztonsági incidenskezelő központok részére végezhető.</t>
  </si>
  <si>
    <t xml:space="preserve">TV-S0469</t>
  </si>
  <si>
    <t xml:space="preserve">22. § (1)</t>
  </si>
  <si>
    <t xml:space="preserve">22. § (1) A 21. § (1) bekezdése szerinti megfelelőség ellenőrzésére az auditor jogosult a tevékenység nyomon követésére alkalmas módon a következő vizsgálatokat elvégezni:</t>
  </si>
  <si>
    <t xml:space="preserve">TV-S0470</t>
  </si>
  <si>
    <t xml:space="preserve">22. § (1) a)</t>
  </si>
  <si>
    <t xml:space="preserve">a) belső informatikai biztonsági és távoli sérülékenységvizsgálatot, valamint „jelentős” vagy „magas” biztonsági osztály esetén behatolásvizsgálatot,</t>
  </si>
  <si>
    <t xml:space="preserve">TV-S0471</t>
  </si>
  <si>
    <t xml:space="preserve">22. § (1) b)</t>
  </si>
  <si>
    <t xml:space="preserve">b) kriptográfiai megfelelőségvizsgálatot, valamint</t>
  </si>
  <si>
    <t xml:space="preserve">TV-S0472</t>
  </si>
  <si>
    <t xml:space="preserve">22. § (1) c)</t>
  </si>
  <si>
    <t xml:space="preserve">c) „jelentős” vagy „magas” biztonsági osztály esetén a kritikus biztonsági funkciókat végző egyedileg fejlesztett szoftverek biztonsági forráskódvizsgálatát.</t>
  </si>
  <si>
    <t xml:space="preserve">TV-S0473</t>
  </si>
  <si>
    <t xml:space="preserve">22. § (2)</t>
  </si>
  <si>
    <t xml:space="preserve">(2) Az audit eredményét az auditor az SZTFH és a szervezet részére az audit befejezését követően haladéktalanul megküldi.</t>
  </si>
  <si>
    <t xml:space="preserve">TV-S0474</t>
  </si>
  <si>
    <t xml:space="preserve">22. § (3)</t>
  </si>
  <si>
    <t xml:space="preserve">(3) Az auditor írásban haladéktalanul tájékoztatja az SZTFH-t, ha a szervezet elektronikus információs rendszerével kapcsolatosan olyan tényt állapít meg, amely</t>
  </si>
  <si>
    <t xml:space="preserve">TV-S0475</t>
  </si>
  <si>
    <t xml:space="preserve">22. § (3) a)</t>
  </si>
  <si>
    <t xml:space="preserve">a) a szervezet folyamatos működését súlyosan veszélyezteti, vagy</t>
  </si>
  <si>
    <t xml:space="preserve">TV-S0476</t>
  </si>
  <si>
    <t xml:space="preserve">22. § (3) b)</t>
  </si>
  <si>
    <t xml:space="preserve">b) bűncselekmény elkövetésére, jogszabály megsértésére, a szervezet belső szabályzatának súlyos megsértésére vagy ezek veszélyére utaló körülményeket észlel.</t>
  </si>
  <si>
    <t xml:space="preserve">TV-S0477</t>
  </si>
  <si>
    <t xml:space="preserve">22. § (4)</t>
  </si>
  <si>
    <t xml:space="preserve">(4) Az audit eredményét, valamint a (3) bekezdés szerinti tájékoztatást az SZTFH</t>
  </si>
  <si>
    <t xml:space="preserve">TV-S0478</t>
  </si>
  <si>
    <t xml:space="preserve">22. § (4) a)</t>
  </si>
  <si>
    <t xml:space="preserve">a) az 1. § (1) bekezdés b) pontja szerinti szervezet esetében hivatalból megküldi,</t>
  </si>
  <si>
    <t xml:space="preserve">TV-S0479</t>
  </si>
  <si>
    <t xml:space="preserve">22. § (4) b)</t>
  </si>
  <si>
    <t xml:space="preserve">b) az 1. § (1) bekezdés d) és e) pontja szerinti szervezet esetében a nemzeti kiberbiztonsági hatóság kérésére megküldi</t>
  </si>
  <si>
    <t xml:space="preserve">TV-S0480</t>
  </si>
  <si>
    <t xml:space="preserve">a nemzeti kiberbiztonsági hatóság részére.</t>
  </si>
  <si>
    <t xml:space="preserve">TV-S0481</t>
  </si>
  <si>
    <t xml:space="preserve">22. § (5)</t>
  </si>
  <si>
    <t xml:space="preserve">(5) Az auditor az ellenőrzött szervezet kezelésében lévő, az audit lefolytatásához szükséges, az ellenőrzött szervezettől megkapott dokumentumokat – ideértve a személyes adatokat és az üzleti titoknak minősülő adatokat is – az audit során ellenőrzött követelmények teljesülésének vizsgálata céljából, az audit lefolytatásához szükséges mértékben, annak befejezéséig kezeli, azokat harmadik személy részére nem továbbíthatja.</t>
  </si>
  <si>
    <t xml:space="preserve">TV-S0482</t>
  </si>
  <si>
    <t xml:space="preserve">22. § (6)</t>
  </si>
  <si>
    <t xml:space="preserve">(6) Az auditor köteles szabályzatban rögzíteni azokat a munkaköröket, amelyeket betöltő személyek az audit során az üzleti titkokhoz hozzáférhetnek, annak tartalmát megismerhetik. Az auditban részt vevő személyeket az audit során tudomásukra jutott személyes adatok, valamint üzleti titok tekintetében titoktartási kötelezettség terheli, amely a foglalkoztatásra irányuló jogviszony megszűnését követő 5 évig, személyes adatok tekintetében pedig időkorlát nélkül fennmarad.</t>
  </si>
  <si>
    <t xml:space="preserve">TV-S0483</t>
  </si>
  <si>
    <t xml:space="preserve">22. § (7)</t>
  </si>
  <si>
    <t xml:space="preserve">(7) A jelen alcím szerinti kiberbiztonsági audit nem érinti a más jogszabály által előírt tanúsítási kötelezettséget.</t>
  </si>
  <si>
    <t xml:space="preserve">TV-S0484</t>
  </si>
  <si>
    <t xml:space="preserve">22. § (8)</t>
  </si>
  <si>
    <t xml:space="preserve">(8) Az auditor kötelezettségeinek teljesítését az SZTFH ellenőrzi a 25. § (1) és (3) bekezdésének alkalmazásával.</t>
  </si>
  <si>
    <t xml:space="preserve">TV-S0485</t>
  </si>
  <si>
    <t xml:space="preserve">22. § (9)</t>
  </si>
  <si>
    <t xml:space="preserve">(9) Az SZTFH elnöke rendeletben határozza meg az audit – általános forgalmi adó nélkül számított – legmagasabb díját, valamint a kiberbiztonsági audit lefolytatásának rendjét.</t>
  </si>
  <si>
    <t xml:space="preserve">TV-S0486</t>
  </si>
  <si>
    <t xml:space="preserve">TV-S0487</t>
  </si>
  <si>
    <t xml:space="preserve">23. § (1)</t>
  </si>
  <si>
    <t xml:space="preserve">23. § (1) Az e törvény hatálya alá tartozó elektronikus információs rendszerek kiberbiztonsági felügyeletét – a honvédelmi célú elektronikus információs rendszerek kivételével –</t>
  </si>
  <si>
    <t xml:space="preserve">TV-S0488</t>
  </si>
  <si>
    <t xml:space="preserve">23. § (1) a)</t>
  </si>
  <si>
    <t xml:space="preserve">a) az 1. § (1) bekezdés a)–c) pontja szerinti szervezetek elektronikus információs rendszerei esetében a Kormány rendeletében kijelölt nemzeti kiberbiztonsági hatóság,</t>
  </si>
  <si>
    <t xml:space="preserve">TV-S0489</t>
  </si>
  <si>
    <t xml:space="preserve">23. § (1) b)</t>
  </si>
  <si>
    <t xml:space="preserve">b) az 1. § (1) bekezdés d) és e) pontja szerinti – az a) pont hatálya alá nem tartozó – szervezetek elektronikus információs rendszerei esetében az SZTFH</t>
  </si>
  <si>
    <t xml:space="preserve">TV-S0490</t>
  </si>
  <si>
    <t xml:space="preserve">látja el.</t>
  </si>
  <si>
    <t xml:space="preserve">TV-S0491</t>
  </si>
  <si>
    <t xml:space="preserve">23. § (2)</t>
  </si>
  <si>
    <t xml:space="preserve">(2) A honvédelmi célú elektronikus információs rendszerek esetében az e törvény szerinti kiberbiztonsági felügyeletet ellátó honvédelmi kiberbiztonsági hatóságot a honvédelmi ágazaton belül a Kormány rendeletben jelöli ki. A honvédelmi kiberbiztonsági hatóság tevékenységére a nemzeti kiberbiztonsági hatóságra vonatkozó rendelkezéseket kell alkalmazni.</t>
  </si>
  <si>
    <t xml:space="preserve">TV-S0492</t>
  </si>
  <si>
    <t xml:space="preserve">23. § (3)</t>
  </si>
  <si>
    <t xml:space="preserve">(3) A nemzeti kiberbiztonsági hatóság önálló feladattal és hatósági jogkörrel rendelkező szerv, amely hatósági tevékenysége során kizárólag a jogszabályoknak van alávetve, minden más szervtől független és a feladatkörébe tartozó hatósági ügyek tekintetében – a feladat elvégzésére vagy a mulasztás pótlására irányuló utasítás kivételével – nem utasítható.</t>
  </si>
  <si>
    <t xml:space="preserve">TV-S0493</t>
  </si>
  <si>
    <t xml:space="preserve">TV-S0494</t>
  </si>
  <si>
    <t xml:space="preserve">24. § (1)</t>
  </si>
  <si>
    <t xml:space="preserve">24. § (1) A nemzeti kiberbiztonsági hatóság</t>
  </si>
  <si>
    <t xml:space="preserve">TV-S0495</t>
  </si>
  <si>
    <t xml:space="preserve">24. § (1) 1.</t>
  </si>
  <si>
    <t xml:space="preserve">1. vizsgálja az elektronikus információs rendszer biztonságáért felelős személy és helyettese jogszabályban foglalt követelményeknek való megfelelését, megfelelés esetén nyilvántartásba veszi azt,</t>
  </si>
  <si>
    <t xml:space="preserve">TV-S0496</t>
  </si>
  <si>
    <t xml:space="preserve">24. § (1) 2.</t>
  </si>
  <si>
    <t xml:space="preserve">2. vizsgálja a biztonsági osztályba sorolás megalapozottságát és a vizsgálat eredménye alapján dönt annak nyilvántartásba vételéről,</t>
  </si>
  <si>
    <t xml:space="preserve">TV-S0497</t>
  </si>
  <si>
    <t xml:space="preserve">24. § (1) 3.</t>
  </si>
  <si>
    <t xml:space="preserve">3. nyilvántartásba veszi és nyilvántartja a 28. § (1) bekezdése szerinti adatokat,</t>
  </si>
  <si>
    <t xml:space="preserve">TV-S0498</t>
  </si>
  <si>
    <t xml:space="preserve">24. § (1) 4.</t>
  </si>
  <si>
    <t xml:space="preserve">4. az elektronikus információs rendszerek biztonságára vonatkozó irányelveket, ajánlásokat, követelményeket határoz meg,</t>
  </si>
  <si>
    <t xml:space="preserve">TV-S0499</t>
  </si>
  <si>
    <t xml:space="preserve">24. § (1) 5.</t>
  </si>
  <si>
    <t xml:space="preserve">5. iránymutatást adhat ki az európai uniós jogszabályban és az informatikáért felelős miniszter rendeletében meghatározott védelmi intézkedések egymásnak való megfeleltethetősége vonatkozásában,</t>
  </si>
  <si>
    <t xml:space="preserve">TV-S0500</t>
  </si>
  <si>
    <t xml:space="preserve">24. § (1) 6.</t>
  </si>
  <si>
    <t xml:space="preserve">6. az elektronikus információbiztonsági követelményeknek való megfelelés igazolása érdekében előírhatja – egy adott típusú technológia alkalmazásának előírása vagy előnyben részesítése nélkül – az elektronikus információs rendszerek biztonsága tekintetében releváns európai és nemzetközi szabványok és műszaki előírások alkalmazását,</t>
  </si>
  <si>
    <t xml:space="preserve">TV-S0501</t>
  </si>
  <si>
    <t xml:space="preserve">24. § (1) 7.</t>
  </si>
  <si>
    <t xml:space="preserve">7. ellenőrzi az elektronikus információs rendszerek osztályba sorolására vonatkozó, jogszabályban, vagy az általa meghatározott követelmények teljesülését,</t>
  </si>
  <si>
    <t xml:space="preserve">TV-S0502</t>
  </si>
  <si>
    <t xml:space="preserve">24. § (1) 8.</t>
  </si>
  <si>
    <t xml:space="preserve">8. elrendeli az ellenőrzése során feltárt vagy tudomására jutott biztonsági hiányosságok elhárítását, és az azok felszámolásához szükséges intézkedéseket, valamint ellenőrzi azok eredményességét,</t>
  </si>
  <si>
    <t xml:space="preserve">TV-S0503</t>
  </si>
  <si>
    <t xml:space="preserve">24. § (1) 9.</t>
  </si>
  <si>
    <t xml:space="preserve">9. megtehet, ellenőrizhet minden olyan, az elektronikus információs rendszerek védelmére vonatkozó intézkedést, amellyel az érintett elektronikus információs rendszert veszélyeztető fenyegetések kezelhetőek,</t>
  </si>
  <si>
    <t xml:space="preserve">TV-S0504</t>
  </si>
  <si>
    <t xml:space="preserve">24. § (1) 10.</t>
  </si>
  <si>
    <t xml:space="preserve">10. kiberbiztonsági incidens esetén – kormányrendeletben meghatározott esetben – hatósági eljárást indít, valamint a hozzá beérkező kiberbiztonsági incidensekről szóló bejelentésekről haladéktalanul tájékoztatja a nemzeti kiberbiztonsági incidenskezelő központot,</t>
  </si>
  <si>
    <t xml:space="preserve">TV-S0505</t>
  </si>
  <si>
    <t xml:space="preserve">24. § (1) 11.</t>
  </si>
  <si>
    <t xml:space="preserve">11. részt vehet információbiztonsági, kiberbiztonsági érintettségű gyakorlatokon, a nemzetközi információbiztonsági, kiberbiztonsági gyakorlatokon felkérésre képviseli Magyarországot,</t>
  </si>
  <si>
    <t xml:space="preserve">TV-S0506</t>
  </si>
  <si>
    <t xml:space="preserve">24. § (1) 12.</t>
  </si>
  <si>
    <t xml:space="preserve">12. hazai és nemzetközi információbiztonsági, kiberbiztonsági eseményeken képviseli Magyarországot,</t>
  </si>
  <si>
    <t xml:space="preserve">TV-S0507</t>
  </si>
  <si>
    <t xml:space="preserve">24. § (1) 13.</t>
  </si>
  <si>
    <t xml:space="preserve">13. részt vehet az (EU) 2022/2555 európai parlamenti és tanácsi irányelv 19. cikke szerinti szakértői értékelésben, illetve értékelést kezdeményezhet,</t>
  </si>
  <si>
    <t xml:space="preserve">TV-S0508</t>
  </si>
  <si>
    <t xml:space="preserve">24. § (1) 14.</t>
  </si>
  <si>
    <t xml:space="preserve">14. nyomon követi az (EU) 2022/2555 európai parlamenti és tanácsi irányelv hazai végrehajtását,</t>
  </si>
  <si>
    <t xml:space="preserve">TV-S0509</t>
  </si>
  <si>
    <t xml:space="preserve">24. § (1) 15.</t>
  </si>
  <si>
    <t xml:space="preserve">15. közreműködik a magyar kibertér védelmét szolgáló tudatosító tevékenységekben,</t>
  </si>
  <si>
    <t xml:space="preserve">TV-S0510</t>
  </si>
  <si>
    <t xml:space="preserve">24. § (1) 16.</t>
  </si>
  <si>
    <t xml:space="preserve">16. ellenőrzi az elektronikus információs rendszerek fejlesztése során az információbiztonsági követelmények teljesülését,</t>
  </si>
  <si>
    <t xml:space="preserve">TV-S0511</t>
  </si>
  <si>
    <t xml:space="preserve">24. § (1) 17.</t>
  </si>
  <si>
    <t xml:space="preserve">17. kormányrendeletben foglaltak szerint jóváhagyja az elektronikus információs rendszerek használatba vételét, a megállapított hiányosságok pótlásáig megtilthatja vagy korlátozhatja az elektronikus információs rendszer használatát, a külföldön történő adatkezelést és a felhőszolgáltatás igénybevételét,</t>
  </si>
  <si>
    <t xml:space="preserve">TV-S0512</t>
  </si>
  <si>
    <t xml:space="preserve">24. § (1) 18.</t>
  </si>
  <si>
    <t xml:space="preserve">18. alapvető vagy fontos szervezetként azonosíthat valamely szervezetet kormányrendeletben meghatározottak szerint,</t>
  </si>
  <si>
    <t xml:space="preserve">TV-S0513</t>
  </si>
  <si>
    <t xml:space="preserve">24. § (1) 19.</t>
  </si>
  <si>
    <t xml:space="preserve">19. javaslatot tehet a Kszetv. szerinti kijelölő hatóság részére kritikus szervezet, valamint a Vbö. szerinti kijelölő hatóság részére az ország védelme és biztonsága szempontjából jelentős szervezet kijelölésére,</t>
  </si>
  <si>
    <t xml:space="preserve">TV-S0514</t>
  </si>
  <si>
    <t xml:space="preserve">24. § (1) 20.</t>
  </si>
  <si>
    <t xml:space="preserve">20. hazai információbiztonsági, kiberbiztonsági gyakorlatokat szervezhet, elrendelheti a szervezet gyakorlaton való részvételét, illetve a szervezet által szervezett gyakorlatok vonatkozásában iránymutatást adhat ki,</t>
  </si>
  <si>
    <t xml:space="preserve">TV-S0515</t>
  </si>
  <si>
    <t xml:space="preserve">24. § (1) 21.</t>
  </si>
  <si>
    <t xml:space="preserve">21. szakhatóságként jár el az egyes közérdeken alapuló kényszerítő indok alapján eljáró szakhatóságok kijelöléséről szóló kormányrendeletben meghatározott szakkérdésekben,</t>
  </si>
  <si>
    <t xml:space="preserve">TV-S0516</t>
  </si>
  <si>
    <t xml:space="preserve">24. § (1) 22.</t>
  </si>
  <si>
    <t xml:space="preserve">22. az elektronikus információs rendszerek biztonságáért felelős európai uniós és nemzetközi szervezetekben, bizottságokban képviseli Magyarországot és</t>
  </si>
  <si>
    <t xml:space="preserve">TV-S0517</t>
  </si>
  <si>
    <t xml:space="preserve">24. § (1) 23.</t>
  </si>
  <si>
    <t xml:space="preserve">23. ellátja az (EU) 2022/2555 európai parlamenti és tanácsi irányelv szerinti egyedüli kapcsolattartó pont feladatait.</t>
  </si>
  <si>
    <t xml:space="preserve">TV-S0518</t>
  </si>
  <si>
    <t xml:space="preserve">24. § (2)</t>
  </si>
  <si>
    <t xml:space="preserve">(2) A nemzeti kiberbiztonsági hatóság az ellenőrzési feladatainak ellátása körében a Kszetv. és a Vbö. szerinti kijelölő hatóság javaslatainak előzetes kikérésével, kockázatelemzés alapján éves ellenőrzési tervet készít.</t>
  </si>
  <si>
    <t xml:space="preserve">TV-S0519</t>
  </si>
  <si>
    <t xml:space="preserve">24. § (3)</t>
  </si>
  <si>
    <t xml:space="preserve">(3) A honvédelmi kiberbiztonsági hatóság ellátja az (1) bekezdés 1–11., 15–21. pontjában foglalt feladatokat, tevékenységére nem kell alkalmazni a 11. § (13) bekezdésének, valamint a 28. § (4) és (7) bekezdésének rendelkezéseit. A honvédelmi kiberbiztonsági hatóság az (1) bekezdés 10. pont esetén a honvédelmi kiberbiztonsági incidenskezelő központot tájékoztatja.</t>
  </si>
  <si>
    <t xml:space="preserve">TV-S0520</t>
  </si>
  <si>
    <t xml:space="preserve">24. § (4)</t>
  </si>
  <si>
    <t xml:space="preserve">(4) A nemzeti kiberbiztonsági hatóság, valamint a honvédelmi kiberbiztonsági hatóság feladat- és hatáskörét, valamint az eljárására vonatkozó részletes szabályokat kormányrendelet tartalmazza.</t>
  </si>
  <si>
    <t xml:space="preserve">TV-S0521</t>
  </si>
  <si>
    <t xml:space="preserve">24. § (5)</t>
  </si>
  <si>
    <t xml:space="preserve">(5) Az SZTFH</t>
  </si>
  <si>
    <t xml:space="preserve">TV-S0522</t>
  </si>
  <si>
    <t xml:space="preserve">24. § (5) a)</t>
  </si>
  <si>
    <t xml:space="preserve">a) az (1) bekezdés 4., 5., 7., 8. és 11–15. pontjában, valamint a (3) és (4) bekezdésben, továbbá az SZTFH elnökének rendeletében foglaltak szerint jár el,</t>
  </si>
  <si>
    <t xml:space="preserve">TV-S0523</t>
  </si>
  <si>
    <t xml:space="preserve">24. § (5) b)</t>
  </si>
  <si>
    <t xml:space="preserve">b) elrendelhet és ellenőrizhet minden olyan, az elektronikus információs rendszerek védelmére vonatkozó intézkedést, amellyel az érintett elektronikus információs rendszert veszélyeztető fenyegetések kezelhetőek,</t>
  </si>
  <si>
    <t xml:space="preserve">TV-S0524</t>
  </si>
  <si>
    <t xml:space="preserve">24. § (5) c)</t>
  </si>
  <si>
    <t xml:space="preserve">c) nyilvántartja a 29. § (1) bekezdése szerinti adatokat,</t>
  </si>
  <si>
    <t xml:space="preserve">TV-S0525</t>
  </si>
  <si>
    <t xml:space="preserve">24. § (5) d)</t>
  </si>
  <si>
    <t xml:space="preserve">d) jelentős kiberbiztonsági incidens bekövetkezése vagy a biztonsági követelményeknek való nem megfelelés gyanúja esetén rendkívüli ellenőrzést hajthat végre vagy rendkívüli auditot rendelhet el,</t>
  </si>
  <si>
    <t xml:space="preserve">TV-S0526</t>
  </si>
  <si>
    <t xml:space="preserve">24. § (5) e)</t>
  </si>
  <si>
    <t xml:space="preserve">e) a cél megjelölésével jogosult a szervezettől bekérni és megismerni:</t>
  </si>
  <si>
    <t xml:space="preserve">TV-S0527</t>
  </si>
  <si>
    <t xml:space="preserve">24. § (5) e) ea)</t>
  </si>
  <si>
    <t xml:space="preserve">ea) a biztonsági osztályba sorolás, valamint a biztonsági intézkedések megfelelőségét alátámasztó dokumentumokat,</t>
  </si>
  <si>
    <t xml:space="preserve">TV-S0528</t>
  </si>
  <si>
    <t xml:space="preserve">24. § (5) e) eb)</t>
  </si>
  <si>
    <t xml:space="preserve">eb) a belső informatikai biztonsági vizsgálat végrehajtásáról készült dokumentumot, és</t>
  </si>
  <si>
    <t xml:space="preserve">TV-S0529</t>
  </si>
  <si>
    <t xml:space="preserve">24. § (5) e) ec)</t>
  </si>
  <si>
    <t xml:space="preserve">ec) egyéb, a jogszabályi megfelelést alátámasztó adatot, információt, dokumentumot a felügyeleti feladatok elvégzése céljából.</t>
  </si>
  <si>
    <t xml:space="preserve">TV-S0530</t>
  </si>
  <si>
    <t xml:space="preserve">24. § (6)</t>
  </si>
  <si>
    <t xml:space="preserve">(6) Az SZTFH hatósági ellenőrzése lefolytatásának részletes szabályait az SZTFH elnökének rendelete határozza meg.</t>
  </si>
  <si>
    <t xml:space="preserve">TV-S0531</t>
  </si>
  <si>
    <t xml:space="preserve">24. § (7)</t>
  </si>
  <si>
    <t xml:space="preserve">(7) A kiberbiztonsági hatóság jogosult felügyeleti intézkedések megtételére vagy jogkövetkezmények alkalmazására</t>
  </si>
  <si>
    <t xml:space="preserve">TV-S0532</t>
  </si>
  <si>
    <t xml:space="preserve">24. § (7) a)</t>
  </si>
  <si>
    <t xml:space="preserve">a) azon szervezetek vonatkozásában, amelyek Magyarország területén szolgáltatásokat nyújtanak vagy amelyek hálózati és információs rendszere Magyarország területén található, és e célból valamely európai uniós tagállam kiberbiztonsági hatóságától kölcsönös segítségnyújtás iránti megkeresés érkezik, valamint</t>
  </si>
  <si>
    <t xml:space="preserve">TV-S0533</t>
  </si>
  <si>
    <t xml:space="preserve">24. § (7) b)</t>
  </si>
  <si>
    <t xml:space="preserve">b) a kijelölt képviselővel egyik európai uniós tagállamban sem rendelkező, de Magyarországon szolgáltatást nyújtó szervezetek vonatkozásában.</t>
  </si>
  <si>
    <t xml:space="preserve">TV-S0534</t>
  </si>
  <si>
    <t xml:space="preserve">24. § (8)</t>
  </si>
  <si>
    <t xml:space="preserve">(8) A kiberbiztonsági hatóság jogszabályban meghatározott feladatai ellátása érdekében jogosult kockázatelemzés alapján rangsorolni a felügyeleti feladatok végrehajtását.</t>
  </si>
  <si>
    <t xml:space="preserve">TV-S0535</t>
  </si>
  <si>
    <t xml:space="preserve">24. § (9)</t>
  </si>
  <si>
    <t xml:space="preserve">(9) A Kormány rendeletében meghatározott élelmiszerlánc-felügyeleti szervek minden év február 1. napjáig tájékoztatják az SZTFH-t és a nemzeti kiberbiztonsági hatóságot – a 23. § (1) bekezdése szerinti kiberbiztonsági felügyelettel kapcsolatos feladatok ellátása céljából – a 3. mellékletben foglalt táblázat 3. sora szerinti szervezetek megnevezéséről, székhelyéről és adószámáról.</t>
  </si>
  <si>
    <t xml:space="preserve">TV-S0536</t>
  </si>
  <si>
    <t xml:space="preserve">TV-S0537</t>
  </si>
  <si>
    <t xml:space="preserve">25. § (1)</t>
  </si>
  <si>
    <t xml:space="preserve">25. § (1) A kiberbiztonsági hatóság eljárása során a sommás eljárás alkalmazása kizárt.</t>
  </si>
  <si>
    <t xml:space="preserve">TV-S0538</t>
  </si>
  <si>
    <t xml:space="preserve">25. § (2)</t>
  </si>
  <si>
    <t xml:space="preserve">(2) A nemzeti kiberbiztonsági hatóság által lefolytatott hatósági eljárás és hatósági ellenőrzés ügyintézési határideje a védelmi intézkedések teljesítésére irányuló ellenőrzés, valamint a kiberbiztonsági incidensek kivizsgálására irányuló hatósági eljárás esetén 120 nap.</t>
  </si>
  <si>
    <t xml:space="preserve">TV-S0539</t>
  </si>
  <si>
    <t xml:space="preserve">25. § (3)</t>
  </si>
  <si>
    <t xml:space="preserve">(3) Az SZTFH által lefolytatott hatósági ellenőrzés ügyintézési határideje 120 nap, az auditorok, a sérülékenységvizsgálat végzésére, az incidens vizsgálatára jogosult gazdálkodó szervezet hatósági nyilvántartásával, valamint a poszt-kvantumtitkosítás alkalmazását tanúsító szervezet, illetve a poszt-kvantumtitkosítás alkalmazás nyújtására jogosult szervezetek ellenőrzésével kapcsolatos eljárás esetén 90 nap.</t>
  </si>
  <si>
    <t xml:space="preserve">TV-S0540</t>
  </si>
  <si>
    <t xml:space="preserve">25. § (4)</t>
  </si>
  <si>
    <t xml:space="preserve">(4) A (3) bekezdés szerinti eljárás felfüggeszthető a cégellenőrzés befejezéséig terjedő időtartamra.</t>
  </si>
  <si>
    <t xml:space="preserve">TV-S0541</t>
  </si>
  <si>
    <t xml:space="preserve">TV-S0542</t>
  </si>
  <si>
    <t xml:space="preserve">26. § (1)</t>
  </si>
  <si>
    <t xml:space="preserve">26. § (1) A nemzeti kiberbiztonsági hatóság alapvető vagy fontos szervezetként azonosíthat (a továbbiakban: azonosítási eljárás) egy szervezetet, ha az nem tartozik az 1. § (1) bekezdésének hatálya alá, illetve nem került a Kszetv. alapján kritikus szervezetként vagy a Vbö. alapján az ország védelme és biztonsága szempontjából jelentős szervezetként kijelölésre és az 1. § (6) bekezdésében meghatározott feltételek közül legalább egy teljesül.</t>
  </si>
  <si>
    <t xml:space="preserve">TV-S0543</t>
  </si>
  <si>
    <t xml:space="preserve">26. § (2)</t>
  </si>
  <si>
    <t xml:space="preserve">(2) Az 1. § (6) bekezdés 6–9. pontja szerinti feltételek együttes fennállása esetén a nemzeti kiberbiztonsági hatóság alapvető szervezetként azonosítja a szervezetet.</t>
  </si>
  <si>
    <t xml:space="preserve">TV-S0544</t>
  </si>
  <si>
    <t xml:space="preserve">26. § (3)</t>
  </si>
  <si>
    <t xml:space="preserve">(3) A nemzeti kiberbiztonsági hatóság az azonosítási eljárás során a 2. §-ban foglalt rendelkezésekre figyelemmel jár el.</t>
  </si>
  <si>
    <t xml:space="preserve">TV-S0545</t>
  </si>
  <si>
    <t xml:space="preserve">27. § (1)</t>
  </si>
  <si>
    <t xml:space="preserve">27. § (1) A nemzeti kiberbiztonsági hatóság az azonosítási eljárás során hivatalból jár el.</t>
  </si>
  <si>
    <t xml:space="preserve">TV-S0546</t>
  </si>
  <si>
    <t xml:space="preserve">27. § (2)</t>
  </si>
  <si>
    <t xml:space="preserve">(2) A nemzeti kiberbiztonsági hatóság határozatban rendelkezik a szervezet alapvető vagy fontos szervezetek nyilvántartásába történő felvételéről, ennek keretében meghatározza a szervezetnek az e törvény alapján teljesítendő feladatait és erről tájékoztatja a szervezetet.</t>
  </si>
  <si>
    <t xml:space="preserve">TV-S0547</t>
  </si>
  <si>
    <t xml:space="preserve">27. § (3)</t>
  </si>
  <si>
    <t xml:space="preserve">(3) Az azonosítási eljárás lefolytatása érdekében a nemzeti kiberbiztonsági hatóság – személyes adatok kivételével – jogosult</t>
  </si>
  <si>
    <t xml:space="preserve">TV-S0548</t>
  </si>
  <si>
    <t xml:space="preserve">27. § (3) a)</t>
  </si>
  <si>
    <t xml:space="preserve">a) a szervezettől,</t>
  </si>
  <si>
    <t xml:space="preserve">TV-S0549</t>
  </si>
  <si>
    <t xml:space="preserve">27. § (3) b)</t>
  </si>
  <si>
    <t xml:space="preserve">b) a szervezet felett hatósági, felügyeleti vagy ellenőrzési jogkört gyakorló szervezettől és</t>
  </si>
  <si>
    <t xml:space="preserve">TV-S0550</t>
  </si>
  <si>
    <t xml:space="preserve">27. § (3) c)</t>
  </si>
  <si>
    <t xml:space="preserve">c) közhiteles nyilvántartásokból</t>
  </si>
  <si>
    <t xml:space="preserve">TV-S0551</t>
  </si>
  <si>
    <t xml:space="preserve">adatot igényelni.</t>
  </si>
  <si>
    <t xml:space="preserve">TV-S0552</t>
  </si>
  <si>
    <t xml:space="preserve">27. § (4)</t>
  </si>
  <si>
    <t xml:space="preserve">(4) Ha az alapvető vagy fontos szervezetként azonosított szervezet az azonosítással nem ért egyet, abban az esetben a szervezet köteles bizonyítani, hogy nem felel meg az alapvető vagy fontos szervezetként történő azonosításról szóló döntésben megállapított feltételeknek.</t>
  </si>
  <si>
    <t xml:space="preserve">TV-S0553</t>
  </si>
  <si>
    <t xml:space="preserve">TV-S0554</t>
  </si>
  <si>
    <t xml:space="preserve">28. § (1)</t>
  </si>
  <si>
    <t xml:space="preserve">28. § (1) A nemzeti kiberbiztonsági hatóság az e törvényben meghatározott feladatainak végrehajtása céljából nyilvántartja és kezeli</t>
  </si>
  <si>
    <t xml:space="preserve">TV-S0555</t>
  </si>
  <si>
    <t xml:space="preserve">28. § (1) 1.</t>
  </si>
  <si>
    <t xml:space="preserve">1. a szervezet vonatkozásában:</t>
  </si>
  <si>
    <t xml:space="preserve">TV-S0556</t>
  </si>
  <si>
    <t xml:space="preserve">28. § (1) 1. a)</t>
  </si>
  <si>
    <t xml:space="preserve">a) a szervezet azonosításához szükséges adatokat, nyilvántartásba vételének dátumát, a nyilvántartás módosításának dátumát,</t>
  </si>
  <si>
    <t xml:space="preserve">TV-S0557</t>
  </si>
  <si>
    <t xml:space="preserve">28. § (1) 1. b)</t>
  </si>
  <si>
    <t xml:space="preserve">b) a szervezet elérhetőségeit, ideértve elektronikus elérhetőségeket, valamint a szervezet által használt nyilvános IP-címeket vagy IP-tartományokat, valamint az 1. melléklet szerinti szervezetek kivételével a szervezet székhelyét, telephelyét, fióktelepét,</t>
  </si>
  <si>
    <t xml:space="preserve">TV-S0558</t>
  </si>
  <si>
    <t xml:space="preserve">28. § (1) 1. c)</t>
  </si>
  <si>
    <t xml:space="preserve">c) a szervezet alapvető vagy fontos szervezetnek minősülését,</t>
  </si>
  <si>
    <t xml:space="preserve">TV-S0559</t>
  </si>
  <si>
    <t xml:space="preserve">28. § (1) 1. d)</t>
  </si>
  <si>
    <t xml:space="preserve">d) a 2. és 3. melléklet szerinti ágazatba, alágazatba, szervezettípusba tartozását,</t>
  </si>
  <si>
    <t xml:space="preserve">TV-S0560</t>
  </si>
  <si>
    <t xml:space="preserve">28. § (1) 1. e)</t>
  </si>
  <si>
    <t xml:space="preserve">e) ha releváns, azon európai uniós tagállamok listáját, amelyben a szervezet szolgáltatásokat nyújt,</t>
  </si>
  <si>
    <t xml:space="preserve">TV-S0561</t>
  </si>
  <si>
    <t xml:space="preserve">28. § (1) 1. f)</t>
  </si>
  <si>
    <t xml:space="preserve">f) a szervezet elektronikus információs rendszereinek megnevezését, rövid leírását, biztonsági osztályának besorolását, a nyilvántartásba vétel, valamint a felülvizsgálat időpontjában elért biztonsági osztály meghatározását, nyilvántartásba vétele dátumát, a nyilvántartás módosításának dátumát,</t>
  </si>
  <si>
    <t xml:space="preserve">TV-S0562</t>
  </si>
  <si>
    <t xml:space="preserve">28. § (1) 1. g)</t>
  </si>
  <si>
    <t xml:space="preserve">g) az elektronikus információs rendszerben kezelt adatok osztályozásához kapcsolódó adatokat, azok adatkezelésének helyszínét, ideértve az ország megnevezését vagy a felhő típusát,</t>
  </si>
  <si>
    <t xml:space="preserve">TV-S0563</t>
  </si>
  <si>
    <t xml:space="preserve">28. § (1) 1. h)</t>
  </si>
  <si>
    <t xml:space="preserve">h) az elektronikus információs rendszerhez kapcsolódóan igénybe vett felhőszolgáltatásokra vonatkozó adatokat,</t>
  </si>
  <si>
    <t xml:space="preserve">TV-S0564</t>
  </si>
  <si>
    <t xml:space="preserve">28. § (1) 1. i)</t>
  </si>
  <si>
    <t xml:space="preserve">i) az elektronikus információs rendszerhez kapcsolódó védelmi intézkedéseket és azok státuszát, valamint ezen adatok nyilvántartásba vételének dátumát, a nyilvántartás módosításának dátumát,</t>
  </si>
  <si>
    <t xml:space="preserve">TV-S0565</t>
  </si>
  <si>
    <t xml:space="preserve">28. § (1) 1. j)</t>
  </si>
  <si>
    <t xml:space="preserve">j) nem Magyarországon bejegyzett szervezet Magyarország területén működő képviselőjének nevét vagy cégnevét, levelezési címét, telefonszámát és elektronikus levelezési címét,</t>
  </si>
  <si>
    <t xml:space="preserve">TV-S0566</t>
  </si>
  <si>
    <t xml:space="preserve">28. § (1) 1. k)</t>
  </si>
  <si>
    <t xml:space="preserve">k) az elektronikus információs rendszer biztonságáért felelős személy feladatait ellátó személy, szervezet azonosítására alkalmas adatokat, valamint a feladatot ténylegesen ellátó természetes személy személyazonosító adatait, közvetlen elérhetőséget biztosító telefonszámát, elektronikus elérhetőségét, végzettségét, szakképzettségét, szakmai tapasztalatát, továbbá ezen adatok nyilvántartásba vételének dátumát, a nyilvántartás módosításának dátumát,</t>
  </si>
  <si>
    <t xml:space="preserve">TV-S0567</t>
  </si>
  <si>
    <t xml:space="preserve">28. § (1) 1. l)</t>
  </si>
  <si>
    <t xml:space="preserve">l) a szervezet információbiztonsági szabályzatát, annak nyilvántartásba vételének dátumát, a nyilvántartás módosításának dátumát,</t>
  </si>
  <si>
    <t xml:space="preserve">TV-S0568</t>
  </si>
  <si>
    <t xml:space="preserve">28. § (1) 1. m)</t>
  </si>
  <si>
    <t xml:space="preserve">m) a szervezet vezetője és az elektronikus információs rendszer biztonságáért felelős személy továbbképzésére vonatkozó adatokat,</t>
  </si>
  <si>
    <t xml:space="preserve">TV-S0569</t>
  </si>
  <si>
    <t xml:space="preserve">28. § (1) 1. n)</t>
  </si>
  <si>
    <t xml:space="preserve">n) a honvédelmi célú elektronikus információs rendszerek kivételével az audit eredményét,</t>
  </si>
  <si>
    <t xml:space="preserve">TV-S0570</t>
  </si>
  <si>
    <t xml:space="preserve">28. § (1) 1. o)</t>
  </si>
  <si>
    <t xml:space="preserve">o) a hatósági ellenőrzésekkel kapcsolatos információkat,</t>
  </si>
  <si>
    <t xml:space="preserve">TV-S0571</t>
  </si>
  <si>
    <t xml:space="preserve">28. § (1) 1. p)</t>
  </si>
  <si>
    <t xml:space="preserve">p) a sérülékenységvizsgálat eredményét, valamint a sérülékenységek megszüntetésére vonatkozó sérülékenységkezelési tervet,</t>
  </si>
  <si>
    <t xml:space="preserve">TV-S0572</t>
  </si>
  <si>
    <t xml:space="preserve">28. § (1) 1. q)</t>
  </si>
  <si>
    <t xml:space="preserve">q) a szervezet kritikus szervezeti vagy az ország védelme és biztonsága szempontjából jelentős szervezeti státuszát;</t>
  </si>
  <si>
    <t xml:space="preserve">TV-S0573</t>
  </si>
  <si>
    <t xml:space="preserve">28. § (1) 2.</t>
  </si>
  <si>
    <t xml:space="preserve">2. központi rendszerhez csatlakozott szervezet esetében:</t>
  </si>
  <si>
    <t xml:space="preserve">TV-S0574</t>
  </si>
  <si>
    <t xml:space="preserve">28. § (1) 2. a)</t>
  </si>
  <si>
    <t xml:space="preserve">a) a felhasználó szervezet által használt központi rendszer megnevezését, egyedi azonosító számát,</t>
  </si>
  <si>
    <t xml:space="preserve">TV-S0575</t>
  </si>
  <si>
    <t xml:space="preserve">28. § (1) 2. b)</t>
  </si>
  <si>
    <t xml:space="preserve">b) a központi rendszer felett rendelkezési jogot gyakorló szervezet nevét;</t>
  </si>
  <si>
    <t xml:space="preserve">TV-S0576</t>
  </si>
  <si>
    <t xml:space="preserve">28. § (1) 3.</t>
  </si>
  <si>
    <t xml:space="preserve">3. központi rendszer esetében az 1. pontban foglaltakon túl:</t>
  </si>
  <si>
    <t xml:space="preserve">TV-S0577</t>
  </si>
  <si>
    <t xml:space="preserve">28. § (1) 3. a)</t>
  </si>
  <si>
    <t xml:space="preserve">a) a központi rendszer egyedi azonosító számát,</t>
  </si>
  <si>
    <t xml:space="preserve">TV-S0578</t>
  </si>
  <si>
    <t xml:space="preserve">28. § (1) 3. b)</t>
  </si>
  <si>
    <t xml:space="preserve">b) a felhasználó szervezetek megnevezését;</t>
  </si>
  <si>
    <t xml:space="preserve">TV-S0579</t>
  </si>
  <si>
    <t xml:space="preserve">28. § (1) 4.</t>
  </si>
  <si>
    <t xml:space="preserve">4. a központi szolgáltató esetében az 1. pontban foglaltakon túl:</t>
  </si>
  <si>
    <t xml:space="preserve">TV-S0580</t>
  </si>
  <si>
    <t xml:space="preserve">28. § (1) 4. a)</t>
  </si>
  <si>
    <t xml:space="preserve">a) a központi szolgáltató által nyújtott szolgáltatásban részt vevő elektronikus információs rendszer egyedi azonosító számát,</t>
  </si>
  <si>
    <t xml:space="preserve">TV-S0581</t>
  </si>
  <si>
    <t xml:space="preserve">28. § (1) 4. b)</t>
  </si>
  <si>
    <t xml:space="preserve">b) a központi szolgáltató által biztosított támogató rendszer azonosítására alkalmas adatokat,</t>
  </si>
  <si>
    <t xml:space="preserve">TV-S0582</t>
  </si>
  <si>
    <t xml:space="preserve">28. § (1) 4. c)</t>
  </si>
  <si>
    <t xml:space="preserve">c) a felhasználó szervezetek megnevezését;</t>
  </si>
  <si>
    <t xml:space="preserve">TV-S0583</t>
  </si>
  <si>
    <t xml:space="preserve">28. § (1) 5.</t>
  </si>
  <si>
    <t xml:space="preserve">5. a kiberbiztonsági incidensekkel kapcsolatos, a kiberbiztonsági incidenskezelő központtól kapott értesítéseket, az ezekben szereplő személyekre vonatkozó adatokat;</t>
  </si>
  <si>
    <t xml:space="preserve">TV-S0584</t>
  </si>
  <si>
    <t xml:space="preserve">28. § (1) 6.</t>
  </si>
  <si>
    <t xml:space="preserve">6. az elektronikus információs rendszer biztonságáért felelős személy feladatainak ellátására alkalmas természetes személyek személyazonosító adatait, elérhetőségeit, ideértve az elektronikus elérhetőségeket, valamint a szakértelmére vonatkozó adatokat, továbbá ezen adatok nyilvántartásba vételének dátumát, a nyilvántartás módosításának dátumát;</t>
  </si>
  <si>
    <t xml:space="preserve">TV-S0585</t>
  </si>
  <si>
    <t xml:space="preserve">28. § (1) 7.</t>
  </si>
  <si>
    <t xml:space="preserve">7. a kormányrendeletben előírt további, személyes adatnak nem minősülő adatokat.</t>
  </si>
  <si>
    <t xml:space="preserve">TV-S0586</t>
  </si>
  <si>
    <t xml:space="preserve">28. § (1a)</t>
  </si>
  <si>
    <t xml:space="preserve">(1a) A nemzeti kiberbiztonsági hatóság által vezetett (1) bekezdés szerinti nyilvántartás – a személyiadat- és lakcímnyilvántartásban, valamint a cégnyilvántartásban szereplő közhiteles adatok, továbbá az (1) bekezdés 1. pont b), e), g), h), j), m)–q) alpontja, az (1) bekezdés 2. pontja, az (1) bekezdés 3. pont b) alpontja, valamint az (1) bekezdés 4., 5. és 7. pontja kivételével – nem nyilvános közhiteles hatósági nyilvántartásnak minősül.</t>
  </si>
  <si>
    <t xml:space="preserve">TV-S0587</t>
  </si>
  <si>
    <t xml:space="preserve">28. § (2)</t>
  </si>
  <si>
    <t xml:space="preserve">(2) A honvédelmi kiberbiztonsági hatóság az e törvényben meghatározott feladatainak végrehajtása céljából nyilvántartja az (1) bekezdés 1. pont a)–m), o) és p) alpontja, a hatáskörébe tartozó szervezetek esetében az (1) bekezdés 1. pont q) alpontja szerinti, továbbá az (1) bekezdés 2–5. és 7. pontja szerinti adatokat.</t>
  </si>
  <si>
    <t xml:space="preserve">TV-S0588</t>
  </si>
  <si>
    <t xml:space="preserve">28. § (2a)</t>
  </si>
  <si>
    <t xml:space="preserve">(2a) A honvédelmi kiberbiztonsági hatóság által vezetett (1) és (2) bekezdés szerinti nyilvántartás – a személyiadat- és lakcímnyilvántartásban, valamint a cégnyilvántartásban szereplő közhiteles adat, továbbá az (1) bekezdés 1. pont b), e), g), h), j), m), o)–q) alpontjában, az (1) bekezdés 2. pontjában, az (1) bekezdés 3. pont b) alpontjában, valamint az (1) bekezdés 4., 5. és 7. pontjában szereplő adatok kivételével – közhiteles hatósági nyilvántartásnak minősül.</t>
  </si>
  <si>
    <t xml:space="preserve">TV-S0589</t>
  </si>
  <si>
    <t xml:space="preserve">28. § (2b)</t>
  </si>
  <si>
    <t xml:space="preserve">(2b) A honvédelmi kiberbiztonsági hatóság által vezetett (2a) bekezdés szerinti nyilvántartásban szereplő közhiteles adat honvédelmi és nemzetbiztonsági érdekből a keletkezésétől számított harminc évig nem nyilvános.</t>
  </si>
  <si>
    <t xml:space="preserve">TV-S0590</t>
  </si>
  <si>
    <t xml:space="preserve">28. § (2c)</t>
  </si>
  <si>
    <t xml:space="preserve">(2c) A (2a) bekezdésben szereplő közhiteles adatok megismerését a fenti érdek mérlegelésével a honvédelmi kiberbiztonsági hatóság vezetője engedélyezheti.</t>
  </si>
  <si>
    <t xml:space="preserve">TV-S0591</t>
  </si>
  <si>
    <t xml:space="preserve">28. § (3)</t>
  </si>
  <si>
    <t xml:space="preserve">(3) A nemzeti kiberbiztonsági hatóság, valamint a nemzeti kiberbiztonsági incidenskezelő központ a honvédelmi kiberbiztonsági hatóság nyilvántartásából az (1) bekezdés 1. pont a)–c), j)–k) és p) alpontjai szerinti adatokat megismerheti.</t>
  </si>
  <si>
    <t xml:space="preserve">TV-S0592</t>
  </si>
  <si>
    <t xml:space="preserve">28. § (4)</t>
  </si>
  <si>
    <t xml:space="preserve">(4) A nemzeti kiberbiztonsági hatóság – az SZTFH által nyújtott adatszolgáltatást is figyelembe véve – összeállítja az alapvető és fontos szervezetek jegyzékét, és azt kétévente felülvizsgálja.</t>
  </si>
  <si>
    <t xml:space="preserve">TV-S0593</t>
  </si>
  <si>
    <t xml:space="preserve">28. § (5)</t>
  </si>
  <si>
    <t xml:space="preserve">(5) Az (1) és a (2) bekezdés szerinti nyilvántartásból – ha jogszabály eltérően nem rendelkezik – adattovábbítás kizárólag</t>
  </si>
  <si>
    <t xml:space="preserve">TV-S0594</t>
  </si>
  <si>
    <t xml:space="preserve">28. § (5) a)</t>
  </si>
  <si>
    <t xml:space="preserve">a) az SZTFH,</t>
  </si>
  <si>
    <t xml:space="preserve">TV-S0595</t>
  </si>
  <si>
    <t xml:space="preserve">28. § (5) b)</t>
  </si>
  <si>
    <t xml:space="preserve">b) a nemzeti kiberbiztonsági incidenskezelő központ,</t>
  </si>
  <si>
    <t xml:space="preserve">TV-S0596</t>
  </si>
  <si>
    <t xml:space="preserve">28. § (5) c)</t>
  </si>
  <si>
    <t xml:space="preserve">c) az (EU) 2022/2555 európai parlamenti és tanácsi irányelv szerinti egyedüli kapcsolattartó pont,</t>
  </si>
  <si>
    <t xml:space="preserve">TV-S0597</t>
  </si>
  <si>
    <t xml:space="preserve">28. § (5) d)</t>
  </si>
  <si>
    <t xml:space="preserve">d) a Nemzeti Adatvédelmi és Információszabadság Hatóság,</t>
  </si>
  <si>
    <t xml:space="preserve">TV-S0598</t>
  </si>
  <si>
    <t xml:space="preserve">28. § (5) e)</t>
  </si>
  <si>
    <t xml:space="preserve">e) a Kszetv. szerinti kijelölő és nyilvántartó hatóság,</t>
  </si>
  <si>
    <t xml:space="preserve">TV-S0599</t>
  </si>
  <si>
    <t xml:space="preserve">28. § (5) f)</t>
  </si>
  <si>
    <t xml:space="preserve">f) a Vbö. szerinti kijelölő és nyilvántartó hatóság,</t>
  </si>
  <si>
    <t xml:space="preserve">TV-S0600</t>
  </si>
  <si>
    <t xml:space="preserve">28. § (5) g)</t>
  </si>
  <si>
    <t xml:space="preserve">g) az (EU) 2022/2554 európai parlamenti és tanácsi rendelet szerinti hatóság,</t>
  </si>
  <si>
    <t xml:space="preserve">TV-S0601</t>
  </si>
  <si>
    <t xml:space="preserve">28. § (5) h)</t>
  </si>
  <si>
    <t xml:space="preserve">h) a honvédelmi kiberbiztonsági hatóság,</t>
  </si>
  <si>
    <t xml:space="preserve">TV-S0602</t>
  </si>
  <si>
    <t xml:space="preserve">28. § (5) i)</t>
  </si>
  <si>
    <t xml:space="preserve">i) a Magyar Honvédség kibertér műveleti erői,</t>
  </si>
  <si>
    <t xml:space="preserve">TV-S0603</t>
  </si>
  <si>
    <t xml:space="preserve">28. § (5) j)</t>
  </si>
  <si>
    <t xml:space="preserve">j) a honvédelmi kiberbiztonsági incidenskezelő központ és</t>
  </si>
  <si>
    <t xml:space="preserve">TV-S0604</t>
  </si>
  <si>
    <t xml:space="preserve">28. § (5) k)</t>
  </si>
  <si>
    <t xml:space="preserve">k) a nemzeti kiberbiztonsági hatóság</t>
  </si>
  <si>
    <t xml:space="preserve">TV-S0605</t>
  </si>
  <si>
    <t xml:space="preserve">részére végezhető.</t>
  </si>
  <si>
    <t xml:space="preserve">TV-S0606</t>
  </si>
  <si>
    <t xml:space="preserve">28. § (6)</t>
  </si>
  <si>
    <t xml:space="preserve">(6) A nemzeti kiberbiztonsági hatóság a kritikus szervezet és az ország védelme és biztonsága szempontjából jelentős szervezet által megküldött információbiztonsági szabályzatot továbbítja a Kszetv. és a Vbö. szerinti nyilvántartó hatóságnak.</t>
  </si>
  <si>
    <t xml:space="preserve">TV-S0607</t>
  </si>
  <si>
    <t xml:space="preserve">28. § (7)</t>
  </si>
  <si>
    <t xml:space="preserve">(7) A nemzeti kiberbiztonsági hatóság a honlapján közzéteszi az elektronikus információs rendszer biztonságáért felelős személy feladatainak ellátására alkalmas természetes személyek listáját.</t>
  </si>
  <si>
    <t xml:space="preserve">TV-S0608</t>
  </si>
  <si>
    <t xml:space="preserve">29. § (1)</t>
  </si>
  <si>
    <t xml:space="preserve">29. § (1) Az SZTFH – az e törvényben meghatározott feladatainak végrehajtása céljából – az SZTFH elnökének rendeletében foglaltak szerint nyilvántartja és kezeli</t>
  </si>
  <si>
    <t xml:space="preserve">TV-S0609</t>
  </si>
  <si>
    <t xml:space="preserve">29. § (1) a)</t>
  </si>
  <si>
    <t xml:space="preserve">a) az 1. § (1) bekezdés b), d) és e) pontja szerinti szervezet vonatkozásában:</t>
  </si>
  <si>
    <t xml:space="preserve">TV-S0610</t>
  </si>
  <si>
    <t xml:space="preserve">29. § (1) a) aa)</t>
  </si>
  <si>
    <t xml:space="preserve">aa) a szervezet azonosításához szükséges adatokat,</t>
  </si>
  <si>
    <t xml:space="preserve">TV-S0611</t>
  </si>
  <si>
    <t xml:space="preserve">29. § (1) a) ab)</t>
  </si>
  <si>
    <t xml:space="preserve">ab) a szervezet székhelyét, telephelyét, fióktelepét,</t>
  </si>
  <si>
    <t xml:space="preserve">TV-S0612</t>
  </si>
  <si>
    <t xml:space="preserve">29. § (1) a) ac)</t>
  </si>
  <si>
    <t xml:space="preserve">ac) ha a szervezet nem az Európai Unióban letelepedett szervezet, de Magyarországon belül kínál szolgáltatásokat és magyarországi letelepedett képviselőt jelöl ki, a képviselő nevét vagy cégnevét, levelezési címét, telefonszámát és elektronikus levelezési címét,</t>
  </si>
  <si>
    <t xml:space="preserve">TV-S0613</t>
  </si>
  <si>
    <t xml:space="preserve">29. § (1) a) ad)</t>
  </si>
  <si>
    <t xml:space="preserve">ad) a szervezet nyilvántartásba vételének és az abból történő törlésének időpontját,</t>
  </si>
  <si>
    <t xml:space="preserve">TV-S0614</t>
  </si>
  <si>
    <t xml:space="preserve">29. § (1) a) ae)</t>
  </si>
  <si>
    <t xml:space="preserve">ae) az elektronikus információs rendszer biztonságáért felelős személy természetes személyazonosító adatait, telefonszámát és elektronikus levelezési címét,</t>
  </si>
  <si>
    <t xml:space="preserve">TV-S0615</t>
  </si>
  <si>
    <t xml:space="preserve">29. § (1) a) af)</t>
  </si>
  <si>
    <t xml:space="preserve">af) azon európai uniós tagállamok listáját, amelyben a szervezet szolgáltatásokat nyújt,</t>
  </si>
  <si>
    <t xml:space="preserve">TV-S0616</t>
  </si>
  <si>
    <t xml:space="preserve">29. § (1) a) ag)</t>
  </si>
  <si>
    <t xml:space="preserve">ag) az SZTFH elnökének rendeletében előírt további, személyes adatnak nem minősülő adatokat;</t>
  </si>
  <si>
    <t xml:space="preserve">TV-S0617</t>
  </si>
  <si>
    <t xml:space="preserve">29. § (1) b)</t>
  </si>
  <si>
    <t xml:space="preserve">b) a sérülékenységvizsgálat végzésére jogosult szervezet</t>
  </si>
  <si>
    <t xml:space="preserve">TV-S0618</t>
  </si>
  <si>
    <t xml:space="preserve">29. § (1) b) ba)</t>
  </si>
  <si>
    <t xml:space="preserve">ba) azonosításához szükséges adatokat,</t>
  </si>
  <si>
    <t xml:space="preserve">TV-S0619</t>
  </si>
  <si>
    <t xml:space="preserve">29. § (1) b) bb)</t>
  </si>
  <si>
    <t xml:space="preserve">bb) elérhetőségeit, ideértve az elektronikus elérhetőségeket és</t>
  </si>
  <si>
    <t xml:space="preserve">TV-S0620</t>
  </si>
  <si>
    <t xml:space="preserve">29. § (1) b) bc)</t>
  </si>
  <si>
    <t xml:space="preserve">bc) nyilvántartásba vételének időpontját, valamint – nyilvántartásba vételekor kapott – azonosító számát;</t>
  </si>
  <si>
    <t xml:space="preserve">TV-S0621</t>
  </si>
  <si>
    <t xml:space="preserve">29. § (1) c)</t>
  </si>
  <si>
    <t xml:space="preserve">c) a sérülékenységvizsgálat végzésére jogosult természetes személy</t>
  </si>
  <si>
    <t xml:space="preserve">TV-S0622</t>
  </si>
  <si>
    <t xml:space="preserve">29. § (1) c) ca)</t>
  </si>
  <si>
    <t xml:space="preserve">ca) azonosításához szükséges természetes személyazonosító adatait,</t>
  </si>
  <si>
    <t xml:space="preserve">TV-S0623</t>
  </si>
  <si>
    <t xml:space="preserve">29. § (1) c) cb)</t>
  </si>
  <si>
    <t xml:space="preserve">cb) elérhetőségeit, ideértve az elektronikus elérhetőségeket,</t>
  </si>
  <si>
    <t xml:space="preserve">TV-S0624</t>
  </si>
  <si>
    <t xml:space="preserve">29. § (1) c) cc)</t>
  </si>
  <si>
    <t xml:space="preserve">cc) szakértelmére vonatkozó adatokat és</t>
  </si>
  <si>
    <t xml:space="preserve">TV-S0625</t>
  </si>
  <si>
    <t xml:space="preserve">29. § (1) c) cd)</t>
  </si>
  <si>
    <t xml:space="preserve">cd) nyilvántartásba vételének időpontját, valamint – nyilvántartásba vételekor kapott – azonosító számát;</t>
  </si>
  <si>
    <t xml:space="preserve">TV-S0626</t>
  </si>
  <si>
    <t xml:space="preserve">29. § (1) d)</t>
  </si>
  <si>
    <t xml:space="preserve">d) a kiberbiztonsági incidensek kezelésére jogosult gazdálkodó szervezetek 70. § (5) bekezdése szerinti adatait.</t>
  </si>
  <si>
    <t xml:space="preserve">TV-S0627</t>
  </si>
  <si>
    <t xml:space="preserve">29. § (1a)</t>
  </si>
  <si>
    <t xml:space="preserve">(1a) Az (1) bekezdés a) pontja szerinti nyilvántartás az (1) bekezdés a) pont ad) alpontjában, az (1) bekezdés b) pontja szerinti nyilvántartás az (1) bekezdés b) pont bc) alpontjában, az (1) bekezdés c) pontja szerinti nyilvántartás az (1) bekezdés c) pont cd) alpontjában meghatározott adatok tekintetében közhiteles hatósági nyilvántartás.</t>
  </si>
  <si>
    <t xml:space="preserve">TV-S0628</t>
  </si>
  <si>
    <t xml:space="preserve">29. § (2)</t>
  </si>
  <si>
    <t xml:space="preserve">(2) Az SZTFH összeállítja az 1. § (1) bekezdés d) és e) pontja hatálya alá tartozó alapvető és fontos szervezetek, valamint a doménnév-nyilvántartási szolgáltatásokat nyújtó szervezetek jegyzékét, és azt kétévente felülvizsgálja. A jegyzék összeállítását és felülvizsgálatát követően az SZTFH tájékoztatja a nemzeti kiberbiztonsági hatóságot a kormányrendeletben meghatározott adatokról.</t>
  </si>
  <si>
    <t xml:space="preserve">TV-S0629</t>
  </si>
  <si>
    <t xml:space="preserve">29. § (3)</t>
  </si>
  <si>
    <t xml:space="preserve">(3) Az (1) bekezdés szerinti nyilvántartásból – ha jogszabály eltérően nem rendelkezik – adattovábbítás kizárólag a kiberbiztonsági hatóságok, a kiberbiztonsági incidenskezelő központok, valamint a 24. § (9) bekezdése szerinti szervezetek részére végezhető.</t>
  </si>
  <si>
    <t xml:space="preserve">TV-S0630</t>
  </si>
  <si>
    <t xml:space="preserve">29. § (4)</t>
  </si>
  <si>
    <t xml:space="preserve">(4) Az SZTFH közvetlen hozzáférést biztosít a nemzeti kiberbiztonsági hatóság, valamint a nemzeti kiberbiztonsági incidenskezelő központ részére a szervezetnek az SZTFH által kezelt nyilvántartási adataihoz.</t>
  </si>
  <si>
    <t xml:space="preserve">TV-S0631</t>
  </si>
  <si>
    <t xml:space="preserve">29. § (5)</t>
  </si>
  <si>
    <t xml:space="preserve">(5) Ha az (1) bekezdés a) pontja szerinti nyilvántartásban szereplő szervezet bejelenti, hogy már nem minősül az 1. § (1) bekezdés b), d) vagy e) pontja szerinti szervezetnek, akkor az (1) bekezdés a) pontja szerinti adatokat az SZTFH a bejelentést követő 5 év elteltével köteles a nyilvántartásból törölni.</t>
  </si>
  <si>
    <t xml:space="preserve">TV-S0632</t>
  </si>
  <si>
    <t xml:space="preserve">TV-S0633</t>
  </si>
  <si>
    <t xml:space="preserve">30. § (1)</t>
  </si>
  <si>
    <t xml:space="preserve">30. § (1) Ha a szervezet a jogszabályokban foglalt biztonsági követelményeket és az ehhez kapcsolódó eljárási szabályokat nem teljesíti vagy nem tartja be, a biztonsági hiányosságokat nem hárítja el, a megfeleléshez szükséges intézkedések meghozatalát elmulasztja, vagy a tevékenységet nem hagyja abba, a kiberbiztonsági hatóság</t>
  </si>
  <si>
    <t xml:space="preserve">TV-S0634</t>
  </si>
  <si>
    <t xml:space="preserve">30. § (1) a)</t>
  </si>
  <si>
    <t xml:space="preserve">a) figyelmezteti a jogszabályokban foglalt biztonsági követelmények és az azokhoz kapcsolódó eljárási szabályok betartására, valamint megfelelő határidő tűzésével felszólítja a követelmények, az ellenőrzés vagy az audit során feltárt vagy tudomására jutott biztonsági hiányosságok elhárítására vagy a megfeleléshez szükséges intézkedések meghozatalára, a jelentéstételi, az adatszolgáltatási kötelezettségek teljesítésére,</t>
  </si>
  <si>
    <t xml:space="preserve">TV-S0635</t>
  </si>
  <si>
    <t xml:space="preserve">30. § (1) b)</t>
  </si>
  <si>
    <t xml:space="preserve">b) kötelezheti a jogsértő magatartás megszüntetésére, valamint arra, hogy tartózkodjon a jogsértő magatartás ismételt elkövetésétől,</t>
  </si>
  <si>
    <t xml:space="preserve">TV-S0636</t>
  </si>
  <si>
    <t xml:space="preserve">30. § (1) c)</t>
  </si>
  <si>
    <t xml:space="preserve">c) – ha a szervezet azzal rendelkezik – a szervezetet felügyelő szervhez vagy a nemzeti vagyonról szóló törvény szerinti tulajdonosi joggyakorlóhoz fordulhat és kérheti a közreműködését, valamint</t>
  </si>
  <si>
    <t xml:space="preserve">TV-S0637</t>
  </si>
  <si>
    <t xml:space="preserve">30. § (1) d)</t>
  </si>
  <si>
    <t xml:space="preserve">d) jogosult kormányrendeletben vagy – az 1. § (1) bekezdés d) és e) pontja szerinti szervezetek esetében – az SZTFH elnöke által kiadott rendeletben meghatározottak szerint a szervezet költségére információbiztonsági felügyelőt kirendelni.</t>
  </si>
  <si>
    <t xml:space="preserve">TV-S0638</t>
  </si>
  <si>
    <t xml:space="preserve">30. § (2)</t>
  </si>
  <si>
    <t xml:space="preserve">(2) Ha az (1) bekezdés szerinti intézkedések alkalmazása ellenére az érintett szervezet a jogszabályokban foglalt biztonsági követelményeket vagy az ehhez kapcsolódó eljárási szabályokat nem teljesíti vagy nem tartja be, a biztonsági hiányosságokat nem hárítja el, a megfeleléshez szükséges intézkedések meghozatalát elmulasztja, vagy a tevékenységet nem hagyja abba, a kiberbiztonsági hatóság az eset összes körülményének mérlegelésével kormányrendeletben meghatározott mértékű bírságot szabhat ki.</t>
  </si>
  <si>
    <t xml:space="preserve">TV-S0639</t>
  </si>
  <si>
    <t xml:space="preserve">30. § (3)</t>
  </si>
  <si>
    <t xml:space="preserve">(3) Ha a szervezet vezetője a jogszabályban előírt kötelezettségének nem tesz eleget, a nemzeti kiberbiztonsági hatóság az eset összes körülményének mérlegelésével kormányrendeletben meghatározott mértékű bírsággal sújthatja, ismételt jogsértés esetén sújtani köteles.</t>
  </si>
  <si>
    <t xml:space="preserve">TV-S0640</t>
  </si>
  <si>
    <t xml:space="preserve">30. § (4)</t>
  </si>
  <si>
    <t xml:space="preserve">(4) A kiberbiztonsági hatóság által kiszabható bírság mértékét, megállapításának szempontrendszerét, valamint a bírság megfizetése módjának részletes eljárási szabályait kormányrendelet határozza meg.</t>
  </si>
  <si>
    <t xml:space="preserve">TV-S0641</t>
  </si>
  <si>
    <t xml:space="preserve">30. § (5)</t>
  </si>
  <si>
    <t xml:space="preserve">(5) A kiberbiztonsági hatóság</t>
  </si>
  <si>
    <t xml:space="preserve">TV-S0642</t>
  </si>
  <si>
    <t xml:space="preserve">30. § (5) a)</t>
  </si>
  <si>
    <t xml:space="preserve">a) kötelezheti a szervezetet arra, hogy a jogszabálysértés tényét és körülményeit a kiberbiztonsági hatóság által meghatározott módon, az adatvédelmi és az üzleti titokra vonatkozó szabályokat figyelembe véve hozza nyilvánosságra,</t>
  </si>
  <si>
    <t xml:space="preserve">TV-S0643</t>
  </si>
  <si>
    <t xml:space="preserve">30. § (5) b)</t>
  </si>
  <si>
    <t xml:space="preserve">b) elrendelheti a szervezet által nyújtott szolgáltatásokat igénybe vevők tájékoztatását az azokat potenciális érintő fenyegetésről, valamint az ilyen fenyegetés elhárításához szükséges vagy lehetséges megelőző, védelmi vagy helyreállítási intézkedésekről, azok várható hatásairól,</t>
  </si>
  <si>
    <t xml:space="preserve">TV-S0644</t>
  </si>
  <si>
    <t xml:space="preserve">30. § (5) c)</t>
  </si>
  <si>
    <t xml:space="preserve">c) kiberbiztonsági incidens bekövetkezése esetén honlapján tájékoztathatja a nyilvánosságot, illetve a szervezeteket határozatban kötelezheti tájékoztatásra, ha az egy adott kiberbiztonsági incidens megelőzéséhez vagy egy már folyamatban lévő kiberbiztonsági incidens kezeléséhez szükséges és</t>
  </si>
  <si>
    <t xml:space="preserve">TV-S0645</t>
  </si>
  <si>
    <t xml:space="preserve">30. § (5) d)</t>
  </si>
  <si>
    <t xml:space="preserve">d) kötelezheti a szervezetet arra, hogy válságkezelési vagy veszélyhelyzet-kezelési intézkedés megtételének szükségessége esetén a kiberbiztonsági hatóságot tájékoztassa.</t>
  </si>
  <si>
    <t xml:space="preserve">TV-S0646</t>
  </si>
  <si>
    <t xml:space="preserve">30. § (6)</t>
  </si>
  <si>
    <t xml:space="preserve">(6) Ha a nem közigazgatási szervnek minősülő alapvető szervezet a kiberbiztonsági hatóság által szabott határidőn belül nem tesz eleget a hatósági kötelezésnek, a kiberbiztonsági hatóság</t>
  </si>
  <si>
    <t xml:space="preserve">TV-S0647</t>
  </si>
  <si>
    <t xml:space="preserve">30. § (6) a)</t>
  </si>
  <si>
    <t xml:space="preserve">a) kezdeményezheti az illetékes hatóságnál az alapvető szervezet által nyújtott, a jogsértéssel érintett alapvető szolgáltatások vagy tevékenységek egészére vagy egy részére vonatkozó tanúsítás vagy engedély ideiglenes felfüggesztését és</t>
  </si>
  <si>
    <t xml:space="preserve">TV-S0648</t>
  </si>
  <si>
    <t xml:space="preserve">30. § (6) b)</t>
  </si>
  <si>
    <t xml:space="preserve">b) kezdeményezheti a cégbíróságnál az alapvető szervezet vezetőjének az adott szervezetben betöltött vezető tisztségviselői feladatainak ellátásától való ideiglenes eltiltását.</t>
  </si>
  <si>
    <t xml:space="preserve">TV-S0649</t>
  </si>
  <si>
    <t xml:space="preserve">30. § (7)</t>
  </si>
  <si>
    <t xml:space="preserve">(7) Az (1), (2), valamint a (5) és (6) bekezdésben foglalt jogkövetkezmények együttesen és ismételten is alkalmazhatóak.</t>
  </si>
  <si>
    <t xml:space="preserve">TV-S0650</t>
  </si>
  <si>
    <t xml:space="preserve">30. § (8)</t>
  </si>
  <si>
    <t xml:space="preserve">(8) Ha a szervezet megteszi a szükséges intézkedéseket a hiányosságok orvoslása érdekében, illetve a hatósági kötelezést teljesíti, a kiberbiztonsági hatóság intézkedik a (6) bekezdés szerinti ideiglenes intézkedések megszüntetése iránt.</t>
  </si>
  <si>
    <t xml:space="preserve">TV-S0651</t>
  </si>
  <si>
    <t xml:space="preserve">30. § (9)</t>
  </si>
  <si>
    <t xml:space="preserve">(9) A kiberbiztonsági hatóság a jogkövetkezmények alkalmazása során az arányosság és a fokozatosság szempontjait figyelembe véve jár el, szem előtt tartva a jogkövetkezmény hatékonyságát és visszatartó erejét.</t>
  </si>
  <si>
    <t xml:space="preserve">TV-S0652</t>
  </si>
  <si>
    <t xml:space="preserve">30. § (10)</t>
  </si>
  <si>
    <t xml:space="preserve">(10) Ha a hatósági kötelezést az 1. § (1) bekezdés a)–c) és f) pontja szerinti szervezet figyelmen kívül hagyja, vagy a nemzeti kiberbiztonsági hatóság által javasolt védelmi intézkedéseket önhibájából nem teljesíti és ezzel kiberbiztonsági incidens vagy kiberbiztonsági incidensközeli helyzet áll elő, a nemzeti kiberbiztonsági hatóság a szervezetet a kiberbiztonsági incidens vagy kiberbiztonsági incidensközeli helyzet bekövetkezésének elhárítására fordított költségének megtérítésére kötelezheti.</t>
  </si>
  <si>
    <t xml:space="preserve">TV-S0653</t>
  </si>
  <si>
    <t xml:space="preserve">30. § (11)</t>
  </si>
  <si>
    <t xml:space="preserve">(11) Ha az 1. § (1) bekezdés d) és e) pontja szerinti szervezet a jogszabályokban foglalt kiberbiztonsági követelményeket vagy az ehhez kapcsolódó eljárási szabályokat nem teljesíti vagy nem tartja be, az SZTFH az (1)–(5) bekezdésben foglaltakon túl</t>
  </si>
  <si>
    <t xml:space="preserve">TV-S0654</t>
  </si>
  <si>
    <t xml:space="preserve">30. § (11) a)</t>
  </si>
  <si>
    <t xml:space="preserve">a) jogosult a szervezet tevékenységét engedélyező vagy felügyelő hatóság véleményének figyelembevételével eltiltani az érintett szervezetet a biztonsági követelmények teljesülését közvetlenül veszélyeztető tevékenységtől,</t>
  </si>
  <si>
    <t xml:space="preserve">TV-S0655</t>
  </si>
  <si>
    <t xml:space="preserve">30. § (11) b)</t>
  </si>
  <si>
    <t xml:space="preserve">b) bírság kiszabása esetén tájékoztatja a szervezet tevékenységét engedélyező vagy felügyelő hatóságot a bírság kiszabásáról és a kiszabást megalapozó tényekről.</t>
  </si>
  <si>
    <t xml:space="preserve">TV-S0656</t>
  </si>
  <si>
    <t xml:space="preserve">31. § (1)</t>
  </si>
  <si>
    <t xml:space="preserve">31. § (1) A kiberbiztonsági hatóság a 30. § (1) bekezdés d) pontja szerinti információbiztonsági felügyelőt határozott időtartamra vagy meghatározott feltétel bekövetkezéséig rendeli ki. Az információbiztonsági felügyelő felügyeli a szervezetnél a jogszabályokban foglalt biztonsági követelmények teljesítését és az ehhez kapcsolódó eljárási szabályok betartását. Az információbiztonsági felügyelő tevékenységének szakmai irányítását a kiberbiztonsági hatóság látja el.</t>
  </si>
  <si>
    <t xml:space="preserve">TV-S0657</t>
  </si>
  <si>
    <t xml:space="preserve">31. § (2)</t>
  </si>
  <si>
    <t xml:space="preserve">(2) Az 1. § (1) bekezdés</t>
  </si>
  <si>
    <t xml:space="preserve">TV-S0658</t>
  </si>
  <si>
    <t xml:space="preserve">31. § (2) a)</t>
  </si>
  <si>
    <t xml:space="preserve">a) a)–c) pontja szerinti szervezetek esetében az információbiztonsági felügyelő személyével szembeni követelményeket, a kirendelésére, jogosítványaira, feladataira vonatkozó részletes szabályokat kormányrendelet, a végzettségére, továbbképzési kötelezettségére és szakmai gyakorlatára vonatkozó követelményeket, valamint a szakképzettségeknek a 75. § (1) bekezdése szerinti nemzeti koordinációs központ általi közzétételi rendjét az informatikáért felelős miniszter rendelete,</t>
  </si>
  <si>
    <t xml:space="preserve">TV-S0659</t>
  </si>
  <si>
    <t xml:space="preserve">31. § (2) b)</t>
  </si>
  <si>
    <t xml:space="preserve">b) d) és e) pontja szerinti szervezetek esetében az információbiztonsági felügyelő személyével szembeni követelményeket, a kirendelésére, jogosítványaira, feladataira vonatkozó részletes szabályokat az SZTFH elnöke rendeletben</t>
  </si>
  <si>
    <t xml:space="preserve">TV-S0660</t>
  </si>
  <si>
    <t xml:space="preserve">határozza meg.</t>
  </si>
  <si>
    <t xml:space="preserve">TV-S0661</t>
  </si>
  <si>
    <t xml:space="preserve">32. § (1)</t>
  </si>
  <si>
    <t xml:space="preserve">32. § (1) Ha az SZTFH azt észleli vagy – akár a nemzeti kiberbiztonsági hatóság jelzése alapján – tudomást szerez arról, hogy az auditor a jogszabályokban foglalt kiberbiztonsági követelményeket vagy az ehhez kapcsolódó eljárási szabályokat nem teljesíti vagy nem tartja be, az SZTFH jogosult</t>
  </si>
  <si>
    <t xml:space="preserve">TV-S0662</t>
  </si>
  <si>
    <t xml:space="preserve">32. § (1) a)</t>
  </si>
  <si>
    <t xml:space="preserve">a) figyelmeztetni a jogszabályokban foglalt követelmények vagy az ehhez kapcsolódó eljárási szabályok teljesítésére,</t>
  </si>
  <si>
    <t xml:space="preserve">TV-S0663</t>
  </si>
  <si>
    <t xml:space="preserve">32. § (1) b)</t>
  </si>
  <si>
    <t xml:space="preserve">b) határidő tűzésével elrendelni az azonosított hiányosságok elhárítását vagy a megfeleléshez szükséges intézkedések meghozatalát, vagy</t>
  </si>
  <si>
    <t xml:space="preserve">TV-S0664</t>
  </si>
  <si>
    <t xml:space="preserve">32. § (1) c)</t>
  </si>
  <si>
    <t xml:space="preserve">c) az auditort az auditori tevékenységtől ideiglenesen eltiltani, amiről tájékoztatja a nemzeti kiberbiztonsági hatóságot.</t>
  </si>
  <si>
    <t xml:space="preserve">TV-S0665</t>
  </si>
  <si>
    <t xml:space="preserve">32. § (2)</t>
  </si>
  <si>
    <t xml:space="preserve">(2) Ha az (1) bekezdés szerinti intézkedések alkalmazása ellenére az auditor a jogszabályokban foglalt követelményeket vagy az ehhez kapcsolódó eljárási szabályokat nem teljesíti vagy nem tartja be, az azonosított hiányosságokat nem hárítja el, a megfeleléshez szükséges intézkedések meghozatalát elmulasztja, vagy a tevékenységet nem hagyja abba, az SZTFH az eset összes körülményének mérlegelésével kormányrendeletben meghatározottak szerint bírságot szabhat ki, amely további nemteljesítés esetén megismételhető.</t>
  </si>
  <si>
    <t xml:space="preserve">TV-S0666</t>
  </si>
  <si>
    <t xml:space="preserve">32. § (3)</t>
  </si>
  <si>
    <t xml:space="preserve">(3) Ha az SZTFH az (1) bekezdés szerint olyan jogsértést tár fel, amely hatással van az auditor által ellenőrzött szervezetre, az SZTFH az adott auditor által ellenőrzött szervezetnél kijelölt elektronikus információs rendszer biztonságáért felelős személyt haladéktalanul értesíti, és tájékoztatást ad az esetleges kiberbiztonsági incidens vagy adatszivárgás körülményeiről.</t>
  </si>
  <si>
    <t xml:space="preserve">TV-S0667</t>
  </si>
  <si>
    <t xml:space="preserve">TV-S0668</t>
  </si>
  <si>
    <t xml:space="preserve">33. § (1)</t>
  </si>
  <si>
    <t xml:space="preserve">33. § (1) A kiberbiztonsági hatóság határozatban elrendelheti az ideiglenes hozzáférhetetlenné tételét annak az elektronikus hírközlő hálózat útján közzétett adatnak, amely a magyar kibertér biztonságára fenyegetést jelent, és amellyel kapcsolatosan a nemzeti kiberbiztonsági incidenskezelő központ kiberbiztonsági incidenskezelést folytat.</t>
  </si>
  <si>
    <t xml:space="preserve">TV-S0669</t>
  </si>
  <si>
    <t xml:space="preserve">33. § (2)</t>
  </si>
  <si>
    <t xml:space="preserve">(2) A honvédelmi kiberbiztonsági hatóság rendeli el az ideiglenes hozzáférhetetlenné tételét annak az elektronikus hírközlő hálózat útján közzétett adatnak, amely honvédelmi érdeket sért vagy veszélyeztet, vagy honvédelmi célú elektronikus információs rendszer biztonságára fenyegetést jelent.</t>
  </si>
  <si>
    <t xml:space="preserve">TV-S0670</t>
  </si>
  <si>
    <t xml:space="preserve">33. § (3)</t>
  </si>
  <si>
    <t xml:space="preserve">(3) Az elektronikus adat ideiglenes hozzáférhetetlenné tételét a kiberbiztonsági hatóság azonnal végrehajthatónak nyilvánított határozatában rendeli el. Az elektronikus adat ideiglenes hozzáférhetetlenné tételét a kiberbiztonsági hatóság legfeljebb 90 napra rendeli el, amely időtartam indokolt esetben további 90 nappal meghosszabbítható.</t>
  </si>
  <si>
    <t xml:space="preserve">TV-S0671</t>
  </si>
  <si>
    <t xml:space="preserve">33. § (4)</t>
  </si>
  <si>
    <t xml:space="preserve">(4) Az elektronikus adat ideiglenes hozzáférhetetlenné tételét elrendelő határozatot a kiberbiztonsági hatóság hirdetményi úton közli, valamint megküldi a Nemzeti Média- és Hírközlési Hatóságnak (a továbbiakban: NMHH).</t>
  </si>
  <si>
    <t xml:space="preserve">TV-S0672</t>
  </si>
  <si>
    <t xml:space="preserve">33. § (5)</t>
  </si>
  <si>
    <t xml:space="preserve">(5) A hirdetményt 3 napig kell a kiberbiztonsági hatóság honlapján közzétenni. A határozat közlésének napja a hirdetmény közzétételét követő nap.</t>
  </si>
  <si>
    <t xml:space="preserve">TV-S0673</t>
  </si>
  <si>
    <t xml:space="preserve">33. § (6)</t>
  </si>
  <si>
    <t xml:space="preserve">(6) Az NMHH a határozatot az elektronikus hírközlésről szóló törvény szerinti kézbesítési rendszeren keresztül küldi meg a határozat kötelezettje részére.</t>
  </si>
  <si>
    <t xml:space="preserve">TV-S0674</t>
  </si>
  <si>
    <t xml:space="preserve">33. § (7)</t>
  </si>
  <si>
    <t xml:space="preserve">(7) A (3) bekezdés szerinti határozat kötelezettje – annak határozatban történő megjelölése nélkül – valamennyi elektronikus hírközlési szolgáltató.</t>
  </si>
  <si>
    <t xml:space="preserve">TV-S0675</t>
  </si>
  <si>
    <t xml:space="preserve">33. § (8)</t>
  </si>
  <si>
    <t xml:space="preserve">(8) Az ideiglenes hozzáférhetetlenné tétel végrehajtását az NMHH az elektronikus hírközlésről szóló törvény alapján szervezi és ellenőrzi.</t>
  </si>
  <si>
    <t xml:space="preserve">TV-S0676</t>
  </si>
  <si>
    <t xml:space="preserve">33. § (9)</t>
  </si>
  <si>
    <t xml:space="preserve">(9) Az ideiglenes hozzáférhetetlenné tételre vonatkozó kötelezettség a határozatban megjelölt határidő leteltével megszűnik.</t>
  </si>
  <si>
    <t xml:space="preserve">TV-S0677</t>
  </si>
  <si>
    <t xml:space="preserve">33. § (10)</t>
  </si>
  <si>
    <t xml:space="preserve">(10) Az ideiglenes hozzáférhetetlenné tételt a kiberbiztonsági hatóság annak megszűnése előtt megszünteti, ha</t>
  </si>
  <si>
    <t xml:space="preserve">TV-S0678</t>
  </si>
  <si>
    <t xml:space="preserve">33. § (10) a)</t>
  </si>
  <si>
    <t xml:space="preserve">a) az elrendelés oka megszűnt,</t>
  </si>
  <si>
    <t xml:space="preserve">TV-S0679</t>
  </si>
  <si>
    <t xml:space="preserve">33. § (10) b)</t>
  </si>
  <si>
    <t xml:space="preserve">b) a büntetőügyben eljáró bíróság, ügyészség, Nemzeti Vagyonvisszaszerzési és Vagyonvédelmi Hivatal vagy nyomozó hatóság, illetve az NMHH tájékoztatása alapján az elektronikus adattal kapcsolatban elektronikus adat ideiglenes hozzáférhetetlenné tétele kényszerintézkedés, illetve elektronikus adat végleges hozzáférhetetlenné tétele intézkedés elrendelése vagy végrehajtása van folyamatban, vagy</t>
  </si>
  <si>
    <t xml:space="preserve">TV-S0680</t>
  </si>
  <si>
    <t xml:space="preserve">33. § (10) c)</t>
  </si>
  <si>
    <t xml:space="preserve">c) a rendelkezés elektronikus hírközlési szolgáltatók általi végrehajtása a megadott adattartalommal kétséges lehet.</t>
  </si>
  <si>
    <t xml:space="preserve">TV-S0681</t>
  </si>
  <si>
    <t xml:space="preserve">33. § (11)</t>
  </si>
  <si>
    <t xml:space="preserve">(11) Ha a kiberbiztonsági hatóság az (1) vagy (2) bekezdés alapján elektronikus adat hozzáférhetetlenné tételét rendelte el, és a határozat véglegessé válását követően megállapítja, hogy a határozatban foglalt elektronikus adat közzétételével megvalósult jogellenes tevékenység a jogellenesség megállapítása szempontjából azonos tartalommal más elektronikus adat – így különösen más IP-cím, domain-domain vagy domain-aldomain – hozzáférhetővé tételével vagy közzétételével is megvalósul, akkor ismételt hatósági eljárás és – a (3) bekezdés szerinti – döntéshozatal mellőzésével a hozzáférhetetlenné tételhez szükséges adatok megküldésével elektronikus úton, biztonságos kézbesítési szolgáltatás útján értesíti az NMHH-t (a továbbiakban: egyszerűsített utánkövetés), amely ezen adatokat kizárólag elektronikus úton közli a hozzáférést biztosító elektronikus hírközlési szolgáltatókkal. Az egyszerűsített utánkövetésre tekintettel megküldött, a hozzáférhetetlenné tételhez szükséges adatok szerinti elektronikus adat hozzáférhetetlenné tételét az elektronikus hírközlési szolgáltatók a kapcsolódó, (3) bekezdés szerint hozott határozat végrehajthatósága fennállásáig kötelesek biztosítani.</t>
  </si>
  <si>
    <t xml:space="preserve">TV-S0682</t>
  </si>
  <si>
    <t xml:space="preserve">34. § (1)</t>
  </si>
  <si>
    <t xml:space="preserve">34. § (1) Jelentős kiberfenyegetés elhárítása vagy folyamatban lévő kiberbiztonsági incidenssorozat megszakítása érdekében a nemzeti kiberbiztonsági incidenskezelő központ vezetője azonnali hatállyal elrendelheti az ideiglenes hozzáférhetetlenné tételt a kiberbiztonsági hatóság döntéséig vagy legfeljebb 72 óra időtartamban.</t>
  </si>
  <si>
    <t xml:space="preserve">TV-S0683</t>
  </si>
  <si>
    <t xml:space="preserve">34. § (2)</t>
  </si>
  <si>
    <t xml:space="preserve">(2) Az azonnali hatályú ideiglenes hozzáférhetetlenné tételt a technika állása szerinti lehető legrövidebb idő alatt végre kell hajtani.</t>
  </si>
  <si>
    <t xml:space="preserve">TV-S0684</t>
  </si>
  <si>
    <t xml:space="preserve">35. § (1)</t>
  </si>
  <si>
    <t xml:space="preserve">35. § (1) A kiberbiztonsági hatóság 1 millió forinttól 5 millió forintig terjedő bírsággal sújthatja azt az elektronikus hírközlési szolgáltatót, amely az ezen alcím szerinti kötelezettségének nem tesz eleget. A bírság a kötelezettség teljesítésére megszabott határidő eredménytelen elteleltét követően – újabb határidő megjelölése mellett – ismételten is kiszabható.</t>
  </si>
  <si>
    <t xml:space="preserve">TV-S0685</t>
  </si>
  <si>
    <t xml:space="preserve">35. § (2)</t>
  </si>
  <si>
    <t xml:space="preserve">(2) A kiberbiztonsági hatóságot, az NMHH-t és az elektronikus hírközlési szolgáltatót nem terheli felelősség azért a kárért, amely abból származik, hogy a hozzáférhetetlenné tett elektronikus adat a 33. § (1) és (2) bekezdésében foglaltak mellett olyan egyéb tartalmat is magában foglal, amelynek technikai elválasztására nincs lehetőség, vagy az nem várható el a hozzáférhetetlenné tétel végrehajtása során.</t>
  </si>
  <si>
    <t xml:space="preserve">TV-S0686</t>
  </si>
  <si>
    <t xml:space="preserve">TV-S0687</t>
  </si>
  <si>
    <t xml:space="preserve">36. § (1)</t>
  </si>
  <si>
    <t xml:space="preserve">36. § (1) Az elektronikus adat ideiglenes eltávolítására az érintett elektronikus adatot kezelő, az elektronikus kereskedelmi szolgáltatások, valamint az információs társadalommal összefüggő szolgáltatások egyes kérdéseiről szóló törvényben meghatározott tárhelyszolgáltatót, illetve tárhelyszolgáltatást is végző közvetítő szolgáltatót (a továbbiakban együtt: eltávolításra kötelezett) kell kötelezni. Az eltávolításra kötelezett a határozat vele történő közlését követő 1 munkanapon belül köteles az elektronikus adat ideiglenes eltávolítására.</t>
  </si>
  <si>
    <t xml:space="preserve">TV-S0688</t>
  </si>
  <si>
    <t xml:space="preserve">36. § (2)</t>
  </si>
  <si>
    <t xml:space="preserve">(2) A (1) bekezdésben meghatározott határozatot az elektronikus adat felett rendelkezésre jogosultnak akkor kell kézbesíteni, ha az eljárás addigi adatai alapján személye és elérhetősége ismert.</t>
  </si>
  <si>
    <t xml:space="preserve">TV-S0689</t>
  </si>
  <si>
    <t xml:space="preserve">36. § (3)</t>
  </si>
  <si>
    <t xml:space="preserve">(3) Az ideiglenes eltávolításra a 33. § (1)–(5) és (9)–(11) bekezdése, valamint a 34–35. § megfelelően alkalmazandó.</t>
  </si>
  <si>
    <t xml:space="preserve">TV-S0690</t>
  </si>
  <si>
    <t xml:space="preserve">IV. FEJEZET</t>
  </si>
  <si>
    <t xml:space="preserve">TV-S0691</t>
  </si>
  <si>
    <t xml:space="preserve">A KIBERBIZTONSÁGI TANÚSÍTÁSRA VONATKOZÓ RENDELKEZÉSEK</t>
  </si>
  <si>
    <t xml:space="preserve">TV-S0692</t>
  </si>
  <si>
    <t xml:space="preserve">37. § Az e fejezetben szabályozott kiberbiztonsági tanúsításra, valamint az (EU) 2019/881 európai parlamenti és tanácsi rendelet szerinti nemzeti kiberbiztonsági tanúsító hatóság (a továbbiakban: tanúsító hatóság) tevékenységére nem kell alkalmazni a megfelelőségértékelő szervezetek tevékenységéről szóló törvény rendelkezéseit.</t>
  </si>
  <si>
    <t xml:space="preserve">TV-S0693</t>
  </si>
  <si>
    <t xml:space="preserve">TV-S0694</t>
  </si>
  <si>
    <t xml:space="preserve">38. § A nemzeti kiberbiztonsági tanúsítási rendszernek a következő biztonsági célokat kell teljesítenie:</t>
  </si>
  <si>
    <t xml:space="preserve">TV-S0695</t>
  </si>
  <si>
    <t xml:space="preserve">38. § a)</t>
  </si>
  <si>
    <t xml:space="preserve">a) a tárolt, továbbított vagy egyéb módon kezelt adatok védelme a véletlen vagy jogosulatlan tárolással, kezeléssel, hozzáféréssel és közléssel szemben az IKT-termék, az IKT-szolgáltatás és az IKT-folyamat teljes életciklusa alatt,</t>
  </si>
  <si>
    <t xml:space="preserve">TV-S0696</t>
  </si>
  <si>
    <t xml:space="preserve">38. § b)</t>
  </si>
  <si>
    <t xml:space="preserve">b) a tárolt, továbbított vagy egyéb módon kezelt adatok védelme a véletlen vagy jogosulatlan megsemmisítéssel, elvesztéssel, megváltoztatással vagy a hozzáférhetetlenséggel szemben az IKT-termék, az IKT-szolgáltatás és az IKT-folyamat teljes életciklusa alatt,</t>
  </si>
  <si>
    <t xml:space="preserve">TV-S0697</t>
  </si>
  <si>
    <t xml:space="preserve">38. § c)</t>
  </si>
  <si>
    <t xml:space="preserve">c) annak biztosítása, hogy a feljogosított személyek, programok vagy gépek kizárólag a hozzáférési jogaik tárgyát képező adatokhoz, szolgáltatásokhoz vagy funkciókhoz férhetnek hozzá,</t>
  </si>
  <si>
    <t xml:space="preserve">TV-S0698</t>
  </si>
  <si>
    <t xml:space="preserve">38. § d)</t>
  </si>
  <si>
    <t xml:space="preserve">d) az ismert függőségek és sebezhetőségek azonosítása és dokumentálása,</t>
  </si>
  <si>
    <t xml:space="preserve">TV-S0699</t>
  </si>
  <si>
    <t xml:space="preserve">38. § e)</t>
  </si>
  <si>
    <t xml:space="preserve">e) annak rögzítése, hogy a feljogosított személy, program vagy gép mely időpontban és mely védendő adatokat, szolgáltatásokat vagy funkciókat vett igénybe, használt vagy egyéb módon kezelt,</t>
  </si>
  <si>
    <t xml:space="preserve">TV-S0700</t>
  </si>
  <si>
    <t xml:space="preserve">38. § f)</t>
  </si>
  <si>
    <t xml:space="preserve">f) annak ellenőrizhetővé tétele, hogy a feljogosított személy, program vagy gép mely időpontban és mely adatokat, szolgáltatásokat vagy funkciókat vett igénybe, használt vagy egyéb módon kezelt,</t>
  </si>
  <si>
    <t xml:space="preserve">TV-S0701</t>
  </si>
  <si>
    <t xml:space="preserve">38. § g)</t>
  </si>
  <si>
    <t xml:space="preserve">g) annak ellenőrzése, hogy az IKT-termékek, az IKT-szolgáltatások és az IKT-folyamatok nem tartalmaznak-e ismert sebezhetőségeket,</t>
  </si>
  <si>
    <t xml:space="preserve">TV-S0702</t>
  </si>
  <si>
    <t xml:space="preserve">38. § h)</t>
  </si>
  <si>
    <t xml:space="preserve">h) fizikai vagy műszaki biztonsági esemény bekövetkeztekor az adatok, a szolgáltatások és a funkciók rendelkezésre állásának, valamint az adatokhoz, a szolgáltatásokhoz és a funkciókhoz való hozzáférésnek a mihamarabbi helyreállítása,</t>
  </si>
  <si>
    <t xml:space="preserve">TV-S0703</t>
  </si>
  <si>
    <t xml:space="preserve">38. § i)</t>
  </si>
  <si>
    <t xml:space="preserve">i) annak biztosítása, hogy az IKT-termékek, az IKT-szolgáltatások és az IKT-folyamatok kockázatarányosan, alapértelmezetten és tervezetten biztonságosak legyenek,</t>
  </si>
  <si>
    <t xml:space="preserve">TV-S0704</t>
  </si>
  <si>
    <t xml:space="preserve">38. § j)</t>
  </si>
  <si>
    <t xml:space="preserve">j) annak biztosítása, hogy az IKT-termékek, az IKT-szolgáltatások és az IKT-folyamatok szoftvere és hardvere naprakész legyen, és</t>
  </si>
  <si>
    <t xml:space="preserve">TV-S0705</t>
  </si>
  <si>
    <t xml:space="preserve">38. § k)</t>
  </si>
  <si>
    <t xml:space="preserve">k) annak biztosítása, hogy az IKT-termékek, az IKT-szolgáltatások és az IKT-folyamatok vonatkozásában nem állnak fenn közismert sebezhetőségek, továbbá rendelkezésre állnak a biztonságos frissítésükre szolgáló mechanizmusok.</t>
  </si>
  <si>
    <t xml:space="preserve">TV-S0706</t>
  </si>
  <si>
    <t xml:space="preserve">39. § (1)</t>
  </si>
  <si>
    <t xml:space="preserve">39. § (1) A nemzeti kiberbiztonsági tanúsítási rendszernek tartalmaznia kell:</t>
  </si>
  <si>
    <t xml:space="preserve">TV-S0707</t>
  </si>
  <si>
    <t xml:space="preserve">39. § (1) a)</t>
  </si>
  <si>
    <t xml:space="preserve">a) a tanúsítási rendszer tárgyát és hatályát, az IKT-termékek, IKT-szolgáltatások és IKT-folyamatok típusát vagy kategóriáit,</t>
  </si>
  <si>
    <t xml:space="preserve">TV-S0708</t>
  </si>
  <si>
    <t xml:space="preserve">39. § (1) b)</t>
  </si>
  <si>
    <t xml:space="preserve">b) a tanúsítási rendszer céljának és annak az egyértelmű meghatározását, hogy a kiválasztott szabványok, értékelési módszerek és megbízhatósági szintek milyen módon felelnek meg a rendszer célfelhasználói igényeinek,</t>
  </si>
  <si>
    <t xml:space="preserve">TV-S0709</t>
  </si>
  <si>
    <t xml:space="preserve">39. § (1) c)</t>
  </si>
  <si>
    <t xml:space="preserve">c) hivatkozást az értékelésben alkalmazott nemzetközi, európai vagy nemzeti szabványokra, vagy ha nem állnak rendelkezésre ilyen szabványok vagy azok nem megfelelőek, az 1025/2012/EU rendelet II. mellékletében meghatározott követelményeket teljesítő műszaki előírásokra, vagy ha ilyen előírások nem állnak rendelkezésre, az európai kiberbiztonsági tanúsítási rendszerben meghatározott műszaki előírásra vagy egyéb kiberbiztonsági követelményekre való hivatkozást,</t>
  </si>
  <si>
    <t xml:space="preserve">TV-S0710</t>
  </si>
  <si>
    <t xml:space="preserve">39. § (1) d)</t>
  </si>
  <si>
    <t xml:space="preserve">d) a megbízhatósági szintet vagy szinteket,</t>
  </si>
  <si>
    <t xml:space="preserve">TV-S0711</t>
  </si>
  <si>
    <t xml:space="preserve">39. § (1) e)</t>
  </si>
  <si>
    <t xml:space="preserve">e) a megfelelőségi önértékelésre vonatkozó kizáró vagy megengedő rendelkezést,</t>
  </si>
  <si>
    <t xml:space="preserve">TV-S0712</t>
  </si>
  <si>
    <t xml:space="preserve">39. § (1) f)</t>
  </si>
  <si>
    <t xml:space="preserve">f) a megfelelőségértékelést végző személyekre, szervezetekre alkalmazandó kiegészítő követelményeket,</t>
  </si>
  <si>
    <t xml:space="preserve">TV-S0713</t>
  </si>
  <si>
    <t xml:space="preserve">39. § (1) g)</t>
  </si>
  <si>
    <t xml:space="preserve">g) az alkalmazandó konkrét értékelési kritériumokat és módszereket, ideértve az értékelés típusait is,</t>
  </si>
  <si>
    <t xml:space="preserve">TV-S0714</t>
  </si>
  <si>
    <t xml:space="preserve">39. § (1) h)</t>
  </si>
  <si>
    <t xml:space="preserve">h) a jelölések vagy címkék használati feltételeit,</t>
  </si>
  <si>
    <t xml:space="preserve">TV-S0715</t>
  </si>
  <si>
    <t xml:space="preserve">39. § (1) i)</t>
  </si>
  <si>
    <t xml:space="preserve">i) a kiadandó nemzeti kiberbiztonsági tanúsítvány vagy megfelelőségi nyilatkozat tartalmát és formátumát, és</t>
  </si>
  <si>
    <t xml:space="preserve">TV-S0716</t>
  </si>
  <si>
    <t xml:space="preserve">39. § (1) j)</t>
  </si>
  <si>
    <t xml:space="preserve">j) a rendszer alapján kibocsátott nemzeti kiberbiztonsági tanúsítványok kibocsátására, érvényességi idejére, fenntartására, meghosszabbítására, megújítására, valamint a hatályának bővítésére vagy szűkítésére vonatkozó feltételeket.</t>
  </si>
  <si>
    <t xml:space="preserve">TV-S0717</t>
  </si>
  <si>
    <t xml:space="preserve">39. § (2)</t>
  </si>
  <si>
    <t xml:space="preserve">(2) Ha a nemzeti kiberbiztonsági tanúsítási rendszer több megbízhatósági szintre is érvényes, akkor a követelményeknek tartalmazniuk kell a különböző megbízhatósági szintekre vonatkozó elvárások pontos megkülönböztetését.</t>
  </si>
  <si>
    <t xml:space="preserve">TV-S0718</t>
  </si>
  <si>
    <t xml:space="preserve">39. § (3)</t>
  </si>
  <si>
    <t xml:space="preserve">(3) A nemzeti kiberbiztonsági tanúsítási rendszerben meg kell határozni</t>
  </si>
  <si>
    <t xml:space="preserve">TV-S0719</t>
  </si>
  <si>
    <t xml:space="preserve">39. § (3) a)</t>
  </si>
  <si>
    <t xml:space="preserve">a) az egyes követelményekhez vagy követelmény csoportokhoz tartozó értékelési eljárásokat,</t>
  </si>
  <si>
    <t xml:space="preserve">TV-S0720</t>
  </si>
  <si>
    <t xml:space="preserve">39. § (3) b)</t>
  </si>
  <si>
    <t xml:space="preserve">b) azokat a kritikus védelmi funkciókat, amelyek esetében végre kell hajtani a tevékenység utólagos nyomon követésére is alkalmas belső informatikai biztonsági vagy távoli sérülékenységvizsgálatot vagy behatolásvizsgálatot, kriptográfiai értékeléseket, biztonsági forráskódelemzéseket, valamint</t>
  </si>
  <si>
    <t xml:space="preserve">TV-S0721</t>
  </si>
  <si>
    <t xml:space="preserve">39. § (3) c)</t>
  </si>
  <si>
    <t xml:space="preserve">c) az értékelési eredmények dokumentálására vonatkozó követelményeket.</t>
  </si>
  <si>
    <t xml:space="preserve">TV-S0722</t>
  </si>
  <si>
    <t xml:space="preserve">TV-S0723</t>
  </si>
  <si>
    <t xml:space="preserve">40. § (1)</t>
  </si>
  <si>
    <t xml:space="preserve">40. § (1) A nemzeti kiberbiztonsági tanúsítási rendszerek az IKT-termékekre, az IKT-szolgáltatásokra és az IKT-folyamatokra az „alap”, a „jelentős” és a „magas” megbízhatósági szintek közül egy vagy több szintet határozhatnak meg.</t>
  </si>
  <si>
    <t xml:space="preserve">TV-S0724</t>
  </si>
  <si>
    <t xml:space="preserve">40. § (2)</t>
  </si>
  <si>
    <t xml:space="preserve">(2) A megbízhatósági szint arra vonatkozóan szolgál biztosítékkal, hogy az adott IKT-termékek, IKT-szolgáltatások vagy IKT-folyamatok teljesítik a vonatkozó biztonsági követelményeket, biztonsági funkciókat és olyan szintű értékelésen estek át, amely</t>
  </si>
  <si>
    <t xml:space="preserve">TV-S0725</t>
  </si>
  <si>
    <t xml:space="preserve">40. § (2) a)</t>
  </si>
  <si>
    <t xml:space="preserve">a) „alap” megbízhatósági szinten a kiberbiztonsági incidensekkel és támadásokkal kapcsolatos alapvető, ismert kockázatok,</t>
  </si>
  <si>
    <t xml:space="preserve">TV-S0726</t>
  </si>
  <si>
    <t xml:space="preserve">40. § (2) b)</t>
  </si>
  <si>
    <t xml:space="preserve">b) „jelentős” megbízhatósági szinten az ismert kiberbiztonsági kockázatok, valamint a korlátozott szakértelemmel és erőforrásokkal rendelkező elkövetők által végrehajtott kiberbiztonsági incidensek és kiberbiztonsági támadások kockázatának,</t>
  </si>
  <si>
    <t xml:space="preserve">TV-S0727</t>
  </si>
  <si>
    <t xml:space="preserve">40. § (2) c)</t>
  </si>
  <si>
    <t xml:space="preserve">c) „magas” megbízhatósági szinten a jelentős szakértelemmel és erőforrásokkal rendelkező elkövetők által, a tudomány legutolsó állása szerinti technológiával végrehajtott kibertámadások kockázatának</t>
  </si>
  <si>
    <t xml:space="preserve">TV-S0728</t>
  </si>
  <si>
    <t xml:space="preserve">minimalizálására törekszik.</t>
  </si>
  <si>
    <t xml:space="preserve">TV-S0729</t>
  </si>
  <si>
    <t xml:space="preserve">40. § (3)</t>
  </si>
  <si>
    <t xml:space="preserve">(3) A megbízhatósági szintnek a kiberbiztonsági incidensek valószínűsége és hatása szempontjából arányban kell állnia az IKT-termék, az IKT-szolgáltatás vagy az IKT-folyamat rendeltetés szerinti használatához kapcsolódó kockázat szintjével.</t>
  </si>
  <si>
    <t xml:space="preserve">TV-S0730</t>
  </si>
  <si>
    <t xml:space="preserve">40. § (4)</t>
  </si>
  <si>
    <t xml:space="preserve">(4) Az elvégzendő értékelési tevékenységeknek legalább a következőket kell magukban foglalniuk:</t>
  </si>
  <si>
    <t xml:space="preserve">TV-S0731</t>
  </si>
  <si>
    <t xml:space="preserve">40. § (4) a)</t>
  </si>
  <si>
    <t xml:space="preserve">a) „alap” megbízhatósági szint esetén a műszaki dokumentáció áttekintését az adott tanúsítási rendszer elvárásainak teljesítése szempontjából,</t>
  </si>
  <si>
    <t xml:space="preserve">TV-S0732</t>
  </si>
  <si>
    <t xml:space="preserve">40. § (4) b)</t>
  </si>
  <si>
    <t xml:space="preserve">b) „jelentős” megbízhatósági szint esetén</t>
  </si>
  <si>
    <t xml:space="preserve">TV-S0733</t>
  </si>
  <si>
    <t xml:space="preserve">40. § (4) b) ba)</t>
  </si>
  <si>
    <t xml:space="preserve">ba) a műszaki dokumentáció áttekintését az adott tanúsítási rendszer elvárásainak teljesítése szempontjából,</t>
  </si>
  <si>
    <t xml:space="preserve">TV-S0734</t>
  </si>
  <si>
    <t xml:space="preserve">40. § (4) b) bb)</t>
  </si>
  <si>
    <t xml:space="preserve">bb) a közismert sebezhetőségek hiánya megállapításának felülvizsgálatát, és</t>
  </si>
  <si>
    <t xml:space="preserve">TV-S0735</t>
  </si>
  <si>
    <t xml:space="preserve">40. § (4) b) bc)</t>
  </si>
  <si>
    <t xml:space="preserve">bc) az annak megállapítására szolgáló tesztelést, hogy az IKT-termék, az IKT-szolgáltatás vagy az IKT-folyamat megfelelően működteti-e a szükséges biztonsági funkciókat,</t>
  </si>
  <si>
    <t xml:space="preserve">TV-S0736</t>
  </si>
  <si>
    <t xml:space="preserve">40. § (4) c)</t>
  </si>
  <si>
    <t xml:space="preserve">c) „magas” megbízhatósági szint esetén</t>
  </si>
  <si>
    <t xml:space="preserve">TV-S0737</t>
  </si>
  <si>
    <t xml:space="preserve">40. § (4) c) ca)</t>
  </si>
  <si>
    <t xml:space="preserve">ca) a műszaki dokumentáció áttekintését az adott tanúsítási rendszer elvárásainak teljesítése szempontjából,</t>
  </si>
  <si>
    <t xml:space="preserve">TV-S0738</t>
  </si>
  <si>
    <t xml:space="preserve">40. § (4) c) cb)</t>
  </si>
  <si>
    <t xml:space="preserve">cb) a közismert sebezhetőségek hiánya megállapításának felülvizsgálatát,</t>
  </si>
  <si>
    <t xml:space="preserve">TV-S0739</t>
  </si>
  <si>
    <t xml:space="preserve">40. § (4) c) cc)</t>
  </si>
  <si>
    <t xml:space="preserve">cc) az annak megállapítására szolgáló tesztelést, hogy az IKT-termék, az IKT-szolgáltatás vagy az IKT-folyamat megfelelően, a legfejlettebb technika szerint működteti-e a szükséges biztonsági funkciókat, valamint</t>
  </si>
  <si>
    <t xml:space="preserve">TV-S0740</t>
  </si>
  <si>
    <t xml:space="preserve">40. § (4) c) cd)</t>
  </si>
  <si>
    <t xml:space="preserve">cd) behatolásvizsgálatok révén annak értékelését, hogy az mennyire ellenálló a jól képzett elkövetők által végrehajtott támadásokkal szemben.</t>
  </si>
  <si>
    <t xml:space="preserve">TV-S0741</t>
  </si>
  <si>
    <t xml:space="preserve">TV-S0742</t>
  </si>
  <si>
    <t xml:space="preserve">41. § (1)</t>
  </si>
  <si>
    <t xml:space="preserve">41. § (1) A nemzeti kiberbiztonsági tanúsítványban és a nemzeti megfelelőségi nyilatkozatban meg kell jelölni:</t>
  </si>
  <si>
    <t xml:space="preserve">TV-S0743</t>
  </si>
  <si>
    <t xml:space="preserve">41. § (1) a)</t>
  </si>
  <si>
    <t xml:space="preserve">a) azt a nemzeti kiberbiztonsági tanúsítási rendszert, amely alapján a tanúsítvány vagy a nyilatkozat kiállításra került,</t>
  </si>
  <si>
    <t xml:space="preserve">TV-S0744</t>
  </si>
  <si>
    <t xml:space="preserve">41. § (1) b)</t>
  </si>
  <si>
    <t xml:space="preserve">b) a megbízhatósági szintet, valamint</t>
  </si>
  <si>
    <t xml:space="preserve">TV-S0745</t>
  </si>
  <si>
    <t xml:space="preserve">41. § (1) c)</t>
  </si>
  <si>
    <t xml:space="preserve">c) a vonatkozó műszaki előírásokat, szabványokat és eljárásokat.</t>
  </si>
  <si>
    <t xml:space="preserve">TV-S0746</t>
  </si>
  <si>
    <t xml:space="preserve">41. § (2)</t>
  </si>
  <si>
    <t xml:space="preserve">(2) A nemzeti kiberbiztonsági tanúsítványban és a nemzeti megfelelőségi nyilatkozatban fel kell tüntetni:</t>
  </si>
  <si>
    <t xml:space="preserve">TV-S0747</t>
  </si>
  <si>
    <t xml:space="preserve">41. § (2) a)</t>
  </si>
  <si>
    <t xml:space="preserve">a) a kiállító szervezet nevét, címét,</t>
  </si>
  <si>
    <t xml:space="preserve">TV-S0748</t>
  </si>
  <si>
    <t xml:space="preserve">41. § (2) b)</t>
  </si>
  <si>
    <t xml:space="preserve">b) a kiállítás dátumát,</t>
  </si>
  <si>
    <t xml:space="preserve">TV-S0749</t>
  </si>
  <si>
    <t xml:space="preserve">41. § (2) c)</t>
  </si>
  <si>
    <t xml:space="preserve">c) a gyártó nevét és címét,</t>
  </si>
  <si>
    <t xml:space="preserve">TV-S0750</t>
  </si>
  <si>
    <t xml:space="preserve">41. § (2) d)</t>
  </si>
  <si>
    <t xml:space="preserve">d) a megfelelőségértékelés megbízóját,</t>
  </si>
  <si>
    <t xml:space="preserve">TV-S0751</t>
  </si>
  <si>
    <t xml:space="preserve">41. § (2) e)</t>
  </si>
  <si>
    <t xml:space="preserve">e) az alkalmazási területeket, vagy ha az adott alkalmazási területeken a megfelelőség feltételekkel érvényes, ezen feltételeket,</t>
  </si>
  <si>
    <t xml:space="preserve">TV-S0752</t>
  </si>
  <si>
    <t xml:space="preserve">41. § (2) f)</t>
  </si>
  <si>
    <t xml:space="preserve">f) az érvényességi időt,</t>
  </si>
  <si>
    <t xml:space="preserve">TV-S0753</t>
  </si>
  <si>
    <t xml:space="preserve">41. § (2) g)</t>
  </si>
  <si>
    <t xml:space="preserve">g) a tanúsítás tárgyát képező IKT-termék, IKT-szolgáltatás és IKT-folyamat azonosítását, ha van, annak verziószámát, valamint</t>
  </si>
  <si>
    <t xml:space="preserve">TV-S0754</t>
  </si>
  <si>
    <t xml:space="preserve">41. § (2) h)</t>
  </si>
  <si>
    <t xml:space="preserve">h) a kiállító aláírását.</t>
  </si>
  <si>
    <t xml:space="preserve">TV-S0755</t>
  </si>
  <si>
    <t xml:space="preserve">41. § (3)</t>
  </si>
  <si>
    <t xml:space="preserve">(3) A tanúsított IKT-termék, IKT-szolgáltatás vagy IKT-folyamat gyártója vagy az olyan IKT-termék, IKT-szolgáltatás vagy IKT-folyamat gyártója, amelynek tekintetében megfelelőségi nyilatkozatot állítottak ki, köteles az IKT-termék, IKT-szolgáltatás vagy IKT-folyamat biztonságát érintő sebezhetőségről vagy rendellenességről haladéktalanul tájékoztatni a tanúsító hatóságot.</t>
  </si>
  <si>
    <t xml:space="preserve">TV-S0756</t>
  </si>
  <si>
    <t xml:space="preserve">42. § (1)</t>
  </si>
  <si>
    <t xml:space="preserve">42. § (1) Azon az IKT-terméken, IKT-szolgáltatáson vagy IKT-folyamatban, amely tanúsított, vagy amelynek tekintetében megfelelőségi nyilatkozatot állítottak ki, – az SZTFH elnökének vagy a 45. § (1) bekezdés b) pontja szerinti esetben a Kormány rendeletében meghatározott módon és formában – megfelelőségi jelölést kell elhelyezni.</t>
  </si>
  <si>
    <t xml:space="preserve">TV-S0757</t>
  </si>
  <si>
    <t xml:space="preserve">42. § (2)</t>
  </si>
  <si>
    <t xml:space="preserve">(2) Tilos az (1) bekezdés szerinti megfelelőségi jelölés jogosulatlan elhelyezése, valamint olyan jelölés elhelyezése, amely hasonlít a megfelelőségi jelölés formájára, vagy azt a látszatot kelti, hogy az IKT-termék, az IKT-szolgáltatás vagy az IKT-folyamat tanúsított, vagy annak vonatkozásában megfelelőségi nyilatkozatot állítottak ki, és így harmadik felet megtéveszthet.</t>
  </si>
  <si>
    <t xml:space="preserve">TV-S0758</t>
  </si>
  <si>
    <t xml:space="preserve">TV-S0759</t>
  </si>
  <si>
    <t xml:space="preserve">43. § (1)</t>
  </si>
  <si>
    <t xml:space="preserve">43. § (1) Megfelelőségi önértékelésre abban az esetben kerülhet sor, ha azt a nemzeti kiberbiztonsági tanúsítási rendszer az „alap” megbízhatósági szintnek megfelelő, alacsony kockázatot jelentő IKT-termékek, IKT-szolgáltatások és IKT-folyamatok esetében lehetővé teszi.</t>
  </si>
  <si>
    <t xml:space="preserve">TV-S0760</t>
  </si>
  <si>
    <t xml:space="preserve">43. § (2)</t>
  </si>
  <si>
    <t xml:space="preserve">(2) A gyártó nemzeti megfelelőségi nyilatkozatot állít ki arról, hogy megtörtént annak vizsgálata, hogy a nemzeti kiberbiztonsági tanúsítási rendszer követelményei teljesülnek. A vizsgálatnak tartalmaznia kell a nemzeti kiberbiztonsági tanúsítási rendszer követelményei teljesülésének a tanúsítási rendszerben meghatározott módszertan szerinti értékelését.</t>
  </si>
  <si>
    <t xml:space="preserve">TV-S0761</t>
  </si>
  <si>
    <t xml:space="preserve">43. § (3)</t>
  </si>
  <si>
    <t xml:space="preserve">(3) A megfelelőségi önértékelést végző gyártó a (2) bekezdés szerinti megfelelőségi nyilatkozat kiállítását követő 15 napon belül, nyilvántartásba vétel céljából – elektronikusan kereshető formában is – megküldi a tanúsító hatóság részére a megfelelőségi nyilatkozat másolati példányát, a műszaki dokumentációt, a nemzeti kiberbiztonsági tanúsítási rendszerben meghatározott értékelési módszer alapján elkészített értékelési jelentést, valamint a megjelölt tanúsítási rendszernek való megfeleléssel kapcsolatos összes egyéb lényeges értékelési információt.</t>
  </si>
  <si>
    <t xml:space="preserve">TV-S0762</t>
  </si>
  <si>
    <t xml:space="preserve">44. § (1)</t>
  </si>
  <si>
    <t xml:space="preserve">44. § (1) Harmadik fél által végzett megfelelőségértékelési tevékenységet csak olyan szervezet végezhet,</t>
  </si>
  <si>
    <t xml:space="preserve">TV-S0763</t>
  </si>
  <si>
    <t xml:space="preserve">44. § (1) a)</t>
  </si>
  <si>
    <t xml:space="preserve">a) amelyet a vonatkozó nemzeti vagy európai kiberbiztonsági tanúsítási rendszerben meghatározott követelményekre figyelemmel a nemzeti akkreditálásról szóló törvény szerint kijelölt akkreditáló szerv akkreditált vagy külföldi akkreditált státusz esetén e státuszát elismerte,</t>
  </si>
  <si>
    <t xml:space="preserve">TV-S0764</t>
  </si>
  <si>
    <t xml:space="preserve">44. § (1) b)</t>
  </si>
  <si>
    <t xml:space="preserve">b) amely – az európai tanúsítási rendszer kivételével – az SZTFH elnökének – a 45. § (1) bekezdés b) pontja szerinti tanúsító hatóság tekintetében a Kormány – rendeletében az egyes megbízhatósági szintekre vonatkozóan meghatározott követelményeknek megfelel, és</t>
  </si>
  <si>
    <t xml:space="preserve">TV-S0765</t>
  </si>
  <si>
    <t xml:space="preserve">44. § (1) c)</t>
  </si>
  <si>
    <t xml:space="preserve">c) amelyet a tanúsító hatóság nyilvántartásba vett.</t>
  </si>
  <si>
    <t xml:space="preserve">TV-S0766</t>
  </si>
  <si>
    <t xml:space="preserve">44. § (2)</t>
  </si>
  <si>
    <t xml:space="preserve">(2) A megfelelőségi önértékelésre, a tanúsítási eljárásra, európai tanúsítási rendszer esetében az (1) bekezdés c) pontja szerinti nyilvántartásba vétel feltételeire, valamint a megfelelőségértékelő szervezetek kötelezettségeire és tevékenységére vonatkozó részletes szabályokat</t>
  </si>
  <si>
    <t xml:space="preserve">TV-S0767</t>
  </si>
  <si>
    <t xml:space="preserve">44. § (2) a)</t>
  </si>
  <si>
    <t xml:space="preserve">a) a hadiipari kutatás, fejlesztés, gyártás és kereskedelem kivételével az SZTFH elnöke,</t>
  </si>
  <si>
    <t xml:space="preserve">TV-S0768</t>
  </si>
  <si>
    <t xml:space="preserve">44. § (2) b)</t>
  </si>
  <si>
    <t xml:space="preserve">b) a hadiipari kutatás, fejlesztés, gyártás és kereskedelem vonatkozásban a Kormány</t>
  </si>
  <si>
    <t xml:space="preserve">TV-S0769</t>
  </si>
  <si>
    <t xml:space="preserve">rendeletben határozza meg.</t>
  </si>
  <si>
    <t xml:space="preserve">TV-S0770</t>
  </si>
  <si>
    <t xml:space="preserve">44. § (3)</t>
  </si>
  <si>
    <t xml:space="preserve">(3) A szolgáltatási tevékenység megkezdésének és folytatásának általános szabályairól szóló törvénytől eltérően, ha az (1) bekezdés c) pontja szerinti nyilvántartásba történő felvételről a tanúsító hatóság a rá irányadó ügyintézési határidőn belül nem döntött, a kérelmezőt nem illeti meg a kérelmében megjelölt tevékenység megkezdésének, illetve folytatásának joga, és az általános közigazgatási rendtartásról szóló törvénynek a hatóság mulasztására vonatkozó általános szabályait kell alkalmazni.</t>
  </si>
  <si>
    <t xml:space="preserve">TV-S0771</t>
  </si>
  <si>
    <t xml:space="preserve">TV-S0772</t>
  </si>
  <si>
    <t xml:space="preserve">45. § (1)</t>
  </si>
  <si>
    <t xml:space="preserve">45. § (1) A tanúsító hatóság feladatait</t>
  </si>
  <si>
    <t xml:space="preserve">TV-S0773</t>
  </si>
  <si>
    <t xml:space="preserve">45. § (1) a)</t>
  </si>
  <si>
    <t xml:space="preserve">TV-S0774</t>
  </si>
  <si>
    <t xml:space="preserve">45. § (1) b)</t>
  </si>
  <si>
    <t xml:space="preserve">b) az a) ponttól eltérően a hadiipari kutatással, fejlesztéssel, gyártással és kereskedelemmel összefüggő kiberbiztonsági tanúsító hatósági feladatok tekintetében a Kormány által kijelölt hatóság</t>
  </si>
  <si>
    <t xml:space="preserve">TV-S0775</t>
  </si>
  <si>
    <t xml:space="preserve">TV-S0776</t>
  </si>
  <si>
    <t xml:space="preserve">45. § (2)</t>
  </si>
  <si>
    <t xml:space="preserve">(2) A hadiipari kutatás, fejlesztés, gyártás és kereskedelem kivételével a nemzeti kiberbiztonsági tanúsítási rendszereket az SZTFH elnöke rendeletben határozza meg. A hadiipari kutatás, fejlesztés, gyártás és kereskedelem tekintetében a nemzeti kiberbiztonsági tanúsítási rendszerekre figyelemmel a tanúsítási rendszereket a Kormány rendeletben határozza meg.</t>
  </si>
  <si>
    <t xml:space="preserve">TV-S0777</t>
  </si>
  <si>
    <t xml:space="preserve">46. § (1)</t>
  </si>
  <si>
    <t xml:space="preserve">46. § (1) A tanúsító hatóság az európai kiberbiztonsági tanúsítási rendszerekkel kapcsolatosan</t>
  </si>
  <si>
    <t xml:space="preserve">TV-S0778</t>
  </si>
  <si>
    <t xml:space="preserve">46. § (1) a)</t>
  </si>
  <si>
    <t xml:space="preserve">a) nyomon követi az európai kiberbiztonsági tanúsítási rendszerek fejlesztését és figyelemmel kíséri a kapcsolódó szabványosítási folyamatokat,</t>
  </si>
  <si>
    <t xml:space="preserve">TV-S0779</t>
  </si>
  <si>
    <t xml:space="preserve">46. § (1) b)</t>
  </si>
  <si>
    <t xml:space="preserve">b) részt vesz az európai kiberbiztonsági tanúsítási csoport tevékenységében,</t>
  </si>
  <si>
    <t xml:space="preserve">TV-S0780</t>
  </si>
  <si>
    <t xml:space="preserve">46. § (1) c)</t>
  </si>
  <si>
    <t xml:space="preserve">c) információkat gyűjt azokról az ágazatokról és szakterületekről, amelyek nem esnek európai kiberbiztonsági tanúsítási rendszer hatálya alá és amelyek esetében a kiberbiztonság növelése szükséges,</t>
  </si>
  <si>
    <t xml:space="preserve">TV-S0781</t>
  </si>
  <si>
    <t xml:space="preserve">46. § (1) d)</t>
  </si>
  <si>
    <t xml:space="preserve">d) az érdekelt feleknek szükség esetén tájékoztatást, támogatást nyújt,</t>
  </si>
  <si>
    <t xml:space="preserve">TV-S0782</t>
  </si>
  <si>
    <t xml:space="preserve">46. § (1) e)</t>
  </si>
  <si>
    <t xml:space="preserve">e) elvégzi az (EU) 2019/881 európai parlamenti és tanácsi rendelet 57. cikk (4) bekezdése szerinti tájékoztatást.</t>
  </si>
  <si>
    <t xml:space="preserve">TV-S0783</t>
  </si>
  <si>
    <t xml:space="preserve">46. § (2)</t>
  </si>
  <si>
    <t xml:space="preserve">(2) A tanúsító hatóság a nemzeti kiberbiztonsági tanúsítási rendszerek fenntartásával kapcsolatosan</t>
  </si>
  <si>
    <t xml:space="preserve">TV-S0784</t>
  </si>
  <si>
    <t xml:space="preserve">46. § (2) a)</t>
  </si>
  <si>
    <t xml:space="preserve">a) legalább háromévente, az aktuális biztonsági kockázatokra figyelemmel értékeli a hatályos nemzeti kiberbiztonsági tanúsítási rendszereket,</t>
  </si>
  <si>
    <t xml:space="preserve">TV-S0785</t>
  </si>
  <si>
    <t xml:space="preserve">46. § (2) b)</t>
  </si>
  <si>
    <t xml:space="preserve">b) felülvizsgálatot megalapozó ok felmerülését követően haladéktalanul intézkedik a nemzeti kiberbiztonsági tanúsítási rendszer felülvizsgálata érdekében,</t>
  </si>
  <si>
    <t xml:space="preserve">TV-S0786</t>
  </si>
  <si>
    <t xml:space="preserve">46. § (2) c)</t>
  </si>
  <si>
    <t xml:space="preserve">c) európai kiberbiztonsági tanúsítási rendszer kiadása esetén haladéktalanul intézkedik az azonos tárgyú nemzeti kiberbiztonsági tanúsítási rendszer felülvizsgálata, továbbá hatályon kívül helyezése érdekében.</t>
  </si>
  <si>
    <t xml:space="preserve">TV-S0787</t>
  </si>
  <si>
    <t xml:space="preserve">46. § (3)</t>
  </si>
  <si>
    <t xml:space="preserve">(3) Az (1) bekezdés b) és e) pontja szerinti feladatok tekintetében tanúsító hatóságként az SZTFH jár el.</t>
  </si>
  <si>
    <t xml:space="preserve">TV-S0788</t>
  </si>
  <si>
    <t xml:space="preserve">47. § (1)</t>
  </si>
  <si>
    <t xml:space="preserve">47. § (1) A tanúsító hatóság eljárása során a sommás eljárás kizárt.</t>
  </si>
  <si>
    <t xml:space="preserve">TV-S0789</t>
  </si>
  <si>
    <t xml:space="preserve">47. § (2)</t>
  </si>
  <si>
    <t xml:space="preserve">(2) A tanúsító hatóság ügyintézési határideje 120 nap.</t>
  </si>
  <si>
    <t xml:space="preserve">TV-S0790</t>
  </si>
  <si>
    <t xml:space="preserve">47. § (3)</t>
  </si>
  <si>
    <t xml:space="preserve">(3) Európai kiberbiztonsági tanúsítási rendszer esetében a tanúsító hatóság a nemzeti akkreditáló szerv által akkreditált megfelelőségértékelő szervezetet a hatósági nyilvántartásba vételről szóló határozat véglegessé válásától számított 15 napon belül bejelenti az Európai Bizottság részére. A kérelmező szervezet az akkreditált státuszát a nemzeti akkreditáló szerv határozatának csatolásával igazolja.</t>
  </si>
  <si>
    <t xml:space="preserve">TV-S0791</t>
  </si>
  <si>
    <t xml:space="preserve">47. § (4)</t>
  </si>
  <si>
    <t xml:space="preserve">(4) A tanúsító hatóság a megfelelőségértékelő szervezet vonatkozásában engedélyezési eljárást folytat le, ha az IKT-termékre, IKT-szolgáltatásra vagy IKT-folyamatra vonatkozó nemzeti vagy európai kiberbiztonsági tanúsítási rendszer</t>
  </si>
  <si>
    <t xml:space="preserve">TV-S0792</t>
  </si>
  <si>
    <t xml:space="preserve">47. § (4) a)</t>
  </si>
  <si>
    <t xml:space="preserve">a) kiegészítő követelményeket ír elő és ez alapján engedélyezési eljárás lefolytatása válik szükségessé, vagy</t>
  </si>
  <si>
    <t xml:space="preserve">TV-S0793</t>
  </si>
  <si>
    <t xml:space="preserve">47. § (4) b)</t>
  </si>
  <si>
    <t xml:space="preserve">b) „magas” megbízhatósági szintet ír elő a rendszer keretében kiadandó kiberbiztonsági tanúsítványra és a tanúsító hatóság az ilyen tanúsítvány kiállításának feladatát egyes nemzeti vagy európai kiberbiztonsági tanúsítványok vonatkozásában vagy általános jelleggel átruházza a megfelelőségértékelő szervezetre.</t>
  </si>
  <si>
    <t xml:space="preserve">TV-S0794</t>
  </si>
  <si>
    <t xml:space="preserve">47. § (5)</t>
  </si>
  <si>
    <t xml:space="preserve">(5) A (4) bekezdés b) pontja szerinti esetben az engedély megadásának feltétele, hogy a megfelelőségértékelő szervezet az 57. § (1) bekezdés c) pontja szerinti gazdálkodó szervezetnek minősüljön.</t>
  </si>
  <si>
    <t xml:space="preserve">TV-S0795</t>
  </si>
  <si>
    <t xml:space="preserve">47. § (6)</t>
  </si>
  <si>
    <t xml:space="preserve">(6) A (4) bekezdés szerinti engedélyezési eljárásban kiadott engedély hatálya legfeljebb az akkreditált státusz lejártáig terjedhet.</t>
  </si>
  <si>
    <t xml:space="preserve">TV-S0796</t>
  </si>
  <si>
    <t xml:space="preserve">47. § (7)</t>
  </si>
  <si>
    <t xml:space="preserve">(7) Európai kiberbiztonsági tanúsítási rendszer esetében a tanúsító hatóság a (4) bekezdés szerinti engedélyezési eljárás lefolytatása esetén a megfelelőségértékelő szervezetet az engedély megadásáról szóló határozat véglegessé válását követő 15 napon belül bejelenti az Európai Bizottságnak.</t>
  </si>
  <si>
    <t xml:space="preserve">TV-S0797</t>
  </si>
  <si>
    <t xml:space="preserve">47. § (8)</t>
  </si>
  <si>
    <t xml:space="preserve">(8) A tanúsító hatóság kiberbiztonsági tanúsítási felügyeleti feladatai keretében jogosult</t>
  </si>
  <si>
    <t xml:space="preserve">TV-S0798</t>
  </si>
  <si>
    <t xml:space="preserve">47. § (8) a)</t>
  </si>
  <si>
    <t xml:space="preserve">a) felszólítani a megfelelőségértékelő szervezeteket és a megfelelőségi nyilatkozatok kibocsátóit a hatósági feladatellátáshoz szükséges információk, adatok rendelkezésre bocsátására, valamint</t>
  </si>
  <si>
    <t xml:space="preserve">TV-S0799</t>
  </si>
  <si>
    <t xml:space="preserve">47. § (8) b)</t>
  </si>
  <si>
    <t xml:space="preserve">b) a megfelelőségértékelő szervezeteknél és a megfelelőségi nyilatkozatok kibocsátóinál hatósági ellenőrzést végezni.</t>
  </si>
  <si>
    <t xml:space="preserve">TV-S0800</t>
  </si>
  <si>
    <t xml:space="preserve">47. § (9)</t>
  </si>
  <si>
    <t xml:space="preserve">(9) A tanúsító hatóság eljár azzal – a 44. § szerinti követelményeknek nem megfelelő – szervezettel szemben, amely jogosulatlanul végez megfelelőségértékelési tevékenységet.</t>
  </si>
  <si>
    <t xml:space="preserve">TV-S0801</t>
  </si>
  <si>
    <t xml:space="preserve">47. § (10)</t>
  </si>
  <si>
    <t xml:space="preserve">(10) A 45. § (1) bekezdés b) pontja szerinti tanúsító hatóság által lefolytatott eljárásokért igazgatási szolgáltatási díjat kell fizetni. Az igazgatási szolgáltatási díj mértékét és az annak beszedésével, megosztásával, kezelésével, nyilvántartásával és visszatérítésével kapcsolatos részletes szabályokat az e törvény végrehajtására a honvédelemért felelős miniszter által kiadott rendelet határozza meg.</t>
  </si>
  <si>
    <t xml:space="preserve">TV-S0802</t>
  </si>
  <si>
    <t xml:space="preserve">48. § (1)</t>
  </si>
  <si>
    <t xml:space="preserve">48. § (1) A tanúsító hatóság nyilvántartja és kezeli:</t>
  </si>
  <si>
    <t xml:space="preserve">TV-S0803</t>
  </si>
  <si>
    <t xml:space="preserve">48. § (1) 1.</t>
  </si>
  <si>
    <t xml:space="preserve">1. az IKT-termékek, az IKT-szolgáltatások vagy az IKT-folyamatok gyártója által rendelkezésre bocsátott megfelelőségi nyilatkozat adatait,</t>
  </si>
  <si>
    <t xml:space="preserve">TV-S0804</t>
  </si>
  <si>
    <t xml:space="preserve">48. § (1) 2.</t>
  </si>
  <si>
    <t xml:space="preserve">2. a megfelelőségi nyilatkozathoz benyújtott műszaki dokumentációt és az IKT-termékek, IKT-szolgáltatások vagy IKT-folyamatok tanúsítási rendszernek való megfelelésével kapcsolatos információkat,</t>
  </si>
  <si>
    <t xml:space="preserve">TV-S0805</t>
  </si>
  <si>
    <t xml:space="preserve">48. § (1) 3.</t>
  </si>
  <si>
    <t xml:space="preserve">3. a megfelelőségértékelő szervezet és annak kijelölt kapcsolattartója azonosításához szükséges adatokat, ha a megfelelőségértékelő szervezet egyben az (EU) 2019/881 európai parlamenti és tanácsi rendelet 56. cikk (5) bekezdése szerinti közjogi szerv, ennek tényét, valamint az SZTFH elnökének rendeletében meghatározott követelmények teljesülését alátámasztó dokumentumokat,</t>
  </si>
  <si>
    <t xml:space="preserve">TV-S0806</t>
  </si>
  <si>
    <t xml:space="preserve">48. § (1) 4.</t>
  </si>
  <si>
    <t xml:space="preserve">4. a nemzeti akkreditáló szerv által akkreditált megfelelőségértékelő szervezet akkreditált státuszára vonatkozó határozatban foglalt, valamint az akkreditált státusz változására vonatkozó információkat,</t>
  </si>
  <si>
    <t xml:space="preserve">TV-S0807</t>
  </si>
  <si>
    <t xml:space="preserve">48. § (1) 5.</t>
  </si>
  <si>
    <t xml:space="preserve">5. ha a 47. § (4) bekezdése szerinti engedélyezési eljárás lefolytatása szükséges, akkor az azzal kapcsolatos kérelmet, adatokat és dokumentumokat,</t>
  </si>
  <si>
    <t xml:space="preserve">TV-S0808</t>
  </si>
  <si>
    <t xml:space="preserve">48. § (1) 6.</t>
  </si>
  <si>
    <t xml:space="preserve">6. az engedélyezési eljárás során kiadott engedélyre, annak felfüggesztésére, részben vagy egészben történő visszavonására vonatkozó adatokat, valamint annak tényét, hogy az engedély hatályát vesztette,</t>
  </si>
  <si>
    <t xml:space="preserve">TV-S0809</t>
  </si>
  <si>
    <t xml:space="preserve">48. § (1) 7.</t>
  </si>
  <si>
    <t xml:space="preserve">7. ha a tanúsító hatóság a „magas” megbízhatósági szintű kiberbiztonsági tanúsítvány kiállításának jogát megfelelőségértékelő szervezetre átruházta, a delegált jogkör azonosításához szükséges adatokat,</t>
  </si>
  <si>
    <t xml:space="preserve">TV-S0810</t>
  </si>
  <si>
    <t xml:space="preserve">48. § (1) 8.</t>
  </si>
  <si>
    <t xml:space="preserve">8. az Európai Bizottság által a megfelelőségértékelő szervezet nyilvántartásba vételekor adott azonosító számot,</t>
  </si>
  <si>
    <t xml:space="preserve">TV-S0811</t>
  </si>
  <si>
    <t xml:space="preserve">48. § (1) 9.</t>
  </si>
  <si>
    <t xml:space="preserve">9. a megfelelőségértékelő szervezet által igénybe vett közreműködő, valamint kijelölt kapcsolattartója azonosításához szükséges adatokat,</t>
  </si>
  <si>
    <t xml:space="preserve">TV-S0812</t>
  </si>
  <si>
    <t xml:space="preserve">48. § (1) 10.</t>
  </si>
  <si>
    <t xml:space="preserve">10. a megfelelőségértékelő szervezet nyilvántartásba vételének időpontját,</t>
  </si>
  <si>
    <t xml:space="preserve">TV-S0813</t>
  </si>
  <si>
    <t xml:space="preserve">48. § (1) 11.</t>
  </si>
  <si>
    <t xml:space="preserve">11. a megfelelőségértékelő szervezet által kiadott tanúsítvány adatait,</t>
  </si>
  <si>
    <t xml:space="preserve">TV-S0814</t>
  </si>
  <si>
    <t xml:space="preserve">48. § (1) 12.</t>
  </si>
  <si>
    <t xml:space="preserve">12. a gyártó, valamint kijelölt kapcsolattartója azonosításához szükséges adatokat,</t>
  </si>
  <si>
    <t xml:space="preserve">TV-S0815</t>
  </si>
  <si>
    <t xml:space="preserve">48. § (1) 13.</t>
  </si>
  <si>
    <t xml:space="preserve">13. a tanúsítványok kiállításának megtagadásával, hatályának korlátozásával, felfüggesztésével és a visszavonásával kapcsolatos információkat,</t>
  </si>
  <si>
    <t xml:space="preserve">TV-S0816</t>
  </si>
  <si>
    <t xml:space="preserve">48. § (1) 14.</t>
  </si>
  <si>
    <t xml:space="preserve">14. a 41. § (3) bekezdése szerinti sebezhetőséggel vagy rendellenességgel kapcsolatos információt,</t>
  </si>
  <si>
    <t xml:space="preserve">TV-S0817</t>
  </si>
  <si>
    <t xml:space="preserve">48. § (1) 15.</t>
  </si>
  <si>
    <t xml:space="preserve">15. a felügyeleti tevékenység ellátása során tudomására jutott adatokat, dokumentumokat, valamint</t>
  </si>
  <si>
    <t xml:space="preserve">TV-S0818</t>
  </si>
  <si>
    <t xml:space="preserve">48. § (1) 16.</t>
  </si>
  <si>
    <t xml:space="preserve">16. a benyújtott panaszokkal kapcsolatos adatokat, dokumentumokat.</t>
  </si>
  <si>
    <t xml:space="preserve">TV-S0819</t>
  </si>
  <si>
    <t xml:space="preserve">48. § (2)</t>
  </si>
  <si>
    <t xml:space="preserve">(2) Az (1) bekezdés szerinti nyilvántartás az (1) bekezdés 6., 7. és 10. pontja szerinti adatok tekintetében közhiteles hatósági nyilvántartásnak minősül.</t>
  </si>
  <si>
    <t xml:space="preserve">TV-S0820</t>
  </si>
  <si>
    <t xml:space="preserve">48. § (3)</t>
  </si>
  <si>
    <t xml:space="preserve">(3) Az (1) bekezdés szerinti adatok kezelésének célja az IKT-termék, IKT-szolgáltatás vagy IKT-folyamat biztonságával összefüggő információk naprakészen tartása, valamint az azokat érintő sebezhetőséggel vagy rendellenességgel kapcsolatos feladatok, továbbá a tanúsító hatóság ellenőrzési és felügyeleti hatósági tevékenységének ellátása.</t>
  </si>
  <si>
    <t xml:space="preserve">TV-S0821</t>
  </si>
  <si>
    <t xml:space="preserve">48. § (4)</t>
  </si>
  <si>
    <t xml:space="preserve">(4) Az (1) bekezdés szerinti nyilvántartásban szereplő bármely adatot érintően – ha jogszabály eltérően nem rendelkezik – a következő szervezetek részére végezhető adattovábbítás:</t>
  </si>
  <si>
    <t xml:space="preserve">TV-S0822</t>
  </si>
  <si>
    <t xml:space="preserve">48. § (4) a)</t>
  </si>
  <si>
    <t xml:space="preserve">a) az Európai Bizottság részére a bejelentett megfelelőségértékelő szervezetek jegyzékének összeállítása és frissítése,</t>
  </si>
  <si>
    <t xml:space="preserve">TV-S0823</t>
  </si>
  <si>
    <t xml:space="preserve">48. § (4) b)</t>
  </si>
  <si>
    <t xml:space="preserve">b) a nemzeti akkreditálásról szóló törvény szerint kijelölt akkreditáló szerv részére a megfelelőségértékelő szervezetek tevékenységének akkreditációjával és felügyeletével kapcsolatos feladatok ellátása, valamint</t>
  </si>
  <si>
    <t xml:space="preserve">TV-S0824</t>
  </si>
  <si>
    <t xml:space="preserve">48. § (4) c)</t>
  </si>
  <si>
    <t xml:space="preserve">c) a 63. § szerinti kiberbiztonsági incidenskezelő központok részére a 41. § (3) bekezdése szerinti sebezhetőséggel vagy rendellenességgel kapcsolatos tevékenység ellátása</t>
  </si>
  <si>
    <t xml:space="preserve">TV-S0825</t>
  </si>
  <si>
    <t xml:space="preserve">érdekében.</t>
  </si>
  <si>
    <t xml:space="preserve">TV-S0826</t>
  </si>
  <si>
    <t xml:space="preserve">48. § (5)</t>
  </si>
  <si>
    <t xml:space="preserve">(5) A megfelelőségértékelő szervezet és a gyártó az (1) bekezdés szerinti adatokat az adatok rendelkezésre állásától, valamint az adatok változását a változás bekövetkezésétől számított 8 napon belül megküldi a tanúsító hatóság részére a nyilvántartásba vétel érdekében.</t>
  </si>
  <si>
    <t xml:space="preserve">TV-S0827</t>
  </si>
  <si>
    <t xml:space="preserve">49. § (1)</t>
  </si>
  <si>
    <t xml:space="preserve">49. § (1) Ha a tanúsító hatóság tudomására jut vagy az ellenőrzése során megállapítja, hogy a megfelelőségértékelő szervezet vagy a gyártó a vonatkozó európai uniós vagy magyar jogszabályokban foglalt biztonsági követelményeket és a kapcsolódó eljárási szabályokat nem teljesíti vagy nem tartja be, – a figyelmeztetést tartalmazó döntésében határidő tűzésével – felszólítja a megfelelőségértékelő szervezetet vagy a gyártót a vonatkozó európai uniós és magyar jogszabályokban foglalt biztonsági követelmények és a kapcsolódó eljárási szabályok teljesítésére.</t>
  </si>
  <si>
    <t xml:space="preserve">TV-S0828</t>
  </si>
  <si>
    <t xml:space="preserve">49. § (2)</t>
  </si>
  <si>
    <t xml:space="preserve">(2) Ha az (1) bekezdésben meghatározottak ellenére a megfelelőségértékelő szervezet vagy a gyártó a jogszabályban foglalt biztonsági követelményeket és az ehhez kapcsolódó eljárási szabályokat nem teljesíti vagy nem tartja be, a tanúsító hatóság – az eset összes körülményének mérlegelésével a kormányrendeletben meghatározott mértékű – bírságot szabhat ki, amely további nemteljesítés esetén megismételhető.</t>
  </si>
  <si>
    <t xml:space="preserve">TV-S0829</t>
  </si>
  <si>
    <t xml:space="preserve">49. § (3)</t>
  </si>
  <si>
    <t xml:space="preserve">(3) A tanúsító hatóság a jogosulatlan megfelelőségértékelési tevékenységet végző személlyel szemben a Kormány rendeletében meghatározott mértékű közigazgatási bírságot szabhat ki. A Hatóság a bírság összegének megállapításakor a közigazgatási szabályszegések szankcióiról szóló törvényben foglalt szempontokat mérlegeli. Figyelmeztetés közigazgatási szankció alkalmazásának nincs helye.</t>
  </si>
  <si>
    <t xml:space="preserve">TV-S0830</t>
  </si>
  <si>
    <t xml:space="preserve">50. § (1)</t>
  </si>
  <si>
    <t xml:space="preserve">50. § (1) A tanúsító hatóság a feladatellátása során megismert minősített adatot, személyes adatot vagy különleges adatot, valamint az üzleti titoknak, banktitoknak, fizetési titoknak, biztosítási titoknak, értékpapírtitoknak, pénztártitoknak, orvosi titoknak és más hivatás gyakorlásához kötött titoknak minősülő és törvény által védett egyéb adatot kizárólag a feladat ellátásának időtartama alatt, a célhoz kötöttség elvének figyelembevételével kezeli. A tanúsító hatóság a hatósági ellenőrzés eredményeként tett megállapításokat alátámasztó adatokat rögzíti, és az így rögzített adatokat a megfelelőségértékelő szervezet akkreditált státuszának megszűnését követő 10. év utolsó napjáig, vagy a gyártó által kiadott megfelelőségi nyilatkozat hatályosságának megszűnését követő 10. év utolsó napjáig kezeli azzal, hogy ha az ellenőrzéssel érintett IKT-termék, IKT-szolgáltatás vagy IKT-folyamat esetében megfelelőségértékelő szervezet által kiadott tanúsítvány és megfelelőségi önértékelés is rendelkezésre áll, az akkreditált státusz megszűnésének és a megfelelőségi nyilatkozat hatályossága megszűnésének időpontja közül a későbbi időpontot kell figyelembe venni. Ezt követően a tanúsító hatóság az adatokat az elektronikus információs rendszereiből és adathordozóiról törli.</t>
  </si>
  <si>
    <t xml:space="preserve">TV-S0831</t>
  </si>
  <si>
    <t xml:space="preserve">50. § (2)</t>
  </si>
  <si>
    <t xml:space="preserve">(2) A tanúsító hatóság eljárása során keletkezett adatok – ha törvény eltérően nem rendelkezik – nem nyilvánosak.</t>
  </si>
  <si>
    <t xml:space="preserve">TV-S0832</t>
  </si>
  <si>
    <t xml:space="preserve">50. § (3)</t>
  </si>
  <si>
    <t xml:space="preserve">(3) A tanúsító hatóság munkatársait az (1) bekezdés szerint megismert adatok tekintetében – a jogszabályban meghatározott kivételekkel – titoktartási kötelezettség terheli, amely a foglalkoztatásra irányuló jogviszony megszűnését követő 5 évig, minősített adatok tekintetében azok érvényességi idejének végéig, személyes adatok tekintetében pedig időkorlát nélkül fennmarad.</t>
  </si>
  <si>
    <t xml:space="preserve">TV-S0833</t>
  </si>
  <si>
    <t xml:space="preserve">50. § (4)</t>
  </si>
  <si>
    <t xml:space="preserve">(4) A tanúsító hatóság a tanúsító hatósági tevékenységét, a hatósági ellenőrzést, valamint a nyilvántartás vezetésével kapcsolatos feladatainak ellátását az SZTFH elnöke – a 45. § (1) bekezdés b) pontja szerinti tanúsító hatóság tekintetében a Kormány – rendeletében foglaltak szerint végzi.</t>
  </si>
  <si>
    <t xml:space="preserve">TV-S0834</t>
  </si>
  <si>
    <t xml:space="preserve">50. § (5)</t>
  </si>
  <si>
    <t xml:space="preserve">(5) A gyártó a megfelelőségi önértékelés során, valamint a megfelelőségértékelő szervezet a tanúsítási eljárás során az SZTFH elnöke – a 45. § (1) bekezdés b) pontja szerinti tanúsító hatóság tekintetében a Kormány – rendeletében foglaltak szerint jár el.</t>
  </si>
  <si>
    <t xml:space="preserve">TV-S0835</t>
  </si>
  <si>
    <t xml:space="preserve">V. FEJEZET</t>
  </si>
  <si>
    <t xml:space="preserve">TV-S0836</t>
  </si>
  <si>
    <t xml:space="preserve">A POSZT-KVANTUMTITKOSÍTÁS</t>
  </si>
  <si>
    <t xml:space="preserve">TV-S0837</t>
  </si>
  <si>
    <t xml:space="preserve">TV-S0838</t>
  </si>
  <si>
    <t xml:space="preserve">51. § A poszt-kvantumtitkosítás alkalmazására kötelezett szervezet elektronikus információs rendszere teljes életciklusában meg kell valósítani és biztosítani kell</t>
  </si>
  <si>
    <t xml:space="preserve">TV-S0839</t>
  </si>
  <si>
    <t xml:space="preserve">51. § a)</t>
  </si>
  <si>
    <t xml:space="preserve">a) az elektronikus információs rendszerben kezelt adatok és információk bizalmassága, sértetlensége és rendelkezésre állása, valamint</t>
  </si>
  <si>
    <t xml:space="preserve">TV-S0840</t>
  </si>
  <si>
    <t xml:space="preserve">51. § b)</t>
  </si>
  <si>
    <t xml:space="preserve">b) az elektronikus információs rendszer és elemeinek sértetlensége és rendelkezésre állása, a poszt-kvantumtitkosítás alkalmazására kötelezett szervezetek fizikailag elkülönített helyszíneik közötti kormányzati célú hálózaton, továbbá a publikus internet felületen zajló, az elektronikus hírközlési törvény szerinti szolgáltató igénybevételével vagy információs társadalommal összefüggő szolgáltatásaik igénybevétele során a hagyományos kriptográfiai alkalmazáson felüli biztonságot nyújtó poszt-kvantumtitkosítási alkalmazással történő</t>
  </si>
  <si>
    <t xml:space="preserve">TV-S0841</t>
  </si>
  <si>
    <t xml:space="preserve">zárt, teljes körű, folytonos és a kockázatokkal arányos védelmét.</t>
  </si>
  <si>
    <t xml:space="preserve">TV-S0842</t>
  </si>
  <si>
    <t xml:space="preserve">TV-S0843</t>
  </si>
  <si>
    <t xml:space="preserve">52. § A poszt-kvantumtitkosítás alkalmazására kötelezett szervezet a jogszabályban meghatározott feladatainak ellátása körében köteles a fizikailag elkülönített helyszínei közötti kormányzati célú hálózaton, továbbá a publikus internet felületen zajló, az elektronikus hírközlési törvény szerinti szolgáltató igénybevételével vagy egyéb információs társadalommal összefüggő szolgáltatás igénybevétele esetén poszt-kvantumtitkosítás alkalmazást annak kiépítéséhez az alkalmazás nyújtására jogosult, nyilvántartásba vett szervezettől beszerezni, és a kezelésében álló hálózatain a védelmet kialakítani, annak érdekében, hogy az elektronikus úton történő információáramlás a kvantumszámítógép okozta kibertámadás ellen biztosított legyen.</t>
  </si>
  <si>
    <t xml:space="preserve">TV-S0844</t>
  </si>
  <si>
    <t xml:space="preserve">TV-S0845</t>
  </si>
  <si>
    <t xml:space="preserve">53. § (1)</t>
  </si>
  <si>
    <t xml:space="preserve">53. § (1) Kizárólag olyan szervezet nyújthat poszt-kvantumtitkosítás alkalmazást (a továbbiakban: poszt-kvantumtitkosítás alkalmazást nyújtó szervezet) a poszt-kvantumtitkosítás alkalmazására kötelezett szervezet számára, amely</t>
  </si>
  <si>
    <t xml:space="preserve">TV-S0846</t>
  </si>
  <si>
    <t xml:space="preserve">53. § (1) a)</t>
  </si>
  <si>
    <t xml:space="preserve">a) nemzetbiztonsági kockázatot nem jelent és</t>
  </si>
  <si>
    <t xml:space="preserve">TV-S0847</t>
  </si>
  <si>
    <t xml:space="preserve">53. § (1) b)</t>
  </si>
  <si>
    <t xml:space="preserve">b) a (3) bekezdés szerinti követelményeknek megfelel.</t>
  </si>
  <si>
    <t xml:space="preserve">TV-S0848</t>
  </si>
  <si>
    <t xml:space="preserve">53. § (2)</t>
  </si>
  <si>
    <t xml:space="preserve">(2) Az (1) bekezdésben foglaltak alapján poszt-kvantumtitkosítás alkalmazás nyújtására vonatkozó tevékenységet kizárólag olyan szervezet végezhet,</t>
  </si>
  <si>
    <t xml:space="preserve">TV-S0849</t>
  </si>
  <si>
    <t xml:space="preserve">53. § (2) a)</t>
  </si>
  <si>
    <t xml:space="preserve">a) amely a minősített adat védelméről szóló törvényben meghatározott telephely biztonsági tanúsítvánnyal rendelkezik, valamint</t>
  </si>
  <si>
    <t xml:space="preserve">TV-S0850</t>
  </si>
  <si>
    <t xml:space="preserve">53. § (2) b)</t>
  </si>
  <si>
    <t xml:space="preserve">b) amelynek munkavállalója, alvállalkozója a minősített adat védelméről szóló törvényben meghatározott személyi biztonsági tanúsítvánnyal rendelkezik.</t>
  </si>
  <si>
    <t xml:space="preserve">TV-S0851</t>
  </si>
  <si>
    <t xml:space="preserve">53. § (3)</t>
  </si>
  <si>
    <t xml:space="preserve">(3) A poszt-kvantumtitkosítás alkalmazás nyújtására vonatkozó tevékenységet csak olyan szervezet végezhet, amely által használt elektronikus információs rendszer biztosítja a rendszerelemek zártságát, és megakadályozza az informatikai rendszerhez történő jogosulatlan hozzáférést, valamint annak észrevétlen módosítását. A poszt-kvantumtitkosítás alkalmazást nyújtó szervezet elektronikus információs rendszerének meg kell felelnie az e törvény szerinti követelményeknek.</t>
  </si>
  <si>
    <t xml:space="preserve">TV-S0852</t>
  </si>
  <si>
    <t xml:space="preserve">TV-S0853</t>
  </si>
  <si>
    <t xml:space="preserve">54. § (1)</t>
  </si>
  <si>
    <t xml:space="preserve">54. § (1) Az 53. § (3) bekezdésében meghatározott követelményeknek való megfelelést a poszt-kvantumtitkosítás alkalmazást nyújtani kívánó szervezetnek az 56. § (3) bekezdés b) pontja szerinti nyilvántartásban szereplő tanúsító szervezet (a továbbiakban: tanúsító szervezet) által kiadott, az informatikai rendszerre vonatkozó zártsági tanúsítással kell igazolnia.</t>
  </si>
  <si>
    <t xml:space="preserve">TV-S0854</t>
  </si>
  <si>
    <t xml:space="preserve">54. § (2)</t>
  </si>
  <si>
    <t xml:space="preserve">(2) A tanúsító szervezet szakvéleményt bocsát ki a poszt-kvantumtitkosítás alkalmazást nyújtani kívánó szervezetnek arra vonatkozóan, hogy a végpontok közötti alkalmazása kriptográfiai alkalmazáson felüli biztonságot nyújtó poszt-kvantumtitkosításra alkalmas.</t>
  </si>
  <si>
    <t xml:space="preserve">TV-S0855</t>
  </si>
  <si>
    <t xml:space="preserve">54. § (3)</t>
  </si>
  <si>
    <t xml:space="preserve">(3) Ha tanúsító szervezet a tanúsított szervezet informatikai rendszerével kapcsolatosan olyan tényt állapít meg, amely a szervezet folyamatos működését kedvezőtlenül érinti vagy bűncselekmény elkövetésére, jogszabály megsértésére vagy ezek veszélyére utaló körülményeket észlel, haladéktalanul értesíti az SZTFH-t.</t>
  </si>
  <si>
    <t xml:space="preserve">TV-S0856</t>
  </si>
  <si>
    <t xml:space="preserve">TV-S0857</t>
  </si>
  <si>
    <t xml:space="preserve">55. § (1)</t>
  </si>
  <si>
    <t xml:space="preserve">55. § (1) Tanúsító szervezet kizárólag olyan szervezet lehet, amely nemzetbiztonsági kockázatot nem jelent, és megfelel az 53. § (2) bekezdése szerinti követelményeknek.</t>
  </si>
  <si>
    <t xml:space="preserve">TV-S0858</t>
  </si>
  <si>
    <t xml:space="preserve">55. § (2)</t>
  </si>
  <si>
    <t xml:space="preserve">(2) A tanúsító szervezet a poszt-kvantumtitkosítás alkalmazást nyújtani kívánó szervezet, vagy a tanúsított szervezet kezelésében lévő, a tanúsítás lefolytatásához szükséges adatokat – ideértve a megismert minősített adatot, személyes adatot vagy különleges adatot, üzleti titkot, banktitkot, fizetési titkot, biztosítási titkot, értékpapírtitkot, pénztártitkot, más hivatás gyakorlásához kötött titkot – kizárólag a tanúsítással igazolandó követelmények teljesülésének vizsgálata céljából, a tanúsítási eljárás lefolytatásához szükséges mértékben, a tanúsítási eljárás befejezéséig jogosult kezelni, azokat harmadik személy részére nem továbbíthatja.</t>
  </si>
  <si>
    <t xml:space="preserve">TV-S0859</t>
  </si>
  <si>
    <t xml:space="preserve">55. § (3)</t>
  </si>
  <si>
    <t xml:space="preserve">(3) A tanúsító szervezet köteles szabályzatban rögzíteni azon munkaköröket, amelyeket betöltő személyek a tanúsítási eljárás során az üzleti titokhoz hozzáférhetnek, annak tartalmát megismerhetik. Az eljárásban részt vevő munkatársakat a tanúsítási eljárás során tudomásukra jutott üzleti titok tekintetében titoktartási kötelezettség terheli a poszt-kvantumtitkosítás alkalmazást tanúsító szervezetnél fennálló jogviszonyuk megszűnését követően is.</t>
  </si>
  <si>
    <t xml:space="preserve">TV-S0860</t>
  </si>
  <si>
    <t xml:space="preserve">TV-S0861</t>
  </si>
  <si>
    <t xml:space="preserve">56. § (1)</t>
  </si>
  <si>
    <t xml:space="preserve">56. § (1) Az SZTFH a felügyeleti jogkörében a tanúsító szervezet, illetve a poszt-kvantumtitkosítás alkalmazás nyújtására jogosult szervezetek tekintetében</t>
  </si>
  <si>
    <t xml:space="preserve">TV-S0862</t>
  </si>
  <si>
    <t xml:space="preserve">56. § (1) a)</t>
  </si>
  <si>
    <t xml:space="preserve">a) hatósági ellenőrzést végezhet,</t>
  </si>
  <si>
    <t xml:space="preserve">TV-S0863</t>
  </si>
  <si>
    <t xml:space="preserve">56. § (1) b)</t>
  </si>
  <si>
    <t xml:space="preserve">b) a jelen fejezetben meghatározott követelményeknek való nem megfelelés gyanúja esetén rendkívüli ellenőrzést hajthat végre.</t>
  </si>
  <si>
    <t xml:space="preserve">TV-S0864</t>
  </si>
  <si>
    <t xml:space="preserve">56. § (2)</t>
  </si>
  <si>
    <t xml:space="preserve">(2) A tanúsító szervezet, illetve a poszt-kvantumtitkosítás alkalmazás nyújtására jogosult szervezet kötelezettségeinek teljesítését az SZTFH ellenőrzi a 25. § (1) és (3) bekezdésének alkalmazásával az SZTFH elnökének rendeletében meghatározott részletes szabályok szerint.</t>
  </si>
  <si>
    <t xml:space="preserve">TV-S0865</t>
  </si>
  <si>
    <t xml:space="preserve">56. § (3)</t>
  </si>
  <si>
    <t xml:space="preserve">(3) Az SZTFH – az e törvény szerinti ellenőrzési feladatainak végrehajtása céljából – nyilvántartást vezet</t>
  </si>
  <si>
    <t xml:space="preserve">TV-S0866</t>
  </si>
  <si>
    <t xml:space="preserve">56. § (3) a)</t>
  </si>
  <si>
    <t xml:space="preserve">a) a poszt-kvantumtitkosítás alkalmazás nyújtására jogosult szervezetekről, valamint</t>
  </si>
  <si>
    <t xml:space="preserve">TV-S0867</t>
  </si>
  <si>
    <t xml:space="preserve">56. § (3) b)</t>
  </si>
  <si>
    <t xml:space="preserve">b) az 54. § szerinti tanúsítást végző tanúsító szervezetről.</t>
  </si>
  <si>
    <t xml:space="preserve">TV-S0868</t>
  </si>
  <si>
    <t xml:space="preserve">56. § (4)</t>
  </si>
  <si>
    <t xml:space="preserve">TV-S0869</t>
  </si>
  <si>
    <t xml:space="preserve">56. § (4) a)</t>
  </si>
  <si>
    <t xml:space="preserve">a) a szervezet megnevezését és székhelyét, valamint annak kijelölt kapcsolattartója természetes személyazonosító adatait, telefonszámát, és elektronikus levelezési címét,</t>
  </si>
  <si>
    <t xml:space="preserve">TV-S0870</t>
  </si>
  <si>
    <t xml:space="preserve">56. § (4) b)</t>
  </si>
  <si>
    <t xml:space="preserve">b) a szervezet nyilvántartásba vételének időpontját, valamint – nyilvántartásba vételekor kapott – azonosító számát,</t>
  </si>
  <si>
    <t xml:space="preserve">TV-S0871</t>
  </si>
  <si>
    <t xml:space="preserve">56. § (4) c)</t>
  </si>
  <si>
    <t xml:space="preserve">c) az SZTFH elnökének rendeletében előírt további, személyes adatnak nem minősülő adatokat.</t>
  </si>
  <si>
    <t xml:space="preserve">TV-S0872</t>
  </si>
  <si>
    <t xml:space="preserve">56. § (4a)</t>
  </si>
  <si>
    <t xml:space="preserve">(4a) A (3) bekezdés szerinti nyilvántartás a (4) bekezdés b) pontja szerinti adatok tekintetében közhiteles hatósági nyilvántartásnak minősül.</t>
  </si>
  <si>
    <t xml:space="preserve">TV-S0873</t>
  </si>
  <si>
    <t xml:space="preserve">56. § (5)</t>
  </si>
  <si>
    <t xml:space="preserve">(5) Ha a (3) bekezdés szerinti nyilvántartásban szereplő szervezet poszt-kvantumtitkosítás alkalmazás nyújtására vonatkozó tevékenységet vagy tanúsító tevékenységet már nem végez, akkor a (3) bekezdés szerinti adatokat az SZTFH a tevékenység befejezésének bejelentését követő 5 év elteltével köteles a nyilvántartásból törölni.</t>
  </si>
  <si>
    <t xml:space="preserve">TV-S0874</t>
  </si>
  <si>
    <t xml:space="preserve">56. § (6)</t>
  </si>
  <si>
    <t xml:space="preserve">(6) Ha a (3) bekezdés szerinti adatok változását a poszt-kvantumtitkosítás alkalmazás nyújtására jogosult szervezet vagy a tanúsító szervezet bejelenti, a nyilvántartásban a változás bejegyzését megelőzően szereplő adatot az SZTFH az adat változása bejegyzését követő 5 év elteltével a nyilvántartásból törli.</t>
  </si>
  <si>
    <t xml:space="preserve">TV-S0875</t>
  </si>
  <si>
    <t xml:space="preserve">56. § (7)</t>
  </si>
  <si>
    <t xml:space="preserve">(7) A (3) bekezdés szerinti nyilvántartásból – ha jogszabály eltérően nem rendelkezik – adattovábbítás kizárólag a kiberbiztonsági hatóságok, valamint a kiberbiztonsági incidenskezelő központok részére végezhető.</t>
  </si>
  <si>
    <t xml:space="preserve">TV-S0876</t>
  </si>
  <si>
    <t xml:space="preserve">VI. FEJEZET</t>
  </si>
  <si>
    <t xml:space="preserve">TV-S0877</t>
  </si>
  <si>
    <t xml:space="preserve">SÉRÜLÉKENYSÉGVIZSGÁLAT</t>
  </si>
  <si>
    <t xml:space="preserve">TV-S0878</t>
  </si>
  <si>
    <t xml:space="preserve">TV-S0879</t>
  </si>
  <si>
    <t xml:space="preserve">57. § (1)</t>
  </si>
  <si>
    <t xml:space="preserve">57. § (1) Sérülékenységvizsgálat végzésére jogosult</t>
  </si>
  <si>
    <t xml:space="preserve">TV-S0880</t>
  </si>
  <si>
    <t xml:space="preserve">57. § (1) a)</t>
  </si>
  <si>
    <t xml:space="preserve">a) a honvédelmi célú elektronikus információs rendszerek kivételével a Kormány rendeletében kijelölt állami szerv,</t>
  </si>
  <si>
    <t xml:space="preserve">TV-S0881</t>
  </si>
  <si>
    <t xml:space="preserve">57. § (1) b)</t>
  </si>
  <si>
    <t xml:space="preserve">b) a honvédelmi célú elektronikus információs rendszerek vonatkozásában a honvédelmi kiberbiztonsági incidenskezelő központ, valamint</t>
  </si>
  <si>
    <t xml:space="preserve">TV-S0882</t>
  </si>
  <si>
    <t xml:space="preserve">57. § (1) c)</t>
  </si>
  <si>
    <t xml:space="preserve">c) a telephely biztonsági tanúsítvánnyal, továbbá a feladat ellátásához szükséges infrastrukturális feltételekkel és szakértelemmel rendelkező gazdálkodó szervezet, amely szerepel a sérülékenységvizsgálat lefolytatására jogosult gazdálkodó szervezetek SZTFH által vezetett nyilvántartásában.</t>
  </si>
  <si>
    <t xml:space="preserve">TV-S0883</t>
  </si>
  <si>
    <t xml:space="preserve">57. § (2)</t>
  </si>
  <si>
    <t xml:space="preserve">(2) A sérülékenységvizsgálat lefolytatására jogosult gazdálkodó szervezet részéről kizárólag olyan személy végezheti a vizsgálatot,</t>
  </si>
  <si>
    <t xml:space="preserve">TV-S0884</t>
  </si>
  <si>
    <t xml:space="preserve">TV-S0885</t>
  </si>
  <si>
    <t xml:space="preserve">57. § (2) b)</t>
  </si>
  <si>
    <t xml:space="preserve">b) aki rendelkezik a sérülékenységvizsgálat lefolytatásához szükséges szakértelemmel,</t>
  </si>
  <si>
    <t xml:space="preserve">TV-S0886</t>
  </si>
  <si>
    <t xml:space="preserve">57. § (2) c)</t>
  </si>
  <si>
    <t xml:space="preserve">c) aki a sérülékenységvizsgálati szakterületen legalább kétéves szakmai tapasztalattal rendelkezik, és</t>
  </si>
  <si>
    <t xml:space="preserve">TV-S0887</t>
  </si>
  <si>
    <t xml:space="preserve">57. § (2) d)</t>
  </si>
  <si>
    <t xml:space="preserve">d) aki szerepel a sérülékenységvizsgálat lefolytatására jogosult személyek SZTFH által vezetett nyilvántartásában.</t>
  </si>
  <si>
    <t xml:space="preserve">TV-S0888</t>
  </si>
  <si>
    <t xml:space="preserve">57. § (3)</t>
  </si>
  <si>
    <t xml:space="preserve">(3) Az (1) bekezdés c) pontja szerinti nyilvántartásba vétel feltétele, hogy a sérülékenységvizsgálat lefolytatására jogosult gazdálkodó szervezet legalább 2 fő, (2) bekezdés szerinti szakértőt foglalkoztasson. Az (1) bekezdés c) pontja és a (2) bekezdés d) pontja szerinti nyilvántartásba vétel részletes szabályait, a tevékenység végzéséhez szükséges infrastrukturális feltételeket és szakértelmet az SZTFH elnöke által – az informatikáért felelős miniszter véleményének kikérésével – kiadott rendelet határozza meg.</t>
  </si>
  <si>
    <t xml:space="preserve">TV-S0889</t>
  </si>
  <si>
    <t xml:space="preserve">57. § (4)</t>
  </si>
  <si>
    <t xml:space="preserve">(4) Az (1) és (2) bekezdés szerinti nyilvántartásba történő felvételi eljárás során az SZTFH a feladat ellátásához szükséges szakértelem és infrastrukturális feltételek teljesülésének megállapítása érdekében bevonja a sérülékenységvizsgálat végzésére jogosult állami szervet.</t>
  </si>
  <si>
    <t xml:space="preserve">TV-S0890</t>
  </si>
  <si>
    <t xml:space="preserve">57. § (5)</t>
  </si>
  <si>
    <t xml:space="preserve">(5) A sérülékenységvizsgálatot – a honvédelmi célú elektronikus információs rendszerek kivételével – a sérülékenységvizsgálat végzésére jogosult állami szerv végzi</t>
  </si>
  <si>
    <t xml:space="preserve">TV-S0891</t>
  </si>
  <si>
    <t xml:space="preserve">57. § (5) a)</t>
  </si>
  <si>
    <t xml:space="preserve">a) az 1. melléklet 1–9., 11., 14. és 15.pontja szerinti szervezetek,</t>
  </si>
  <si>
    <t xml:space="preserve">TV-S0892</t>
  </si>
  <si>
    <t xml:space="preserve">57. § (5) b)</t>
  </si>
  <si>
    <t xml:space="preserve">b) a nemzeti kiberbiztonsági hatóság által alapvető vagy fontos szervezetként azonosított szervezetnek a nemzeti kiberbiztonsági hatóság által meghatározott</t>
  </si>
  <si>
    <t xml:space="preserve">TV-S0893</t>
  </si>
  <si>
    <t xml:space="preserve">elektronikus információs rendszere vonatkozásában.</t>
  </si>
  <si>
    <t xml:space="preserve">TV-S0894</t>
  </si>
  <si>
    <t xml:space="preserve">57. § (6)</t>
  </si>
  <si>
    <t xml:space="preserve">(6) Ha a sérülékenységvizsgálat végzésére jogosult állami szervnek nem áll rendelkezésére elegendő humánerőforrás a sérülékenységvizsgálat elvégzésére, hozzájárulhat ahhoz, hogy az (5) bekezdésben meghatározott szervezet – a szervezet választása szerinti – sérülékenységvizsgálat lefolytatására jogosult gazdálkodó szervezettel végeztesse el a sérülékenységvizsgálatot.</t>
  </si>
  <si>
    <t xml:space="preserve">TV-S0895</t>
  </si>
  <si>
    <t xml:space="preserve">57. § (7)</t>
  </si>
  <si>
    <t xml:space="preserve">(7) Az állam, a gazdaság és a társadalom működése, biztonsága szempontjából kiemelkedő jelentőséggel bíró elektronikus információs rendszer sérülékenységvizsgálatát a sérülékenységvizsgálat végzésére jogosult állami szerv magához vonhatja vagy vizsgálatát támogathatja.</t>
  </si>
  <si>
    <t xml:space="preserve">TV-S0896</t>
  </si>
  <si>
    <t xml:space="preserve">57. § (8)</t>
  </si>
  <si>
    <t xml:space="preserve">(8) A sérülékenységvizsgálatot a sérülékenységvizsgálat végzésére jogosult állami szerv végzi el, ha az (5) bekezdés a) pontja szerinti elektronikus információs rendszereken kívüli, a Kszetv. szerinti kritikus szervezet, valamint a Vbö. alapján az ország védelme és biztonsága szempontjából jelentős szervezetként kijelölt szervezet elektronikus információs rendszere tekintetében nincs a sérülékenységvizsgálat elvégzésére e törvényben meghatározott feltételeknek megfelelő, sérülékenységvizsgálat lefolytatására jogosult gazdálkodó szervezet.</t>
  </si>
  <si>
    <t xml:space="preserve">TV-S0897</t>
  </si>
  <si>
    <t xml:space="preserve">57. § (9)</t>
  </si>
  <si>
    <t xml:space="preserve">(9) Az az (1) bekezdés szerinti szerv, amelynél a sérülékenységvizsgálatot kezdeményezték köteles vizsgálni a sérülékenységvizsgálat elvégzésére való jogosultságát, és ha más, az (1) bekezdés szerinti szerv kizárólagos jogosultságát állapítja meg, köteles a megkeresést az illetékes szervhez haladéktalanul továbbítani.</t>
  </si>
  <si>
    <t xml:space="preserve">TV-S0898</t>
  </si>
  <si>
    <t xml:space="preserve">TV-S0899</t>
  </si>
  <si>
    <t xml:space="preserve">58. § (1)</t>
  </si>
  <si>
    <t xml:space="preserve">58. § (1) A nemzeti kiberbiztonsági hatóság a szervezetet kötelezheti arra, hogy sérülékenységvizsgálatot végeztessen. Ha a hatósági kötelezésnek a szervezet nem tesz eleget, a nemzeti kiberbiztonsági hatóság bírságot szabhat ki.</t>
  </si>
  <si>
    <t xml:space="preserve">TV-S0900</t>
  </si>
  <si>
    <t xml:space="preserve">58. § (2)</t>
  </si>
  <si>
    <t xml:space="preserve">(2) Az (1) bekezdés szerinti hatósági kötelezés esetén a nemzeti kiberbiztonsági hatóság figyelembe veszi az elektronikus információs rendszernek az állam működése szempontjából való jelentőségét.</t>
  </si>
  <si>
    <t xml:space="preserve">TV-S0901</t>
  </si>
  <si>
    <t xml:space="preserve">58. § (3)</t>
  </si>
  <si>
    <t xml:space="preserve">(3) A nemzeti kiberbiztonsági hatóság az (1) bekezdés szerinti kötelezésében meghatározza, hogy mely elektronikus információs rendszerre terjedjen ki a sérülékenységvizsgálat, valamint meghatározhatja az alkalmazandó sérülékenységvizsgálati eszközt vagy módszert is.</t>
  </si>
  <si>
    <t xml:space="preserve">TV-S0902</t>
  </si>
  <si>
    <t xml:space="preserve">59. § A sérülékenységvizsgálat végzésére jogosult állami szerv saját kezdeményezésre is indíthat és lefolytathat sérülékenységvizsgálatot regisztrált felhasználói jogosultság birtokában, illetve annak hiányában is az 57. § (5) bekezdése szerinti szervezetek elektronikus információs rendszere vonatkozásában.</t>
  </si>
  <si>
    <t xml:space="preserve">TV-S0903</t>
  </si>
  <si>
    <t xml:space="preserve">60. § (1)</t>
  </si>
  <si>
    <t xml:space="preserve">60. § (1) Az 1. § (1) bekezdés d) és e) pontja szerinti szervezetek kivételével a törvény hatálya alá tartozó szervezet vezetője sérülékenységvizsgálatot hatósági kötelezés nélkül is kezdeményezhet, kizárólag a biztonsági osztályba sorolt és a kiberbiztonsági hatóság által nyilvántartásba vett elektronikus információs rendszer vonatkozásában.</t>
  </si>
  <si>
    <t xml:space="preserve">TV-S0904</t>
  </si>
  <si>
    <t xml:space="preserve">60. § (2)</t>
  </si>
  <si>
    <t xml:space="preserve">(2) A szervezet vezetője az (1) bekezdés szerinti sérülékenységvizsgálatot – annak tervezése és előkészítése érdekében – annak tervezett kezdetét megelőzően legalább 60 nappal köteles kezdeményezni. A sérülékenységvizsgálat tervezett kezdeti időpontjának meghatározása során a szervezet – az elektronikus információs rendszer használatba vételének tervezett időpontját is szem előtt tartva – a sérülékenységvizsgálati módszer kormányrendeletben meghatározott időigényét is figyelembe veszi.</t>
  </si>
  <si>
    <t xml:space="preserve">TV-S0905</t>
  </si>
  <si>
    <t xml:space="preserve">60. § (3)</t>
  </si>
  <si>
    <t xml:space="preserve">(3) A sérülékenységvizsgálat végzésére jogosult állami szerv a hozzá beérkezett igények közötti mérlegelést követően fontossági sorrendet állíthat fel, amely fontossági sorrendre figyelemmel a vizsgálat már korábban kijelölt kezdő időpontját legfeljebb 15 nappal későbbi időpontban is meghatározhatja.</t>
  </si>
  <si>
    <t xml:space="preserve">TV-S0906</t>
  </si>
  <si>
    <t xml:space="preserve">60. § (4)</t>
  </si>
  <si>
    <t xml:space="preserve">(4) A sérülékenységvizsgálat végzésére jogosult állami szerv előnyben részesíti a szervezet általi kezdeményezésekkel szemben a kiberbiztonsági hatóság által elrendelt vagy a hivatalból indított sérülékenységvizsgálat lefolytatását. A sorrend felállítása során a rendelkezésre álló erőforrások, valamint az elektronikus információs rendszernek kockázatalapú megközelítés alapján, az állam működése szempontjából való jelentőségének mérlegelésével jár el. Ha a szervezet által kezdeményezett igény teljesítése nem akadályozza kötelező feladatainak ellátását, a sérülékenységvizsgálat végzésére jogosult állami szerv szabad kapacitásai függvényében elvégzi a sérülékenységvizsgálatot.</t>
  </si>
  <si>
    <t xml:space="preserve">TV-S0907</t>
  </si>
  <si>
    <t xml:space="preserve">61. § E törvény hatálya alá nem tartozó elektronikus információs rendszerek vonatkozásában a sérülékenységvizsgálat végzésére jogosult állami szerv az elektronikus információs rendszer felett rendelkezési jogosultsággal rendelkező szervezettel kötött megállapodás alapján végezhet sérülékenységvizsgálatot.</t>
  </si>
  <si>
    <t xml:space="preserve">TV-S0908</t>
  </si>
  <si>
    <t xml:space="preserve">TV-S0909</t>
  </si>
  <si>
    <t xml:space="preserve">62. § (1)</t>
  </si>
  <si>
    <t xml:space="preserve">62. § (1) A sérülékenységvizsgálat az elektronikus információs rendszer egy meghatározott részére is irányulhat.</t>
  </si>
  <si>
    <t xml:space="preserve">TV-S0910</t>
  </si>
  <si>
    <t xml:space="preserve">62. § (2)</t>
  </si>
  <si>
    <t xml:space="preserve">(2) A sérülékenységvizsgálat a tevékenység jellegénél fogva szolgáltatáskiesést vagy -csökkenést eredményezhet, amelyből eredő károkért a sérülékenységvizsgálatot végző szervet – a szándékos károkozás kivételével – felelősség nem terheli.</t>
  </si>
  <si>
    <t xml:space="preserve">TV-S0911</t>
  </si>
  <si>
    <t xml:space="preserve">62. § (3)</t>
  </si>
  <si>
    <t xml:space="preserve">(3) A sérülékenységvizsgálati módszereket és a sérülékenységvizsgálat végrehajtására vonatkozó részletszabályokat kormányrendelet határozza meg.</t>
  </si>
  <si>
    <t xml:space="preserve">TV-S0912</t>
  </si>
  <si>
    <t xml:space="preserve">62. § (4)</t>
  </si>
  <si>
    <t xml:space="preserve">(4) A sérülékenységvizsgálat eredményéről a vizsgálatot végző szervezet állásfoglalást állít ki, amely tartalmazza a feltárt sérülékenységek besorolását is. Az állásfoglalás részletes tartalmi elemeit kormányrendelet határozza meg.</t>
  </si>
  <si>
    <t xml:space="preserve">TV-S0913</t>
  </si>
  <si>
    <t xml:space="preserve">VII. FEJEZET</t>
  </si>
  <si>
    <t xml:space="preserve">TV-S0914</t>
  </si>
  <si>
    <t xml:space="preserve">A KIBERBIZTONSÁGI INCIDENSEKKEL KAPCSOLATOS RENDELKEZÉSEK</t>
  </si>
  <si>
    <t xml:space="preserve">TV-S0915</t>
  </si>
  <si>
    <t xml:space="preserve">TV-S0916</t>
  </si>
  <si>
    <t xml:space="preserve">63. § (1)</t>
  </si>
  <si>
    <t xml:space="preserve">63. § (1) A Kormány – a honvédelmi célú elektronikus információs rendszerek kivételével – az 1. § (10) bekezdésében meghatározott szervezetek nyílt elektronikus információs rendszereit érintő fenyegetések, kiberbiztonsági incidensek és válságok kezelése érdekében nemzeti kiberbiztonsági incidenskezelő központot működtet az általa rendeletben kijelölt szerv útján.</t>
  </si>
  <si>
    <t xml:space="preserve">TV-S0917</t>
  </si>
  <si>
    <t xml:space="preserve">63. § (2)</t>
  </si>
  <si>
    <t xml:space="preserve">(2) A Kormány a honvédelmi célú elektronikus információs rendszereket érintő fenyegetések, kiberbiztonsági incidensek és válságok kezelése érdekében kiberbiztonsági incidenskezelő központot működtet az általa rendeletben kijelölt szerv útján.</t>
  </si>
  <si>
    <t xml:space="preserve">TV-S0918</t>
  </si>
  <si>
    <t xml:space="preserve">63. § (3)</t>
  </si>
  <si>
    <t xml:space="preserve">(3) A nemzeti kiberbiztonsági incidenskezelő központ jóváhagyásával – a honvédelmi ágazat kivételével – ágazaton belüli kiberbiztonsági incidenskezelő központ (a továbbiakban: ágazaton belüli kiberbiztonsági incidenskezelő központ) is létrehozható a kormányrendeletben meghatározottak szerint. A nemzeti kiberbiztonsági incidenskezelő központ elvégzi vagy elvégezteti az ágazaton belüli kiberbiztonsági incidenskezelő központ képességeinek felmérését és vizsgálatát, amely alapján együttműködési megállapodást kötnek. A vizsgálat során az SZTFH elnökének a 70. § (3) bekezdés b) pontja szerinti rendeletében meghatározott feltételeket is figyelembe kell venni.</t>
  </si>
  <si>
    <t xml:space="preserve">TV-S0919</t>
  </si>
  <si>
    <t xml:space="preserve">64. § (1)</t>
  </si>
  <si>
    <t xml:space="preserve">64. § (1) A nemzeti kiberbiztonsági incidenskezelő központ ellátja:</t>
  </si>
  <si>
    <t xml:space="preserve">TV-S0920</t>
  </si>
  <si>
    <t xml:space="preserve">64. § (1) a)</t>
  </si>
  <si>
    <t xml:space="preserve">a) a kiberteret érintő fenyegetésekkel, a korai figyelmeztetéssel és a kiberbiztonsági incidensek megelőzésével,</t>
  </si>
  <si>
    <t xml:space="preserve">TV-S0921</t>
  </si>
  <si>
    <t xml:space="preserve">64. § (1) b)</t>
  </si>
  <si>
    <t xml:space="preserve">b) a kiberbiztonsági incidensek kezelésével,</t>
  </si>
  <si>
    <t xml:space="preserve">TV-S0922</t>
  </si>
  <si>
    <t xml:space="preserve">64. § (1) c)</t>
  </si>
  <si>
    <t xml:space="preserve">c) a kiberbiztonsági válsághelyzetek kezelésével,</t>
  </si>
  <si>
    <t xml:space="preserve">TV-S0923</t>
  </si>
  <si>
    <t xml:space="preserve">64. § (1) d)</t>
  </si>
  <si>
    <t xml:space="preserve">d) a sérülékenységekkel,</t>
  </si>
  <si>
    <t xml:space="preserve">TV-S0924</t>
  </si>
  <si>
    <t xml:space="preserve">64. § (1) e)</t>
  </si>
  <si>
    <t xml:space="preserve">e) a kiberbiztonsággal kapcsolatos tájékoztatási, tudatosító tevékenységgel és</t>
  </si>
  <si>
    <t xml:space="preserve">TV-S0925</t>
  </si>
  <si>
    <t xml:space="preserve">64. § (1) f)</t>
  </si>
  <si>
    <t xml:space="preserve">f) az európai uniós és a nemzetközi együttműködésben Magyarország képviseletével</t>
  </si>
  <si>
    <t xml:space="preserve">TV-S0926</t>
  </si>
  <si>
    <t xml:space="preserve">kapcsolatos, kormányrendeletben részletezett feladatokat.</t>
  </si>
  <si>
    <t xml:space="preserve">TV-S0927</t>
  </si>
  <si>
    <t xml:space="preserve">64. § (2)</t>
  </si>
  <si>
    <t xml:space="preserve">(2) A nemzeti kiberbiztonsági incidenskezelő központ – a honvédelmi érdeket veszélyeztető kibertevékenységekkel és szervezetekkel kapcsolatos tevékenységek és a katonai kibertér műveletek kivételével –</t>
  </si>
  <si>
    <t xml:space="preserve">TV-S0928</t>
  </si>
  <si>
    <t xml:space="preserve">64. § (2) a)</t>
  </si>
  <si>
    <t xml:space="preserve">a) ellátja az e törvény hatálya alá tartozó szervezetek tekintetében az ott meghatározott hatásköri szabályok szerint a kibertérből érkező fenyegetésekkel és támadásokkal szembeni feladatokat,</t>
  </si>
  <si>
    <t xml:space="preserve">TV-S0929</t>
  </si>
  <si>
    <t xml:space="preserve">64. § (2) b)</t>
  </si>
  <si>
    <t xml:space="preserve">b) a honvédelmi ágazat kivételével irányítja a kibertérből érkező fenyegetésekre történő felkészülést és a kapcsolódó biztonsági feladatokat,</t>
  </si>
  <si>
    <t xml:space="preserve">TV-S0930</t>
  </si>
  <si>
    <t xml:space="preserve">64. § (2) c)</t>
  </si>
  <si>
    <t xml:space="preserve">c) elemzi – az azon folytatott kommunikáció megismerése nélkül – az elektronikus hírközlési hálózatok forgalmát, észleli a kibertérből érkező fenyegetéseket és támadásokat,</t>
  </si>
  <si>
    <t xml:space="preserve">TV-S0931</t>
  </si>
  <si>
    <t xml:space="preserve">64. § (2) d)</t>
  </si>
  <si>
    <t xml:space="preserve">d) végrehajtja vagy kezdeményezi a kibertérből érkező támadás megszakításához, valamint a bekövetkezés okainak és felelőseinek megállapítása érdekében szükséges intézkedéseket.</t>
  </si>
  <si>
    <t xml:space="preserve">TV-S0932</t>
  </si>
  <si>
    <t xml:space="preserve">64. § (3)</t>
  </si>
  <si>
    <t xml:space="preserve">(3) A nemzeti kiberbiztonsági incidenskezelő központ az 1. § (10) bekezdésében meghatározott szervezetek elektronikus információs rendszere, vagy az e törvény hatálya alá tartozó IKT-termék vagy IKT-szolgáltatás vonatkozásában bármely természetes vagy jogi személy által bejelentett sebezhetőség, sérülékenység kapcsán ellátja a kormányrendelet által meghatározott koordinációs és egyéb feladatokat. A sebezhetőségek, sérülékenységek felderítésének, bejelentésének részletes szabályait a Kormány rendeletben szabályozza. Az 1. § (10) bekezdésében fel nem sorolt szervezetek elektronikus információs rendszere, vagy az e törvény hatálya alá nem tartozó IKT-termék vagy IKT-szolgáltatás vonatkozásában bejelentett sebezhetőség, sérülékenység esetén a nemzeti kiberbiztonsági incidenskezelő központ a rendelkezésére álló erőforrások függvényében és a veszélyeztetettség mértékének mérlegelésével látja el a kormányrendeletben meghatározott feladatokat. Ez utóbbi bejelentések tekintetében a nemzeti kiberbiztonsági incidenskezelő központ csak akkor köteles eljárni, ha az nem jelent aránytalan vagy indokolatlan terhet a nemzeti kiberbiztonsági incidenskezelő központ számára vagy a bejelentés az e törvény hatálya alá tartozó szervezet elektronikus információs rendszerét érinti.</t>
  </si>
  <si>
    <t xml:space="preserve">TV-S0933</t>
  </si>
  <si>
    <t xml:space="preserve">64. § (4)</t>
  </si>
  <si>
    <t xml:space="preserve">(4) A magyar kiberteret súlyosan veszélyeztető kiberbiztonsági incidensek kezelését és vizsgálatát a nemzeti kiberbiztonsági incidenskezelő központ magához vonhatja vagy azok kezelését és vizsgálatát támogathatja.</t>
  </si>
  <si>
    <t xml:space="preserve">TV-S0934</t>
  </si>
  <si>
    <t xml:space="preserve">64. § (5)</t>
  </si>
  <si>
    <t xml:space="preserve">(5) A honvédelmi kiberbiztonsági incidenskezelő központ a honvédelmi ágazat tekintetében ellátja az (1) bekezdés szerinti feladatokat.</t>
  </si>
  <si>
    <t xml:space="preserve">TV-S0935</t>
  </si>
  <si>
    <t xml:space="preserve">64. § (6)</t>
  </si>
  <si>
    <t xml:space="preserve">(6) Az ágazaton belüli kiberbiztonsági incidenskezelő központ a nemzeti kiberbiztonsági incidenskezelő központtal kötött együttműködési megállapodásban meghatározott feladatokat látja el.</t>
  </si>
  <si>
    <t xml:space="preserve">TV-S0936</t>
  </si>
  <si>
    <t xml:space="preserve">64. § (7)</t>
  </si>
  <si>
    <t xml:space="preserve">(7) A nemzeti kiberbiztonsági incidenskezelő központ, valamint a honvédelmi kiberbiztonsági incidenskezelő központ feladat- és hatáskörét, feladatai ellátásának részletes szabályait, valamint a korai figyelmeztetés részletes szabályait, annak rendszerét, a rendszer üzemeltetőjének kijelölésére vonatkozó előírásokat, valamint a kapcsolódó korai figyelmeztető szolgáltatás igénybevételének rendjét kormányrendelet határozza meg.</t>
  </si>
  <si>
    <t xml:space="preserve">TV-S0937</t>
  </si>
  <si>
    <t xml:space="preserve">TV-S0938</t>
  </si>
  <si>
    <t xml:space="preserve">65. § (1)</t>
  </si>
  <si>
    <t xml:space="preserve">65. § (1) A nemzeti kiberbiztonsági incidenskezelő központ a kibertérből érkező fenyegetettségek felderítésére irányuló, védelmi, prevenciós célú eszközöket alkalmazhat és ez irányú szolgáltatásokat (a továbbiakban együtt: prevenciós eszközök) nyújthat az 1. § (1) bekezdése szerinti szervezeteknek.</t>
  </si>
  <si>
    <t xml:space="preserve">TV-S0939</t>
  </si>
  <si>
    <t xml:space="preserve">65. § (2)</t>
  </si>
  <si>
    <t xml:space="preserve">(2) A prevenciós eszközök alkalmazását az 1. § (1) bekezdése szerinti szervezet – saját költségére – kezdeményezheti a nemzeti kiberbiztonsági incidenskezelő központnál, amely a rendelkezésére álló erőforrások függvényében és a veszélyeztetettség mértékének mérlegelésével dönt a prevenciós eszközök alkalmazásáról.</t>
  </si>
  <si>
    <t xml:space="preserve">TV-S0940</t>
  </si>
  <si>
    <t xml:space="preserve">65. § (3)</t>
  </si>
  <si>
    <t xml:space="preserve">(3) Az 1. § (1) bekezdés a)–c) pontja szerinti szervezetet a nemzeti kiberbiztonsági incidenskezelő központ javaslata alapján a nemzeti kiberbiztonsági hatóság is kötelezheti prevenciós eszközök alkalmazására, valamint a nemzeti kiberbiztonsági incidenskezelő központ – kockázatelemzés alapján – saját maga is dönthet prevenciós eszközök alkalmazásáról az érintett szervezet előzetes tájékoztatását követően.</t>
  </si>
  <si>
    <t xml:space="preserve">TV-S0941</t>
  </si>
  <si>
    <t xml:space="preserve">65. § (4)</t>
  </si>
  <si>
    <t xml:space="preserve">(4) Az 1. § (1) bekezdés a)–c) pontja szerinti szervezet a nemzeti kiberbiztonsági incidenskezelő központ megkeresése esetén köteles a prevenciós eszközök igénybevételére.</t>
  </si>
  <si>
    <t xml:space="preserve">TV-S0942</t>
  </si>
  <si>
    <t xml:space="preserve">65. § (5)</t>
  </si>
  <si>
    <t xml:space="preserve">(5) Az 1. § (1) bekezdés a)–c) pontja szerinti szervezet a nemzeti kiberbiztonsági incidenskezelő központ megkeresése esetén köteles csatlakozni a nemzeti kiberbiztonsági incidenskezelő központ által működtetett, a fenyegetettségi információkat megosztó rendszerhez, valamint maga is kezdeményezheti az ezen rendszerhez történő csatlakozást. A nemzeti kiberbiztonsági incidenskezelő központ a veszélyeztetettség mértékének mérlegelésével és a rendelkezésére álló erőforrások figyelembevételével írja elő az 1. § (1) bekezdés a)–c) pontja szerinti szervezet csatlakozását vagy járul hozzá a csatlakozáshoz.</t>
  </si>
  <si>
    <t xml:space="preserve">TV-S0943</t>
  </si>
  <si>
    <t xml:space="preserve">65. § (6)</t>
  </si>
  <si>
    <t xml:space="preserve">(6) A nemzeti kiberbiztonsági incidenskezelő központ jogosult valamennyi magyar felhasználású, geolokációjú internetes cím és rajta elhelyezett szolgáltatások vonatkozásában olyan kizárólag általános kiberbiztonsági célú információkat gyűjteni, amelyekből egyértelműen azonosíthat fenyegetéseket és kiberbiztonsági incidenseket.</t>
  </si>
  <si>
    <t xml:space="preserve">TV-S0944</t>
  </si>
  <si>
    <t xml:space="preserve">65. § (7)</t>
  </si>
  <si>
    <t xml:space="preserve">(7) A (6) bekezdés szerinti tevékenység nem okozhat aránytalan sérelmet a szolgáltatás üzemeltetője számára és nem eredményezheti a szolgáltatás elérhetetlenségét.</t>
  </si>
  <si>
    <t xml:space="preserve">TV-S0945</t>
  </si>
  <si>
    <t xml:space="preserve">65. § (8)</t>
  </si>
  <si>
    <t xml:space="preserve">(8) A sérülékenységvizsgálat során megállapított adatokat a nemzeti kiberbiztonsági incidenskezelő központ a kibertér állapotának értékelése céljából, kizárólag anonim módon hasznosíthatja és használhatja fel.</t>
  </si>
  <si>
    <t xml:space="preserve">TV-S0946</t>
  </si>
  <si>
    <t xml:space="preserve">TV-S0947</t>
  </si>
  <si>
    <t xml:space="preserve">66. § (1)</t>
  </si>
  <si>
    <t xml:space="preserve">66. § (1) Az 1. § (1) bekezdés a)–c) és f) pontja szerinti szervezetek az elektronikus információs rendszereikben bekövetkezett, illetve a tudomásukra jutott fenyegetéseket, kiberbiztonsági incidensközeli helyzeteket és kiberbiztonsági incidenseket – beleértve az üzemeltetési kiberbiztonsági incidenst is – a nemzeti kiberbiztonsági incidenskezelő központ részére kötelesek haladéktalanul, a kormányrendeletben meghatározottak szerint bejelenteni.</t>
  </si>
  <si>
    <t xml:space="preserve">TV-S0948</t>
  </si>
  <si>
    <t xml:space="preserve">66. § (2)</t>
  </si>
  <si>
    <t xml:space="preserve">(2) Az 1. § (1) bekezdés d) és e) pontja szerinti szervezetek az elektronikus információs rendszereikben bekövetkezett, illetve a tudomásukra jutott olyan fenyegetéseket, kiberbiztonsági incidensközeli helyzeteket és kiberbiztonsági incidenseket – beleértve az üzemeltetési kiberbiztonsági incidenst is –, amelyek a szervezet működésében vagy az általa végzett szolgáltatásnyújtásban súlyos zavart vagy vagyoni hátrányt okoz, illetve jelentős vagyoni vagy nem vagyoni kárt okoz más természetes vagy jogi személyek számára kötelesek a kormányrendeletben meghatározottak szerint bejelenteni a nemzeti kiberbiztonsági incidenskezelő központ részére.</t>
  </si>
  <si>
    <t xml:space="preserve">TV-S0949</t>
  </si>
  <si>
    <t xml:space="preserve">66. § (3)</t>
  </si>
  <si>
    <t xml:space="preserve">(3) Az 1. § (1) bekezdés d) és e) pontja szerinti szervezetek a (2) bekezdés szerinti kiberbiztonsági incidensnek nem minősülő kiberbiztonsági incidenseket is bejelenthetik a nemzeti kiberbiztonsági incidenskezelő központ részére.</t>
  </si>
  <si>
    <t xml:space="preserve">TV-S0950</t>
  </si>
  <si>
    <t xml:space="preserve">66. § (4)</t>
  </si>
  <si>
    <t xml:space="preserve">(4) A honvédelmi célú elektronikus információs rendszert érintő fenyegetést, kiberbiztonsági incidensközeli helyzetet és kiberbiztonsági incidenst a szervezet a Kormány rendeletében meghatározott honvédelmi kiberbiztonsági incidenskezelő központnak jelenti be.</t>
  </si>
  <si>
    <t xml:space="preserve">TV-S0951</t>
  </si>
  <si>
    <t xml:space="preserve">66. § (5)</t>
  </si>
  <si>
    <t xml:space="preserve">(5) A honvédelmi kiberbiztonsági incidenskezelő központ és az ágazaton belüli kiberbiztonsági incidenskezelő központ a tudomására jutott fenyegetések, kiberbiztonsági incidensközeli helyzetek és kiberbiztonsági incidensek adatait köteles haladéktalanul a nemzeti kiberbiztonsági incidenskezelő központ részére továbbítani.</t>
  </si>
  <si>
    <t xml:space="preserve">TV-S0952</t>
  </si>
  <si>
    <t xml:space="preserve">66. § (6)</t>
  </si>
  <si>
    <t xml:space="preserve">(6) Ha a nemzeti kiberbiztonsági incidenskezelő központ, a honvédelmi kiberbiztonsági incidenskezelő központ, valamint az ágazaton belüli kiberbiztonsági incidenskezelő központ illetékességének hiányát észleli, a bejelentést haladéktalanul megküldi az illetékes kiberbiztonsági incidenskezelő központnak.</t>
  </si>
  <si>
    <t xml:space="preserve">TV-S0953</t>
  </si>
  <si>
    <t xml:space="preserve">67. § (1)</t>
  </si>
  <si>
    <t xml:space="preserve">67. § (1) Azok a szervezetek vagy személyek, amelyek nem tartoznak az 1. § (10) bekezdésének hatálya alá, önkéntes alapon bejelenthetik a nemzeti kiberbiztonsági incidenskezelő központnak az olyan fenyegetéseket, kiberbiztonsági incidensközeli helyzeteket, illetve kiberbiztonsági incidenseket, amelyek jelentős hatást gyakorolnak vagy gyakorolhatnak a magyar kibertér biztonságára.</t>
  </si>
  <si>
    <t xml:space="preserve">TV-S0954</t>
  </si>
  <si>
    <t xml:space="preserve">67. § (2)</t>
  </si>
  <si>
    <t xml:space="preserve">(2) A nemzeti kiberbiztonsági incidenskezelő központ az e törvény hatálya alá tartozó szervezetek bejelentését előnyben részesítheti az önkéntes bejelentésekkel szemben. A nemzeti kiberbiztonsági incidenskezelő központ az önkéntes bejelentéseket a rendelkezésére álló erőforrások függvényében kezeli és a veszélyeztetettség mértékének mérlegelésével jár el.</t>
  </si>
  <si>
    <t xml:space="preserve">TV-S0955</t>
  </si>
  <si>
    <t xml:space="preserve">67. § (3)</t>
  </si>
  <si>
    <t xml:space="preserve">(3) Az önkéntes bejelentésekkel összefüggésben a nemzeti kiberbiztonsági incidenskezelő központ csak akkor köteles eljárni, ha az nem jelent aránytalan vagy indokolatlan terhet a nemzeti kiberbiztonsági incidenskezelő központ számára vagy az önkéntes bejelentés az e törvény hatály alá tartozó szervezet elektronikus információs rendszerét érinti.</t>
  </si>
  <si>
    <t xml:space="preserve">TV-S0956</t>
  </si>
  <si>
    <t xml:space="preserve">67. § (4)</t>
  </si>
  <si>
    <t xml:space="preserve">(4) Az önkéntes bejelentés eredményeként a bejelentő számára nem írható elő olyan kötelezettség, amely ne vonatkozott volna rá a bejelentés megtétele nélkül is.</t>
  </si>
  <si>
    <t xml:space="preserve">TV-S0957</t>
  </si>
  <si>
    <t xml:space="preserve">68. § (1)</t>
  </si>
  <si>
    <t xml:space="preserve">68. § (1) Ha az elektronikus információs rendszert olyan jelentős kiberbiztonsági incidens éri vagy annak közvetlen bekövetkezése fenyegeti, amely a rendszer felett rendelkezési jogosultsággal rendelkező szervezet vagy a felhasználó szervezet működéséhez szükséges alapvető információk vagy személyes adatok sérülésével jár, a nemzeti kiberbiztonsági incidenskezelő központ a védelmi feladatainak ellátása érdekében kötelezheti a rendszer felett rendelkezési jogosultsággal rendelkező szervezetet, hogy a jelentős kiberbiztonsági incidens megszüntetése vagy a fenyegetettség elhárítása érdekében szükséges intézkedéseket tegye meg.</t>
  </si>
  <si>
    <t xml:space="preserve">TV-S0958</t>
  </si>
  <si>
    <t xml:space="preserve">68. § (2)</t>
  </si>
  <si>
    <t xml:space="preserve">(2) Ha a szervezethez információbiztonsági felügyelő került kirendelésre, az (1) bekezdés szerinti körülmények felmerüléséről a nemzeti kiberbiztonsági incidenskezelő központot haladéktalanul tájékoztatja. Azonnali beavatkozást igénylő esetben a nemzeti kiberbiztonsági incidenskezelő központ – az információbiztonsági felügyelő útján – az információk sérülésének elkerüléséhez szükséges mértékben ideiglenes intézkedést alkalmazhat.</t>
  </si>
  <si>
    <t xml:space="preserve">TV-S0959</t>
  </si>
  <si>
    <t xml:space="preserve">TV-S0960</t>
  </si>
  <si>
    <t xml:space="preserve">69. § (1)</t>
  </si>
  <si>
    <t xml:space="preserve">69. § (1) A 64. § (2) bekezdés d) pontja szerinti, a kibertérből érkező támadás megszakításához szükséges intézkedések végrehajtására a Kormány által kijelölt személy erre vonatkozó döntése alapján van lehetőség. A támadás megszakítását követően meg kell vizsgálni a védelem fokozásához szükséges további intézkedések lehetséges körét, illetve az ország védelmével összefüggő további döntések szükségességét.</t>
  </si>
  <si>
    <t xml:space="preserve">TV-S0961</t>
  </si>
  <si>
    <t xml:space="preserve">69. § (2)</t>
  </si>
  <si>
    <t xml:space="preserve">(2) A 64. § (2) bekezdés d) pontja szerinti intézkedésnek</t>
  </si>
  <si>
    <t xml:space="preserve">TV-S0962</t>
  </si>
  <si>
    <t xml:space="preserve">69. § (2) a)</t>
  </si>
  <si>
    <t xml:space="preserve">a) az okozott sérelemmel vagy közvetlen fenyegetéssel arányosnak és szükséges mértékűnek kell lennie, és törekedni kell arra, hogy a támadás megszakításán túli eredményre vagy sérelemre ne vezessen,</t>
  </si>
  <si>
    <t xml:space="preserve">TV-S0963</t>
  </si>
  <si>
    <t xml:space="preserve">69. § (2) b)</t>
  </si>
  <si>
    <t xml:space="preserve">b) biztosítani kell az összhangot a nemzetbiztonsági, honvédelmi, bűnüldözési és külpolitikai érdekekkel és törekvésekkel.</t>
  </si>
  <si>
    <t xml:space="preserve">TV-S0964</t>
  </si>
  <si>
    <t xml:space="preserve">69. § (3)</t>
  </si>
  <si>
    <t xml:space="preserve">(3) Külföldről érkező jelentős kibertámadás esetén a foganatosított intézkedésekről és azok okairól tájékoztatni kell a külpolitikáért felelős minisztert a további intézkedések megtétele céljából.</t>
  </si>
  <si>
    <t xml:space="preserve">TV-S0965</t>
  </si>
  <si>
    <t xml:space="preserve">TV-S0966</t>
  </si>
  <si>
    <t xml:space="preserve">70. § (1)</t>
  </si>
  <si>
    <t xml:space="preserve">70. § (1) Kiberbiztonsági incidens bekövetkezése esetén a szervezet intézkedik az érintett kiberbiztonsági incidens kezelése érdekében.</t>
  </si>
  <si>
    <t xml:space="preserve">TV-S0967</t>
  </si>
  <si>
    <t xml:space="preserve">70. § (2)</t>
  </si>
  <si>
    <t xml:space="preserve">(2) A kiberbiztonsági hatóság kötelezheti a szervezetet arra, hogy az érintett kiberbiztonsági incidenst kezelje. Ha a hatósági kötelezésnek a szervezet nem tesz eleget, a kiberbiztonsági hatóság bírságot szabhat ki.</t>
  </si>
  <si>
    <t xml:space="preserve">TV-S0968</t>
  </si>
  <si>
    <t xml:space="preserve">70. § (3)</t>
  </si>
  <si>
    <t xml:space="preserve">(3) Az érintett kiberbiztonsági incidens kezelését</t>
  </si>
  <si>
    <t xml:space="preserve">TV-S0969</t>
  </si>
  <si>
    <t xml:space="preserve">70. § (3) a)</t>
  </si>
  <si>
    <t xml:space="preserve">a) megfelelő szaktudással rendelkező foglalkoztatott alkalmazása esetén a szervezet önmaga,</t>
  </si>
  <si>
    <t xml:space="preserve">TV-S0970</t>
  </si>
  <si>
    <t xml:space="preserve">70. § (3) b)</t>
  </si>
  <si>
    <t xml:space="preserve">b) a szervezet által megbízott, telephely biztonsági tanúsítvánnyal, továbbá a feladat ellátásához szükséges – az SZTFH elnökének rendeletében meghatározott – szakértelemmel és infrastrukturális feltételekkel rendelkező és az SZTFH által vezetett (4) bekezdés szerinti nyilvántartásban szereplő gazdálkodó szervezet,</t>
  </si>
  <si>
    <t xml:space="preserve">TV-S0971</t>
  </si>
  <si>
    <t xml:space="preserve">70. § (3) c)</t>
  </si>
  <si>
    <t xml:space="preserve">c) az ágazaton belüli kiberbiztonsági incidenskezelő központ,</t>
  </si>
  <si>
    <t xml:space="preserve">TV-S0972</t>
  </si>
  <si>
    <t xml:space="preserve">70. § (3) d)</t>
  </si>
  <si>
    <t xml:space="preserve">d) a nemzeti kiberbiztonsági incidenskezelő központ, vagy</t>
  </si>
  <si>
    <t xml:space="preserve">TV-S0973</t>
  </si>
  <si>
    <t xml:space="preserve">70. § (3) e)</t>
  </si>
  <si>
    <t xml:space="preserve">e) honvédelmi kiberbiztonsági incidenskezelő központ</t>
  </si>
  <si>
    <t xml:space="preserve">TV-S0974</t>
  </si>
  <si>
    <t xml:space="preserve">végzi.</t>
  </si>
  <si>
    <t xml:space="preserve">TV-S0975</t>
  </si>
  <si>
    <t xml:space="preserve">70. § (4)</t>
  </si>
  <si>
    <t xml:space="preserve">(4) Az SZTFH nyilvántartást vezet a kiberbiztonsági incidens kezelésére jogosult gazdálkodó szervezetekről az SZTFH elnökének rendeletében foglalt részletes szabályok szerint.</t>
  </si>
  <si>
    <t xml:space="preserve">TV-S0976</t>
  </si>
  <si>
    <t xml:space="preserve">70. § (5)</t>
  </si>
  <si>
    <t xml:space="preserve">(5) A (4) bekezdés szerinti nyilvántartás tartalmazza:</t>
  </si>
  <si>
    <t xml:space="preserve">TV-S0977</t>
  </si>
  <si>
    <t xml:space="preserve">70. § (5) a)</t>
  </si>
  <si>
    <t xml:space="preserve">a) a gazdálkodó szervezet megnevezését és székhelyét, valamint annak kijelölt kapcsolattartója természetes személyazonosító adatait, telefonszámát, és elektronikus levelezési címét,</t>
  </si>
  <si>
    <t xml:space="preserve">TV-S0978</t>
  </si>
  <si>
    <t xml:space="preserve">70. § (5) b)</t>
  </si>
  <si>
    <t xml:space="preserve">b) a gazdálkodó szervezet nyilvántartásba vételének időpontját, valamint – nyilvántartásba vételekor kapott – azonosító számát,</t>
  </si>
  <si>
    <t xml:space="preserve">TV-S0979</t>
  </si>
  <si>
    <t xml:space="preserve">70. § (5) c)</t>
  </si>
  <si>
    <t xml:space="preserve">TV-S0980</t>
  </si>
  <si>
    <t xml:space="preserve">70. § (5a)</t>
  </si>
  <si>
    <t xml:space="preserve">(5a) A (4) bekezdés szerinti nyilvántartás az (5) bekezdés b) pontja szerinti adatok tekintetében közhiteles hatósági nyilvántartásnak minősül.</t>
  </si>
  <si>
    <t xml:space="preserve">TV-S0981</t>
  </si>
  <si>
    <t xml:space="preserve">70. § (6)</t>
  </si>
  <si>
    <t xml:space="preserve">(6) A (4) bekezdés szerinti nyilvántartásba történő felvételi eljárás során az SZTFH a feladat ellátásához szükséges – az SZTFH elnökének rendeletében meghatározott – szakértelem és infrastrukturális feltételek teljesülésének megállapítása érdekében bevonja a nemzeti kiberbiztonsági incidenskezelő központot.</t>
  </si>
  <si>
    <t xml:space="preserve">TV-S0982</t>
  </si>
  <si>
    <t xml:space="preserve">70. § (7)</t>
  </si>
  <si>
    <t xml:space="preserve">(7) Ha az 1. § (1) bekezdés d) és e) pontja szerinti szervezet a kiberbiztonsági incidens kezelését nem maga végzi, a (4) bekezdés szerinti nyilvántartásban szereplő gazdálkodó szervezetek közül választ. Ha a kiberbiztonsági incidens kezelése meghaladja a gazdálkodó szervezet kapacitásait, a szervezet megkeresheti az ágazaton belüli kiberbiztonsági incidenskezelő központot vagy a nemzeti kiberbiztonsági incidenskezelő központot az érintett kiberbiztonsági incidens kezelése érdekében.</t>
  </si>
  <si>
    <t xml:space="preserve">TV-S0983</t>
  </si>
  <si>
    <t xml:space="preserve">70. § (8)</t>
  </si>
  <si>
    <t xml:space="preserve">(8) Ha az 1. § (1) bekezdés a)–c) pontja szerinti szervezet a kiberbiztonsági incidens kezelését nem maga végzi, a (4) bekezdés szerinti nyilvántartásban szereplő gazdálkodó szervezetek közül választ vagy megkeresi az ágazaton belüli kiberbiztonsági incidenskezelő központot vagy a nemzeti kiberbiztonsági incidenskezelő központot a kiberbiztonsági incidens kezelése érdekében.</t>
  </si>
  <si>
    <t xml:space="preserve">TV-S0984</t>
  </si>
  <si>
    <t xml:space="preserve">70. § (9)</t>
  </si>
  <si>
    <t xml:space="preserve">(9)</t>
  </si>
  <si>
    <t xml:space="preserve">TV-S0985</t>
  </si>
  <si>
    <t xml:space="preserve">70. § (10)</t>
  </si>
  <si>
    <t xml:space="preserve">(10) A nemzeti kiberbiztonsági incidenskezelő központ az érintett kiberbiztonsági incidens kezelését a rendelkezésére álló erőforrások függvényében, a veszélyeztetettség mértékének mérlegelésével látja el.</t>
  </si>
  <si>
    <t xml:space="preserve">TV-S0986</t>
  </si>
  <si>
    <t xml:space="preserve">70. § (11)</t>
  </si>
  <si>
    <t xml:space="preserve">(11) Az érintett kiberbiztonsági incidens kezelését a nemzeti kiberbiztonsági incidenskezelő központ végzi el, ha a Kszetv. szerinti kritikus szervezet elektronikus információs rendszere, vagy a Vbö. alapján kijelölt, az ország védelme és biztonsága szempontjából jelentős szervezetek tekintetében nincs a kiberbiztonsági incidenskezelés elvégzésére a jogszabályban meghatározott feltételeknek megfelelő gazdálkodó szervezet vagy nem rendelkezik elegendő kapacitással.</t>
  </si>
  <si>
    <t xml:space="preserve">TV-S0987</t>
  </si>
  <si>
    <t xml:space="preserve">70. § (12)</t>
  </si>
  <si>
    <t xml:space="preserve">(12)</t>
  </si>
  <si>
    <t xml:space="preserve">TV-S0988</t>
  </si>
  <si>
    <t xml:space="preserve">70. § (13)</t>
  </si>
  <si>
    <t xml:space="preserve">(13) A nemzeti kiberbiztonsági incidenskezelő központ a tudomására jutott kiberbiztonsági incidensekről tájékoztathatja a 73. § (3) bekezdés szerinti Operatív Törzs vezetőjét, ha a kiberbiztonsági incidens az Operatív Törzs más tagja által képviselt szervezetet is érinti.</t>
  </si>
  <si>
    <t xml:space="preserve">TV-S0989</t>
  </si>
  <si>
    <t xml:space="preserve">70. § (14)</t>
  </si>
  <si>
    <t xml:space="preserve">(14) Az érintett kiberbiztonsági incidensek kezelésére vonatkozó részletszabályokat kormányrendelet állapítja meg.</t>
  </si>
  <si>
    <t xml:space="preserve">TV-S0990</t>
  </si>
  <si>
    <t xml:space="preserve">70. § (15)</t>
  </si>
  <si>
    <t xml:space="preserve">(15) Jelen § rendelkezéseit a kiberbiztonsági incidensközeli helyzetek kezelése vonatkozásában is alkalmazni kell.</t>
  </si>
  <si>
    <t xml:space="preserve">TV-S0991</t>
  </si>
  <si>
    <t xml:space="preserve">TV-S0992</t>
  </si>
  <si>
    <t xml:space="preserve">71. § (1)</t>
  </si>
  <si>
    <t xml:space="preserve">TV-S0993</t>
  </si>
  <si>
    <t xml:space="preserve">71. § (2)</t>
  </si>
  <si>
    <t xml:space="preserve">(2) Ha a kiberbiztonsági incidens kezelése meghaladja a (EU) 2022/2554 európai parlamenti és tanácsi rendelet hatálya alá tartozó szervezet vagy az általa igénybe vett közreműködő kapacitásait, a szervezet megkeresheti az ágazaton belüli kiberbiztonsági incidenskezelő központot vagy a nemzeti kiberbiztonsági incidenskezelő központot a kiberbiztonsági incidens kezelése érdekében.</t>
  </si>
  <si>
    <t xml:space="preserve">TV-S0994</t>
  </si>
  <si>
    <t xml:space="preserve">VIII. FEJEZET</t>
  </si>
  <si>
    <t xml:space="preserve">TV-S0995</t>
  </si>
  <si>
    <t xml:space="preserve">A KIBERBIZTONSÁGGAL KAPCSOLATOS FELADATOK KOORDINÁCIÓJÁNAK SZERVEZETRENDSZERE</t>
  </si>
  <si>
    <t xml:space="preserve">TV-S0996</t>
  </si>
  <si>
    <t xml:space="preserve">TV-S0997</t>
  </si>
  <si>
    <t xml:space="preserve">72. § (1)</t>
  </si>
  <si>
    <t xml:space="preserve">72. § (1) A kiberbiztonságért felelős biztost az informatikáért felelős miniszter jelöli ki.</t>
  </si>
  <si>
    <t xml:space="preserve">TV-S0998</t>
  </si>
  <si>
    <t xml:space="preserve">72. § (2)</t>
  </si>
  <si>
    <t xml:space="preserve">(2) A kiberbiztonságért felelős biztos felel az Európai Unió egész területén egységesen magas szintű kiberbiztonságot biztosító intézkedésekről szóló irányelv szerinti</t>
  </si>
  <si>
    <t xml:space="preserve">TV-S0999</t>
  </si>
  <si>
    <t xml:space="preserve">72. § (2) a)</t>
  </si>
  <si>
    <t xml:space="preserve">a) nemzeti kiberbiztonsági stratégia, valamint</t>
  </si>
  <si>
    <t xml:space="preserve">TV-S1000</t>
  </si>
  <si>
    <t xml:space="preserve">72. § (2) b)</t>
  </si>
  <si>
    <t xml:space="preserve">b) nemzeti válságkezelési terv</t>
  </si>
  <si>
    <t xml:space="preserve">TV-S1001</t>
  </si>
  <si>
    <t xml:space="preserve">összeállításáért és az érintett szervezetekkel való koordinációjáért.</t>
  </si>
  <si>
    <t xml:space="preserve">TV-S1002</t>
  </si>
  <si>
    <t xml:space="preserve">72. § (3)</t>
  </si>
  <si>
    <t xml:space="preserve">(3) A kiberbiztonságért felelős biztos vezeti a Nemzeti Kiberbiztonsági Munkacsoportot.</t>
  </si>
  <si>
    <t xml:space="preserve">TV-S1003</t>
  </si>
  <si>
    <t xml:space="preserve">TV-S1004</t>
  </si>
  <si>
    <t xml:space="preserve">73. § (1)</t>
  </si>
  <si>
    <t xml:space="preserve">73. § (1) A Kormány kiberbiztonsági kérdésekben javaslattevő, véleményező szerve a Nemzeti Kiberbiztonsági Munkacsoport.</t>
  </si>
  <si>
    <t xml:space="preserve">TV-S1005</t>
  </si>
  <si>
    <t xml:space="preserve">73. § (2)</t>
  </si>
  <si>
    <t xml:space="preserve">(2) A Nemzeti Kiberbiztonsági Munkacsoport gondoskodik az e törvényben és végrehajtási rendeleteiben meghatározott tevékenységek összehangolásáról.</t>
  </si>
  <si>
    <t xml:space="preserve">TV-S1006</t>
  </si>
  <si>
    <t xml:space="preserve">73. § (3)</t>
  </si>
  <si>
    <t xml:space="preserve">(3) A Nemzeti Kiberbiztonsági Munkacsoport tevékenységét Operatív Törzs, valamint a kiberbiztonsági almunkacsoportok és a nem kormányzati szereplőkkel való együttműködés kereteit biztosító Nemzeti Kiberbiztonsági Fórum támogatja.</t>
  </si>
  <si>
    <t xml:space="preserve">TV-S1007</t>
  </si>
  <si>
    <t xml:space="preserve">73. § (4)</t>
  </si>
  <si>
    <t xml:space="preserve">(4) Az Operatív Törzs tevékenységét a kiberbiztonságért felelős biztos irányítja. Az Operatív Törzs – a védelmi és biztonsági igazgatás központi szerve bevonásával – minősíti a jelentős vagy nagyszabású kiberbiztonsági incidens miatt bekövetkezett védelmi és biztonsági eseményt, valamint kezdeményezi a válságkezelési vagy veszélyhelyzet-kezelési intézkedések megtételét.</t>
  </si>
  <si>
    <t xml:space="preserve">TV-S1008</t>
  </si>
  <si>
    <t xml:space="preserve">73. § (5)</t>
  </si>
  <si>
    <t xml:space="preserve">(5) A Nemzeti Kiberbiztonsági Munkacsoport és annak működését támogató testületek létrehozásával, működtetésével kapcsolatos szabályokat, feladat- és hatásköröket kormányrendelet szabályozza.</t>
  </si>
  <si>
    <t xml:space="preserve">TV-S1009</t>
  </si>
  <si>
    <t xml:space="preserve">TV-S1010</t>
  </si>
  <si>
    <t xml:space="preserve">74. § (1)</t>
  </si>
  <si>
    <t xml:space="preserve">74. § (1) Jelentős vagy nagyszabású kiberbiztonsági incidens esetén a nemzeti kiberbiztonsági incidenskezelő központ kezdeményezése alapján a Nemzeti Kiberbiztonsági Munkacsoport Operatív Törzse javaslatot tehet a kiberbiztonsági incidens kiberbiztonsági válsághelyzetté történő minősítésére.</t>
  </si>
  <si>
    <t xml:space="preserve">TV-S1011</t>
  </si>
  <si>
    <t xml:space="preserve">74. § (2)</t>
  </si>
  <si>
    <t xml:space="preserve">(2) A kiberbiztonsági válsághelyzet olyan védelmi és biztonsági esemény, amely esetén a Kormány az informatikáért felelős miniszter előterjesztése alapján összehangolt védelmi tevékenységet rendelhet el.</t>
  </si>
  <si>
    <t xml:space="preserve">TV-S1012</t>
  </si>
  <si>
    <t xml:space="preserve">74. § (3)</t>
  </si>
  <si>
    <t xml:space="preserve">(3) Kiberbiztonsági válsághelyzet esetén – ha e törvény vagy a végrehajtására kiadott kormányrendelet eltérően nem rendelkezik – a Vbö. rendelkezéseit kell alkalmazni.</t>
  </si>
  <si>
    <t xml:space="preserve">TV-S1013</t>
  </si>
  <si>
    <t xml:space="preserve">74. § (4)</t>
  </si>
  <si>
    <t xml:space="preserve">(4) Kiberbiztonsági válsághelyzet és az az alapján elrendelt összehangolt védelmi tevékenység esetén a Kormány intézkedésként bevezetheti</t>
  </si>
  <si>
    <t xml:space="preserve">TV-S1014</t>
  </si>
  <si>
    <t xml:space="preserve">74. § (4) 1.</t>
  </si>
  <si>
    <t xml:space="preserve">1. a kiberbiztonsági válsághelyzet-kezelésben érintett szerv vagy szervezet készenlétének fokozását, prevenciós tevékenységét;</t>
  </si>
  <si>
    <t xml:space="preserve">TV-S1015</t>
  </si>
  <si>
    <t xml:space="preserve">74. § (4) 2.</t>
  </si>
  <si>
    <t xml:space="preserve">2. az 1. pont szerinti szervek vagy szervezetek műveleti vagy élőerős védelmét, valamint annak fokozását;</t>
  </si>
  <si>
    <t xml:space="preserve">TV-S1016</t>
  </si>
  <si>
    <t xml:space="preserve">74. § (4) 3.</t>
  </si>
  <si>
    <t xml:space="preserve">3. a honvédelmi szervezetek, a rendvédelmi szervek és a nemzetbiztonsági szolgálatok felderítő, elhárító, valamint kibertér műveleti erői tevékenységének fokozását a fenyegetettség Magyarországra történő átterjedésének, illetve a támadás elhárításának, valamint következményeinek megakadályozása érdekében;</t>
  </si>
  <si>
    <t xml:space="preserve">TV-S1017</t>
  </si>
  <si>
    <t xml:space="preserve">74. § (4) 4.</t>
  </si>
  <si>
    <t xml:space="preserve">4. a 3. pont szerinti szervek vagy szervezetek összehangolt védelmi tevékenység keretében végzett összehangolt vagy együttes fellépését;</t>
  </si>
  <si>
    <t xml:space="preserve">TV-S1018</t>
  </si>
  <si>
    <t xml:space="preserve">74. § (4) 5.</t>
  </si>
  <si>
    <t xml:space="preserve">5. a kritikus társadalmi vagy gazdasági tevékenységek fenntartásához nélkülözhetetlen szolgáltatás, valamint az azt egyedül biztosító alapvető vagy fontos szervezetként még be nem azonosított szolgáltató haladéktalan azonosításának elrendelését;</t>
  </si>
  <si>
    <t xml:space="preserve">TV-S1019</t>
  </si>
  <si>
    <t xml:space="preserve">74. § (4) 6.</t>
  </si>
  <si>
    <t xml:space="preserve">6. elektronikus hírközlési szolgáltatások szüneteltetését, korlátozását és ellenőrzését, azokhoz való hozzáférés lehetetlenné tételét, továbbá az elektronikus informatikai hálózatok és eszközök, valamint az elektronikus hírközlő berendezések térítésmentes igénybevételét, használatra való átengedését, használatának mellőzését, valamint hozzáférhetetlenné tételét;</t>
  </si>
  <si>
    <t xml:space="preserve">TV-S1020</t>
  </si>
  <si>
    <t xml:space="preserve">74. § (4) 7.</t>
  </si>
  <si>
    <t xml:space="preserve">7. a kiberbiztonsági válsághelyzet-kezeléséhez szükséges szolgáltató működési helyiségeinek, technikai eszközparkjának, elektronikus információs rendszerének és létesítményeinek térítésmentes igénybevételét, használatra való átengedését;</t>
  </si>
  <si>
    <t xml:space="preserve">TV-S1021</t>
  </si>
  <si>
    <t xml:space="preserve">74. § (4) 8.</t>
  </si>
  <si>
    <t xml:space="preserve">8. az állami, valamint a kiberbiztonsági válsághelyzet-kezelésben érintett szerv vagy szervezet információs és kommunikációs rendszerei folyamatos üzemeltetésének biztosítása érdekében a javítókapacitások és alkatrészkészletek térítésmentes igénybevételét, vagy használatuk korlátozását, valamint a javítókapacitásokkal rendelkező társaságok tulajdonosait és munkavállalóit terhelő javítási, üzemeltetési szolgáltatások teljesítését;</t>
  </si>
  <si>
    <t xml:space="preserve">TV-S1022</t>
  </si>
  <si>
    <t xml:space="preserve">74. § (4) 9.</t>
  </si>
  <si>
    <t xml:space="preserve">9. a kiberbiztonság szavatolása szempontjából fontos termékek, eszközök készletezését, tartalékolását;</t>
  </si>
  <si>
    <t xml:space="preserve">TV-S1023</t>
  </si>
  <si>
    <t xml:space="preserve">74. § (4) 10.</t>
  </si>
  <si>
    <t xml:space="preserve">10. az Európai Kiberválságügyi Kapcsolattartó Szervezetek Hálózata (a továbbiakban: EU-CyCLONE), valamint az Európai Bizottság és az Európai Uniós Kiberbiztonsági Ügynökség (a továbbiakban: ENISA) kötelező tájékoztatását és dönt annak tartalmáról,</t>
  </si>
  <si>
    <t xml:space="preserve">TV-S1024</t>
  </si>
  <si>
    <t xml:space="preserve">74. § (4) 11.</t>
  </si>
  <si>
    <t xml:space="preserve">11. a kötelező hivatalos kormányzati tájékoztatás nyújtását az érintettek részére, valamint</t>
  </si>
  <si>
    <t xml:space="preserve">TV-S1025</t>
  </si>
  <si>
    <t xml:space="preserve">74. § (4) 12.</t>
  </si>
  <si>
    <t xml:space="preserve">12. az Európai Unió tagállamainak, valamint az Észak-atlanti Szerződés Szervezetén belüli szövetséges országok tájékoztatását a kiberbiztonsági válsághelyzet kapcsán a Kormány által megtett intézkedésekről a diplomáciai csatornák igénybevételével.</t>
  </si>
  <si>
    <t xml:space="preserve">TV-S1026</t>
  </si>
  <si>
    <t xml:space="preserve">74. § (5)</t>
  </si>
  <si>
    <t xml:space="preserve">(5) A (4) bekezdés 10–12. pontja szerinti tájékoztatás nyújtása során a minősített adatok védelmére vonatkozó uniós és nemzeti szabályokban és az általános adatvédelmi jogszabályokban foglalt rendelkezésekre tekintettel kell eljárni.</t>
  </si>
  <si>
    <t xml:space="preserve">TV-S1027</t>
  </si>
  <si>
    <t xml:space="preserve">74. § (6)</t>
  </si>
  <si>
    <t xml:space="preserve">(6) A kiberbiztonsági válsághelyzet ideje alatt a kiberbiztonsági válsághelyzet megelőzése, megismerése, felderítése és továbbterjedésének megakadályozása, valamint az állami szervek összehangolt feladatellátásának megszervezése céljából az Operatív Törzs – a kiberbiztonsági válsághelyzettel összefüggően –</t>
  </si>
  <si>
    <t xml:space="preserve">TV-S1028</t>
  </si>
  <si>
    <t xml:space="preserve">74. § (6) a)</t>
  </si>
  <si>
    <t xml:space="preserve">a) adatszolgáltatást kérhet bármely szervtől, jogi személytől vagy jogi személyiséggel nem rendelkező szervezettől, amely ezen adatszolgáltatásnak köteles haladéktalanul, térítésmentesen eleget tenni,</t>
  </si>
  <si>
    <t xml:space="preserve">TV-S1029</t>
  </si>
  <si>
    <t xml:space="preserve">74. § (6) b)</t>
  </si>
  <si>
    <t xml:space="preserve">b) kezeli a kiberbiztonsági incidens kezelése során megismert személyes adatokat.</t>
  </si>
  <si>
    <t xml:space="preserve">TV-S1030</t>
  </si>
  <si>
    <t xml:space="preserve">74. § (7)</t>
  </si>
  <si>
    <t xml:space="preserve">(7) Az Operatív Törzs a (6) bekezdés alapján kezelt adatokat a nemzetbiztonsági tevékenységre vonatkozó információk kivételével köteles átadni a nemzeti eseménykezelő központnak.</t>
  </si>
  <si>
    <t xml:space="preserve">TV-S1031</t>
  </si>
  <si>
    <t xml:space="preserve">74. § (8)</t>
  </si>
  <si>
    <t xml:space="preserve">(8) Az Operatív Törzs a (6) bekezdés alapján kezelt adatokat – a kiberbiztonsági válsághelyzetre okot adó körülmények vizsgálata céljából – a nemzeti kiberbiztonsági incidenskezelő központnak átadhatja.</t>
  </si>
  <si>
    <t xml:space="preserve">TV-S1032</t>
  </si>
  <si>
    <t xml:space="preserve">74. § (9)</t>
  </si>
  <si>
    <t xml:space="preserve">(9) Az Operatív Törzs vezetője a kiberbiztonsági válsághelyzeten a kiberbiztonsági válsághelyzetet kiváltó esemény kezelése érdekében jogosult</t>
  </si>
  <si>
    <t xml:space="preserve">TV-S1033</t>
  </si>
  <si>
    <t xml:space="preserve">74. § (9) a)</t>
  </si>
  <si>
    <t xml:space="preserve">a) az Operatív Törzs tagjának az általa képviselt szervezet vonatkozásában azonnali intézkedéstételi kötelezettséget előírni,</t>
  </si>
  <si>
    <t xml:space="preserve">TV-S1034</t>
  </si>
  <si>
    <t xml:space="preserve">74. § (9) b)</t>
  </si>
  <si>
    <t xml:space="preserve">b) dönteni a nemzeti kiberbiztonsági incidenskezelő központnak vagy a honvédelmi incidenskezelő központnak a kiberbiztonsági incidens kezelésébe történő bevonásáról.</t>
  </si>
  <si>
    <t xml:space="preserve">TV-S1035</t>
  </si>
  <si>
    <t xml:space="preserve">74. § (10)</t>
  </si>
  <si>
    <t xml:space="preserve">(10) Az 1. § (10) bekezdése hatálya alá tartozó szervezet – az 1. § (1) bekezdés d) és e) pontja szerinti szervezet kivételével – a kiberbiztonsági válsághelyzetre való felkészülés és annak kezelése érdekében kiberbiztonsági tervet készít, amelyben felméri a kibertérből érkező lehetséges kockázatokat és ezek alapján kidolgozza a működési területén foganatosítandó válságkezelési eljárási elemeket.</t>
  </si>
  <si>
    <t xml:space="preserve">TV-S1036</t>
  </si>
  <si>
    <t xml:space="preserve">74. § (11)</t>
  </si>
  <si>
    <t xml:space="preserve">(11) A kiberbiztonsági válsághelyzettel érintett szervezet – a (12) bekezdésben foglalt kivétellel – a nemzeti kiberbiztonsági incidenskezelő központ, valamint a védelmi és biztonsági igazgatás központi szervének kérésére köteles a (10) bekezdésben meghatározott tervvel, valamint a kiberbiztonsági válsághelyzet kezelése érdekében bevezetett intézkedésekkel kapcsolatos adatokat, információkat összegyűjteni, és elektronikus formában átadni vagy egyéb módon hozzáférhetővé tenni.</t>
  </si>
  <si>
    <t xml:space="preserve">TV-S1037</t>
  </si>
  <si>
    <t xml:space="preserve">74. § (12)</t>
  </si>
  <si>
    <t xml:space="preserve">(12) A honvédelmi célú elektronikus információs rendszerek tekintetében a (11) bekezdésben meghatározott adatokat a honvédelmi kiberbiztonsági incidenskezelő központ, valamint a védelmi és biztonsági igazgatás központi szerve számára kell – kérésük esetén – hozzáférhetővé tenni.</t>
  </si>
  <si>
    <t xml:space="preserve">TV-S1038</t>
  </si>
  <si>
    <t xml:space="preserve">74. § (13)</t>
  </si>
  <si>
    <t xml:space="preserve">(13) A kiberbiztonsági válsághelyzetkezelésben részt vevő szervek vagy szervezetek kijelölését, feladat- és hatáskörét, a követendő eljárásrendet, az EU-CyCLONE-ban Magyarország képviseletét ellátó szerveket a Kormány rendeletben határozza meg.</t>
  </si>
  <si>
    <t xml:space="preserve">TV-S1039</t>
  </si>
  <si>
    <t xml:space="preserve">TV-S1040</t>
  </si>
  <si>
    <t xml:space="preserve">75. § (1)</t>
  </si>
  <si>
    <t xml:space="preserve">75. § (1) Az (EU) 2021/887 európai parlamenti és tanácsi rendelet szerinti, a kiberbiztonsági kompetenciaközösség számára kapcsolattartási pontként szolgáló nemzeti koordinációs központ (a továbbiakban: nemzeti koordinációs központ) feladatait a Kormány rendeletében kijelölt szerv az abban foglaltak szerint látja el.</t>
  </si>
  <si>
    <t xml:space="preserve">TV-S1041</t>
  </si>
  <si>
    <t xml:space="preserve">75. § (2)</t>
  </si>
  <si>
    <t xml:space="preserve">(2) A nemzeti koordinációs központ az (EU) 2021/887 európai parlamenti és tanácsi rendeletben meghatározott feladatainak végrehajtása céljából nyilvántartja és kezeli az (EU) 2021/887 európai parlamenti és tanácsi rendelet szerinti kiberbiztonsági kompetenciaközösségbe jelentkező szervezet</t>
  </si>
  <si>
    <t xml:space="preserve">TV-S1042</t>
  </si>
  <si>
    <t xml:space="preserve">75. § (2) a)</t>
  </si>
  <si>
    <t xml:space="preserve">a) azonosításához szükséges adatokat,</t>
  </si>
  <si>
    <t xml:space="preserve">TV-S1043</t>
  </si>
  <si>
    <t xml:space="preserve">75. § (2) b)</t>
  </si>
  <si>
    <t xml:space="preserve">b) székhelyét, telephelyét, fióktelepét,</t>
  </si>
  <si>
    <t xml:space="preserve">TV-S1044</t>
  </si>
  <si>
    <t xml:space="preserve">75. § (2) c)</t>
  </si>
  <si>
    <t xml:space="preserve">c) elérhetőségeit, ideértve az elektronikus elérhetőségeket,</t>
  </si>
  <si>
    <t xml:space="preserve">TV-S1045</t>
  </si>
  <si>
    <t xml:space="preserve">75. § (2) d)</t>
  </si>
  <si>
    <t xml:space="preserve">d) nem Magyarországon bejegyzett szervezet Magyarország területén működő képviselőjének nevét vagy cégnevét, levelezési címét, telefonszámát és elektronikus levelezési címét,</t>
  </si>
  <si>
    <t xml:space="preserve">TV-S1046</t>
  </si>
  <si>
    <t xml:space="preserve">75. § (2) e)</t>
  </si>
  <si>
    <t xml:space="preserve">e) kapcsolattartó személyének nevét, elérhetőségét, ideértve az elektronikus elérhetőségeket, a szervezetben betöltött pozícióját, valamint</t>
  </si>
  <si>
    <t xml:space="preserve">TV-S1047</t>
  </si>
  <si>
    <t xml:space="preserve">75. § (2) f)</t>
  </si>
  <si>
    <t xml:space="preserve">f) a kormányrendeletben előírt további, személyes adatnak nem minősülő adatokat.</t>
  </si>
  <si>
    <t xml:space="preserve">TV-S1048</t>
  </si>
  <si>
    <t xml:space="preserve">75. § (3)</t>
  </si>
  <si>
    <t xml:space="preserve">(3) A (2) bekezdés szerinti nyilvántartásból – ha jogszabály eltérően nem rendelkezik – adattovábbítás kizárólag</t>
  </si>
  <si>
    <t xml:space="preserve">TV-S1049</t>
  </si>
  <si>
    <t xml:space="preserve">75. § (3) a)</t>
  </si>
  <si>
    <t xml:space="preserve">a) az (EU) 2021/887 európai parlamenti és tanácsi rendelet szerinti Európai Kiberbiztonsági Ipari, Technológiai és Kutatási Kompetenciaközpont,</t>
  </si>
  <si>
    <t xml:space="preserve">TV-S1050</t>
  </si>
  <si>
    <t xml:space="preserve">75. § (3) b)</t>
  </si>
  <si>
    <t xml:space="preserve">b) a kiberbiztonsági hatóság,</t>
  </si>
  <si>
    <t xml:space="preserve">TV-S1051</t>
  </si>
  <si>
    <t xml:space="preserve">75. § (3) c)</t>
  </si>
  <si>
    <t xml:space="preserve">c) az (EU) 2022/2554 európai parlamenti és tanácsi rendelet szerinti hatóság,</t>
  </si>
  <si>
    <t xml:space="preserve">TV-S1052</t>
  </si>
  <si>
    <t xml:space="preserve">75. § (3) d)</t>
  </si>
  <si>
    <t xml:space="preserve">d) az (EU) 2022/2555 európai parlamenti és tanácsi irányelv szerinti egyedüli kapcsolattartó pont, valamint</t>
  </si>
  <si>
    <t xml:space="preserve">TV-S1053</t>
  </si>
  <si>
    <t xml:space="preserve">75. § (3) e)</t>
  </si>
  <si>
    <t xml:space="preserve">e) a nemzeti kiberbiztonsági incidenskezelő központ</t>
  </si>
  <si>
    <t xml:space="preserve">TV-S1054</t>
  </si>
  <si>
    <t xml:space="preserve">TV-S1055</t>
  </si>
  <si>
    <t xml:space="preserve">75. § (4)</t>
  </si>
  <si>
    <t xml:space="preserve">(4) A nemzeti koordinációs központ a honlapján közzéteszi a kiberbiztonsági kompetenciaközösség nyilvántartásba vett tagjainak nevét, székhely szerinti országát, hivatalos weboldalát, az (EU) 2021/887 rendelet 8. cikk (3) bekezdése szerinti szervezettípusát és tevékenységi területét, valamint kormányrendeletben meghatározott személyes adatnak nem minősülő adatait.</t>
  </si>
  <si>
    <t xml:space="preserve">TV-S1056</t>
  </si>
  <si>
    <t xml:space="preserve">75. § (5)</t>
  </si>
  <si>
    <t xml:space="preserve">(5) A Kormány rendeletben határozza meg a nemzeti koordinációs központ feladat- és hatáskörére, eljárására, valamint a nyilvántartásra vonatkozó részletes szabályokat.</t>
  </si>
  <si>
    <t xml:space="preserve">TV-S1057</t>
  </si>
  <si>
    <t xml:space="preserve">TV-S1058</t>
  </si>
  <si>
    <t xml:space="preserve">76. § (1)</t>
  </si>
  <si>
    <t xml:space="preserve">76. § (1) A kiberbiztonsági hatóságok, a tanúsító hatóság, a poszt-kvantumtitkosítást felügyelő hatóság, a Kszetv. szerinti kijelölő hatóság, a Vbö. szerinti kijelölő hatóság, az (EU) 2022/2554 európai parlamenti és tanácsi rendelet szerinti hatóság, a sérülékenységvizsgálat végzésére jogosult állami szerv, a kiberbiztonsági incidenskezelő központok, a nemzeti koordinációs központ, valamint az egyedüli kapcsolattartó pont kölcsönösen együttműködnek és tájékoztatják egymást az elektronikus információbiztonságot érintő megállapításaikról.</t>
  </si>
  <si>
    <t xml:space="preserve">TV-S1059</t>
  </si>
  <si>
    <t xml:space="preserve">76. § (2)</t>
  </si>
  <si>
    <t xml:space="preserve">(2) Az (1) bekezdés szerinti tájékoztatást haladéktalanul meg kell tenni, ha annak tárgya az elektronikus információbiztonságot fenyegető veszélyforrást tár fel, vagy kiberbiztonsági incidensre utal. Az értesítés alapján a szervezetek a hatáskörükbe tartozó intézkedést – egymással együttműködve – azonnal megkezdik.</t>
  </si>
  <si>
    <t xml:space="preserve">TV-S1060</t>
  </si>
  <si>
    <t xml:space="preserve">76. § (3)</t>
  </si>
  <si>
    <t xml:space="preserve">(3) Az (1) bekezdés szerinti szervezetek közötti együttműködés, az EU-CyCLONe-nal, a CSIRT-hálózattal, más európai uniós tagállamok és harmadik országok CSIRT-jeivel, hatóságaival, egyedüli kapcsolattartó pontjaival való együttműködés, valamint az Európai Bizottság és az ENISA részére történő tájékoztatás és adatszolgáltatás rendjére vonatkozó részletes szabályokat a Kormány rendeletben határozza meg.</t>
  </si>
  <si>
    <t xml:space="preserve">TV-S1061</t>
  </si>
  <si>
    <t xml:space="preserve">76. § (4)</t>
  </si>
  <si>
    <t xml:space="preserve">(4) A kiberbiztonsági hatóság és a Kszetv., valamint a Vbö. szerinti kijelölő hatóság együttműködése keretében a Kszetv., valamint a Vbö. szerinti kijelölő hatóság valamely szervezet kritikus szervezetként vagy az ország védelme és biztonsága szempontjából jelentős szervezetként történő kijelöléséről vagy annak visszavonásáról a döntése megküldésével tájékoztatja a kiberbiztonsági hatóságot.</t>
  </si>
  <si>
    <t xml:space="preserve">TV-S1062</t>
  </si>
  <si>
    <t xml:space="preserve">IX. FEJEZET</t>
  </si>
  <si>
    <t xml:space="preserve">TV-S1063</t>
  </si>
  <si>
    <t xml:space="preserve">ADATKEZELÉSI ÉS ADATVÉDELMI RENDELKEZÉSEK</t>
  </si>
  <si>
    <t xml:space="preserve">TV-S1064</t>
  </si>
  <si>
    <t xml:space="preserve">77. § (1)</t>
  </si>
  <si>
    <t xml:space="preserve">77. § (1) A kiberbiztonsági hatóság, a sérülékenységvizsgálat végzésére jogosult szerv vagy gazdálkodó szervezet, a kiberbiztonsági incidenskezelő központ, az egyedüli kapcsolattartó pont, valamint nemzeti koordinációs központ az e törvényben meghatározott elektronikus információs rendszerek védelmével összefüggő feladatai ellátása során megismert minősített adatot, személyes adatot vagy védett adatot, üzleti titkot, banktitkot, fizetési titkot, biztosítási titkot, értékpapírtitkot, pénztártitkot, orvosi titkot és más hivatás gyakorlásához kötött titkot, illetve a feladatellátás során megismert egyéb adatot kizárólag a jogszabályban meghatározott feladatai ellátásának időtartama alatt, a célhoz kötöttség elvének figyelembevételével, az adatkezelésre vonatkozó jogszabályokban foglaltakkal összhangban jogosult kezelni.</t>
  </si>
  <si>
    <t xml:space="preserve">TV-S1065</t>
  </si>
  <si>
    <t xml:space="preserve">77. § (2)</t>
  </si>
  <si>
    <t xml:space="preserve">(2) Az (1) bekezdés szerinti szervek a feladatellátás befejezését követően a feladatellátáshoz kapcsolódóan rögzített adatokat – a (3)–(6) bekezdésben meghatározott kivétellel – kötelesek az elektronikus információs rendszereikből és adathordozóikról törölni.</t>
  </si>
  <si>
    <t xml:space="preserve">TV-S1066</t>
  </si>
  <si>
    <t xml:space="preserve">77. § (3)</t>
  </si>
  <si>
    <t xml:space="preserve">(3) A (1) bekezdés szerinti szerv az (1) bekezdésben meghatározott adatokat a hatósági döntés véglegessé válását, a sérülékenységvizsgálat lezárását, valamint a kiberbiztonsági incidens vagy kiberbiztonsági válsághelyzet vizsgálatának lefolytatását követő 5 évig jogosult kezelni, és az 5 év elteltével köteles az elektronikus információs rendszereiből és adathordozóiról törölni.</t>
  </si>
  <si>
    <t xml:space="preserve">TV-S1067</t>
  </si>
  <si>
    <t xml:space="preserve">77. § (4)</t>
  </si>
  <si>
    <t xml:space="preserve">(4) Ha a szervezet e törvény hatálya alá tartozó tevékenységet már nem végez, akkor a kiberbiztonsági hatóság a szervezet vonatkozásában nyilvántartott adatokat a tevékenység befejezése bejelentését követő 5 év elteltével köteles a nyilvántartásból törölni.</t>
  </si>
  <si>
    <t xml:space="preserve">TV-S1068</t>
  </si>
  <si>
    <t xml:space="preserve">77. § (5)</t>
  </si>
  <si>
    <t xml:space="preserve">(5) Ha az adatok változását a szervezet bejelenti, akkor az eredeti adatokat a kiberbiztonsági hatóság az adat változásának bejelentését követő 5 év elteltével köteles a nyilvántartásból törölni.</t>
  </si>
  <si>
    <t xml:space="preserve">TV-S1069</t>
  </si>
  <si>
    <t xml:space="preserve">77. § (6)</t>
  </si>
  <si>
    <t xml:space="preserve">(6) A kiberbiztonsági incidenskezelő központ a prevenciós eszközök, szolgáltatások alkalmazása során keletkezett adatokat, továbbá a kiberbiztonsági incidenskezelő központ és az egyedüli kapcsolattartó pont a hozzá érkezett bejelentések adatait az adatok keletkezésétől, illetve a bejelentés beérkezésétől számított 5 évig jogosult kezelni és megőrzi; ezt követően köteles az elektronikus információs rendszereiből és adathordozóiról törölni.</t>
  </si>
  <si>
    <t xml:space="preserve">TV-S1070</t>
  </si>
  <si>
    <t xml:space="preserve">78. § (1)</t>
  </si>
  <si>
    <t xml:space="preserve">78. § (1) A kiberbiztonsági hatóság, a sérülékenységvizsgálat végzésére jogosult szerv vagy gazdálkodó szervezet, valamint a kiberbiztonsági incidenskezelő központ munkatársait a megismert adatok tekintetében írásba foglalt titoktartási kötelezettség terheli, amely</t>
  </si>
  <si>
    <t xml:space="preserve">TV-S1071</t>
  </si>
  <si>
    <t xml:space="preserve">78. § (1) a)</t>
  </si>
  <si>
    <t xml:space="preserve">a) a foglalkoztatásra irányuló jogviszony megszűnését követő 5 évig,</t>
  </si>
  <si>
    <t xml:space="preserve">TV-S1072</t>
  </si>
  <si>
    <t xml:space="preserve">78. § (1) b)</t>
  </si>
  <si>
    <t xml:space="preserve">b) minősített adatok tekintetében azok érvényességi idejének végéig,</t>
  </si>
  <si>
    <t xml:space="preserve">TV-S1073</t>
  </si>
  <si>
    <t xml:space="preserve">78. § (1) c)</t>
  </si>
  <si>
    <t xml:space="preserve">c) személyes adatok tekintetében pedig időkorlát nélkül</t>
  </si>
  <si>
    <t xml:space="preserve">TV-S1074</t>
  </si>
  <si>
    <t xml:space="preserve">áll fenn.</t>
  </si>
  <si>
    <t xml:space="preserve">TV-S1075</t>
  </si>
  <si>
    <t xml:space="preserve">78. § (2)</t>
  </si>
  <si>
    <t xml:space="preserve">(2) A kiberbiztonsági hatóság, a sérülékenységvizsgálat végzésére jogosult szerv vagy gazdálkodó szervezet, valamint a kiberbiztonsági incidenskezelő központ eljárása során keletkezett adatok – a 79. §-ban foglaltak kivételével – nem nyilvánosak.</t>
  </si>
  <si>
    <t xml:space="preserve">TV-S1076</t>
  </si>
  <si>
    <t xml:space="preserve">78. § (3)</t>
  </si>
  <si>
    <t xml:space="preserve">(3) A honvédelmi célú elektronikus információs rendszerek – e törvényben meghatározott – hatósági feladatainak ellátására Kormány által kijelölt szervnek a véglegessé vált határozata az ügyfélen, valamint az általános közigazgatási rendtartásról szóló 2016. évi CL. törvény 33. § (3) bekezdése alapján iratbetekintésre jogosult személyen kívül más által nem ismerhető meg.</t>
  </si>
  <si>
    <t xml:space="preserve">TV-S1077</t>
  </si>
  <si>
    <t xml:space="preserve">79. § (1)</t>
  </si>
  <si>
    <t xml:space="preserve">79. § (1) A sérülékenységvizsgálat végzésére jogosult állami szerv jogosult a sérülékenységvizsgálatok eredményéről anonimizált, a rendszerek sérülékenységére utalást nem tartalmazó statisztikákat közzétenni.</t>
  </si>
  <si>
    <t xml:space="preserve">TV-S1078</t>
  </si>
  <si>
    <t xml:space="preserve">79. § (2)</t>
  </si>
  <si>
    <t xml:space="preserve">(2) A nemzeti kiberbiztonsági incidenskezelő központ jogosult a feladatellátása során keletkező adatokról, információkról, trendekről, levont következtetésekről statisztikákat, incidensek technikai leírásait anonimizált módon közzétenni.</t>
  </si>
  <si>
    <t xml:space="preserve">TV-S1079</t>
  </si>
  <si>
    <t xml:space="preserve">79/A. § (1)</t>
  </si>
  <si>
    <t xml:space="preserve">79/A. § (1) Az 1. és 2. §-ban meghatározott, az információs önrendelkezési jogról és az információszabadságról szóló törvény szerinti közfeladatot ellátó szervnek is minősülő szervezet (a továbbiakban: közfeladatot ellátó szerv) által használt vagy szolgáltatott elektronikus információs rendszerrel vagy központi szolgáltatással kapcsolatos adat megismerése iránti igényt az adat keletkezésétől számított legfeljebb 20 évig el kell utasítani, ha az adat megismerése kiberbiztonsági érdeket veszélyeztet.</t>
  </si>
  <si>
    <t xml:space="preserve">TV-S1080</t>
  </si>
  <si>
    <t xml:space="preserve">79/A. § (2)</t>
  </si>
  <si>
    <t xml:space="preserve">(2) Az (1) bekezdés szerinti igény teljesíthetőségéről a közfeladatot ellátó szerv vezetője dönt.</t>
  </si>
  <si>
    <t xml:space="preserve">TV-S1081</t>
  </si>
  <si>
    <t xml:space="preserve">80. § (1)</t>
  </si>
  <si>
    <t xml:space="preserve">80. § (1) A 77. § (1) bekezdése szerinti szervek tájékoztatási, adatszolgáltatási kötelezettségük teljesítése során a minősített adatok védelmére vonatkozó és az általános adatvédelmi jogszabályokban foglalt rendelkezésekre figyelemmel járnak el. A tájékoztatás és az adatszolgáltatás nem vonatkozhat olyan információk szolgáltatására, amelyek közzététele ellentétes lenne Magyarország nemzetbiztonsági, közbiztonsági vagy alapvető védelmi érdekeivel.</t>
  </si>
  <si>
    <t xml:space="preserve">TV-S1082</t>
  </si>
  <si>
    <t xml:space="preserve">80. § (2)</t>
  </si>
  <si>
    <t xml:space="preserve">(2) Bizalmas információkat – beleértve az üzleti titoktartási szabályokat – kizárólag akkor lehet megosztani az Európai Bizottsággal és más érintett hatóságokkal, ha az információcsere az (EU) 2022/2555 európai parlamenti és tanácsi irányelv alkalmazásához szükséges. A megosztott információnak az információcsere célja szempontjából lényeges és arányos mértékre kell korlátozódnia. Az információcsere során meg kell őrizni a rendelkezésre bocsátott információk bizalmas jellegét, és óvni kell a szervezetek biztonsági és kereskedelmi érdekeit.</t>
  </si>
  <si>
    <t xml:space="preserve">TV-S1083</t>
  </si>
  <si>
    <t xml:space="preserve">IX/A. FEJEZET</t>
  </si>
  <si>
    <t xml:space="preserve">TV-S1084</t>
  </si>
  <si>
    <t xml:space="preserve">AZ (EU) 2024/2847 EURÓPAI PARLAMENTI ÉS TANÁCSI RENDELET VÉGREHAJTÁSÁRA VONATKOZÓ SZABÁLYOK</t>
  </si>
  <si>
    <t xml:space="preserve">TV-S1085</t>
  </si>
  <si>
    <t xml:space="preserve">TV-S1086</t>
  </si>
  <si>
    <t xml:space="preserve">80/A. § E fejezet alkalmazásában:</t>
  </si>
  <si>
    <t xml:space="preserve">TV-S1087</t>
  </si>
  <si>
    <t xml:space="preserve">80/A. § 1.</t>
  </si>
  <si>
    <t xml:space="preserve">1. bejelentett szervezet: az (EU) 2024/2847 európai parlamenti és tanácsi rendelet 3. cikk 29. pontjában meghatározott fogalom;</t>
  </si>
  <si>
    <t xml:space="preserve">TV-S1088</t>
  </si>
  <si>
    <t xml:space="preserve">80/A. § 2.</t>
  </si>
  <si>
    <t xml:space="preserve">2. bejelentő hatóság: az (EU) 2024/2847 európai parlamenti és tanácsi rendelet 3. cikk 26. pontjában meghatározott fogalom;</t>
  </si>
  <si>
    <t xml:space="preserve">TV-S1089</t>
  </si>
  <si>
    <t xml:space="preserve">80/A. § 3.</t>
  </si>
  <si>
    <t xml:space="preserve">3. megfelelőségértékelés: az (EU) 2024/2847 európai parlamenti és tanácsi rendelet 3. cikk 27. pontjában meghatározott fogalom;</t>
  </si>
  <si>
    <t xml:space="preserve">TV-S1090</t>
  </si>
  <si>
    <t xml:space="preserve">80/A. § 4.</t>
  </si>
  <si>
    <t xml:space="preserve">4. piacfelügyeleti hatóság: az (EU) 2024/2847 európai parlamenti és tanácsi rendelet 3. cikk 33. pontjában meghatározott fogalom.</t>
  </si>
  <si>
    <t xml:space="preserve">TV-S1091</t>
  </si>
  <si>
    <t xml:space="preserve">80/B. § Az (EU) 2024/2847 európai parlamenti és tanácsi rendelet előírásai tekintetében bejelentő hatóságként és piacfelügyeleti hatóságként az SZTFH jár el.</t>
  </si>
  <si>
    <t xml:space="preserve">TV-S1092</t>
  </si>
  <si>
    <t xml:space="preserve">TV-S1093</t>
  </si>
  <si>
    <t xml:space="preserve">80/C. § (1)</t>
  </si>
  <si>
    <t xml:space="preserve">80/C. § (1) E fejezet szerinti megfelelőségértékelési tevékenységet csak olyan szervezet végezhet,</t>
  </si>
  <si>
    <t xml:space="preserve">TV-S1094</t>
  </si>
  <si>
    <t xml:space="preserve">80/C. § (1) a)</t>
  </si>
  <si>
    <t xml:space="preserve">a) amely megfelel az (EU) 2024/2847 európai parlamenti és tanácsi rendelet 39. cikk (2)–(12) bekezdése szerinti követelményeknek,</t>
  </si>
  <si>
    <t xml:space="preserve">TV-S1095</t>
  </si>
  <si>
    <t xml:space="preserve">80/C. § (1) b)</t>
  </si>
  <si>
    <t xml:space="preserve">b) amelyet az SZTFH nyilvántartásba vett, és</t>
  </si>
  <si>
    <t xml:space="preserve">TV-S1096</t>
  </si>
  <si>
    <t xml:space="preserve">80/C. § (1) c)</t>
  </si>
  <si>
    <t xml:space="preserve">c) amely esetében teljesül az (EU) 2024/2847 európai parlamenti és tanácsi rendelet 43. cikk (5) bekezdése szerinti feltétel.</t>
  </si>
  <si>
    <t xml:space="preserve">TV-S1097</t>
  </si>
  <si>
    <t xml:space="preserve">80/C. § (2)</t>
  </si>
  <si>
    <t xml:space="preserve">(2) Az e fejezetben szabályozott megfelelőségértékelési tevékenységre, valamint az SZTFH e fejezet szerinti tevékenységére nem kell alkalmazni a megfelelőségértékelő szervezetek tevékenységéről szóló törvény rendelkezéseit.</t>
  </si>
  <si>
    <t xml:space="preserve">TV-S1098</t>
  </si>
  <si>
    <t xml:space="preserve">80/C. § (3)</t>
  </si>
  <si>
    <t xml:space="preserve">(3) Az (EU) 2024/2847 európai parlamenti és tanácsi rendelet 36. cikk (1) bekezdése szerinti kijelölésre az (1) bekezdés b) pontja szerinti nyilvántartásba vétellel kerül sor.</t>
  </si>
  <si>
    <t xml:space="preserve">TV-S1099</t>
  </si>
  <si>
    <t xml:space="preserve">80/C. § (4)</t>
  </si>
  <si>
    <t xml:space="preserve">(4) A megfelelőségértékelő szervezetek (1) bekezdés b) pontja szerinti nyilvántartásba vételének feltételeire, valamint az (EU) 2024/2847 európai parlamenti és tanácsi rendelet 39. cikk (2)–(12) bekezdése szerinti egyes követelmények teljesítésére vonatkozó részletes szabályokat, ezek igazolásának módját, továbbá a nyilvántartásba vételi eljárás rendjét az SZTFH elnöke rendeletben határozza meg.</t>
  </si>
  <si>
    <t xml:space="preserve">TV-S1100</t>
  </si>
  <si>
    <t xml:space="preserve">80/C. § (5)</t>
  </si>
  <si>
    <t xml:space="preserve">(5) Az SZTFH mint bejelentő hatóság eljárása során a sommás eljárás kizárt.</t>
  </si>
  <si>
    <t xml:space="preserve">TV-S1101</t>
  </si>
  <si>
    <t xml:space="preserve">80/C. § (6)</t>
  </si>
  <si>
    <t xml:space="preserve">(6) Az SZTFH mint bejelentő hatóság ügyintézési határideje 120 nap.</t>
  </si>
  <si>
    <t xml:space="preserve">TV-S1102</t>
  </si>
  <si>
    <t xml:space="preserve">80/D. § (1)</t>
  </si>
  <si>
    <t xml:space="preserve">80/D. § (1) Az (EU) 2024/2847 európai parlamenti és tanácsi rendelet 39. cikke szerinti összeférhetetlenségi követelmények megsértését bárki bejelentheti az SZTFH-nak.</t>
  </si>
  <si>
    <t xml:space="preserve">TV-S1103</t>
  </si>
  <si>
    <t xml:space="preserve">80/D. § (2)</t>
  </si>
  <si>
    <t xml:space="preserve">(2) Az (1) bekezdés szerinti bejelentést az SZTFH kivizsgálja. Ha a bejelentés megalapozott, továbbá ha az összeférhetetlenséget saját hatáskörben maga észleli, az SZTFH haladéktalanul értesíti a bejelentett szervezetet, amely az értesítés kézhezvételét követően haladéktalanul köteles felfüggeszteni az összeférhetetlenséggel érintett tevékenységet.</t>
  </si>
  <si>
    <t xml:space="preserve">TV-S1104</t>
  </si>
  <si>
    <t xml:space="preserve">80/D. § (3)</t>
  </si>
  <si>
    <t xml:space="preserve">(3) Ha a bejelentett szervezet az összeférhetetlenség fennállását maga észleli, az észlelést követően haladéktalanul köteles azt bejelenteni az SZTFH-nak és felfüggeszteni az összeférhetetlenséggel érintett tevékenységet.</t>
  </si>
  <si>
    <t xml:space="preserve">TV-S1105</t>
  </si>
  <si>
    <t xml:space="preserve">80/D. § (4)</t>
  </si>
  <si>
    <t xml:space="preserve">(4) A bejelentett szervezet köteles tájékoztatni az SZTFH-t az összeférhetetlenség megszüntetésére tett vagy tervezett intézkedéseiről a (2) bekezdés szerinti esetben az SZTFH értesítésének kézhezvételétől számított, a (3) bekezdés szerinti esetben pedig a saját bejelentésétől számított huszonegy napon belül.</t>
  </si>
  <si>
    <t xml:space="preserve">TV-S1106</t>
  </si>
  <si>
    <t xml:space="preserve">80/D. § (5)</t>
  </si>
  <si>
    <t xml:space="preserve">(5) Az SZTFH az összeférhetetlenség megszüntetésére tett intézkedésekről szóló tájékoztatás kézhezvételétől számított nyolc napon belül dönt az intézkedések megfelelőségéről. Ha az összeférhetetlenség megszüntetése biztosított, a bejelentett szervezet az SZTFH döntése alapján a tevékenységet folytathatja, ellenkező esetben az SZTFH megszüntethető összeférhetetlenség esetén az (EU) 2024/2847 európai parlamenti és tanácsi rendelet 43. cikke szerinti bejelentést felfüggeszti, a meg nem szüntethető összeférhetetlenség esetén visszavonja.</t>
  </si>
  <si>
    <t xml:space="preserve">TV-S1107</t>
  </si>
  <si>
    <t xml:space="preserve">80/D. § (6)</t>
  </si>
  <si>
    <t xml:space="preserve">(6) Az SZTFH az összeférhetetlenségi követelmények megsértésével végzett megfelelőségértékelési tevékenységek eredményének, továbbá az így kiadott tanúsítványok visszavonására kötelezi a kijelölt szervezetet. Nem kell alkalmazni ezt a rendelkezést, ha az összeférhetetlenség a megfelelőségértékelési tevékenységet elvégző munkavállaló vagy a bejelentett szervezettel munkavégzésre irányuló egyéb jogviszonyban álló személy vonatkozásában állt fenn, azonban a bejelentett szervezet más, összeférhetetlenséggel nem érintett munkavállalója vagy vele munkavégzésre irányuló egyéb jogviszonyban álló ilyen személy által harminc napon belül elvégzett megfelelőségértékelés azonos eredményre vezetett.</t>
  </si>
  <si>
    <t xml:space="preserve">TV-S1108</t>
  </si>
  <si>
    <t xml:space="preserve">80/E. § (1)</t>
  </si>
  <si>
    <t xml:space="preserve">80/E. § (1) Az SZTFH nyilvántartja és kezeli</t>
  </si>
  <si>
    <t xml:space="preserve">TV-S1109</t>
  </si>
  <si>
    <t xml:space="preserve">80/E. § (1) a)</t>
  </si>
  <si>
    <t xml:space="preserve">a) a megfelelőségértékelő vagy a bejelentett szervezet és annak kijelölt kapcsolattartója azonosításához szükséges adatokat, elérhetőségét, valamint az SZTFH elnökének rendeletében meghatározott követelmények teljesülését alátámasztó dokumentumokat,</t>
  </si>
  <si>
    <t xml:space="preserve">TV-S1110</t>
  </si>
  <si>
    <t xml:space="preserve">80/E. § (1) b)</t>
  </si>
  <si>
    <t xml:space="preserve">b) a megfelelőségértékelő vagy a bejelentett szervezet nyilvántartásba vételének és nyilvántartásból való törlésének időpontját, és nyilvántartási számát,</t>
  </si>
  <si>
    <t xml:space="preserve">TV-S1111</t>
  </si>
  <si>
    <t xml:space="preserve">80/E. § (1) c)</t>
  </si>
  <si>
    <t xml:space="preserve">c) a nyilvántartásból való törlés indokát,</t>
  </si>
  <si>
    <t xml:space="preserve">TV-S1112</t>
  </si>
  <si>
    <t xml:space="preserve">80/E. § (1) d)</t>
  </si>
  <si>
    <t xml:space="preserve">d) az (EU) 2024/2847 európai parlamenti és tanácsi rendelet 43. cikke szerinti bejelentés időpontját,</t>
  </si>
  <si>
    <t xml:space="preserve">TV-S1113</t>
  </si>
  <si>
    <t xml:space="preserve">80/E. § (1) e)</t>
  </si>
  <si>
    <t xml:space="preserve">e) az (EU) 2024/2847 európai parlamenti és tanácsi rendelet 44. cikk (1) bekezdése szerinti azonosító számot,</t>
  </si>
  <si>
    <t xml:space="preserve">TV-S1114</t>
  </si>
  <si>
    <t xml:space="preserve">80/E. § (1) f)</t>
  </si>
  <si>
    <t xml:space="preserve">f) annak tényét, ha az SZTFH az (EU) 2024/2847 európai parlamenti és tanácsi rendelet 43. cikke szerinti bejelentést korlátozta, felfüggesztette vagy visszavonta, valamint e döntés időpontját,</t>
  </si>
  <si>
    <t xml:space="preserve">TV-S1115</t>
  </si>
  <si>
    <t xml:space="preserve">80/E. § (1) g)</t>
  </si>
  <si>
    <t xml:space="preserve">g) azon megfelelőségértékelési modult vagy modulokat, amely tekintetében a bejelentett szervezet megfelelőségértékelési eljárást folytathat,</t>
  </si>
  <si>
    <t xml:space="preserve">TV-S1116</t>
  </si>
  <si>
    <t xml:space="preserve">80/E. § (1) h)</t>
  </si>
  <si>
    <t xml:space="preserve">h) a bejelentett szervezet által kiadott tanúsítvány adatait,</t>
  </si>
  <si>
    <t xml:space="preserve">TV-S1117</t>
  </si>
  <si>
    <t xml:space="preserve">80/E. § (1) i)</t>
  </si>
  <si>
    <t xml:space="preserve">i) a tanúsítványok kiállításának elutasításával, hatályának korlátozásával, felfüggesztésével és a visszavonásával kapcsolatos információkat,</t>
  </si>
  <si>
    <t xml:space="preserve">TV-S1118</t>
  </si>
  <si>
    <t xml:space="preserve">80/E. § (1) j)</t>
  </si>
  <si>
    <t xml:space="preserve">j) a benyújtott panaszokkal kapcsolatos adatokat, dokumentumokat,</t>
  </si>
  <si>
    <t xml:space="preserve">TV-S1119</t>
  </si>
  <si>
    <t xml:space="preserve">80/E. § (1) k)</t>
  </si>
  <si>
    <t xml:space="preserve">k) az SZTFH elnökének rendeletében előírt további, személyes adatnak nem minősülő adatokat.</t>
  </si>
  <si>
    <t xml:space="preserve">TV-S1120</t>
  </si>
  <si>
    <t xml:space="preserve">80/E. § (2)</t>
  </si>
  <si>
    <t xml:space="preserve">(2) Az (1) bekezdés szerinti nyilvántartás az (1) bekezdés b) és f) pontja szerinti adatok tekintetében közhiteles hatósági nyilvántartás.</t>
  </si>
  <si>
    <t xml:space="preserve">TV-S1121</t>
  </si>
  <si>
    <t xml:space="preserve">80/E. § (3)</t>
  </si>
  <si>
    <t xml:space="preserve">(3) Az (1) bekezdés szerinti adatok kezelésének célja a megfelelőségértékelő szervezetekkel és a bejelentett szervezetekkel kapcsolatos információk naprakészen tartása, valamint az SZTFH ellenőrzési és nyomonkövetési tevékenységének ellátása.</t>
  </si>
  <si>
    <t xml:space="preserve">TV-S1122</t>
  </si>
  <si>
    <t xml:space="preserve">80/E. § (4)</t>
  </si>
  <si>
    <t xml:space="preserve">(4) A megfelelőségértékelő szervezet vagy a bejelentett szervezet az (1) bekezdés szerinti adatokat az adatok rendelkezésre állásától, valamint az adatok változását a változás bekövetkezésétől számított 8 napon belül megküldi az SZTFH részére a nyilvántartásba vétel érdekében.</t>
  </si>
  <si>
    <t xml:space="preserve">TV-S1123</t>
  </si>
  <si>
    <t xml:space="preserve">80/E. § (5)</t>
  </si>
  <si>
    <t xml:space="preserve">(5) Az SZTFH a honlapján közzéteszi a bejelentett szervezet megnevezését, székhelyének címét, elektronikus levelezési címét és telefonszámát, valamint az (1) bekezdés b), e) és g) pontja szerinti adatait.</t>
  </si>
  <si>
    <t xml:space="preserve">TV-S1124</t>
  </si>
  <si>
    <t xml:space="preserve">80/E. § (6)</t>
  </si>
  <si>
    <t xml:space="preserve">(6) Ha a bejelentett szervezet az e fejezet szerinti megfelelőségértékelési tevékenységet már nem végez, akkor az SZTFH a rá vonatkozó (EU) 2024/2847 európai parlamenti és tanácsi rendelet 43. cikke szerinti bejelentést haladéktalanul visszavonja.</t>
  </si>
  <si>
    <t xml:space="preserve">TV-S1125</t>
  </si>
  <si>
    <t xml:space="preserve">80/E. § (7)</t>
  </si>
  <si>
    <t xml:space="preserve">(7) Ha az SZTFH az (EU) 2024/2847 európai parlamenti és tanácsi rendelet 43. cikke szerinti bejelentést visszavonja, vagy az (EU) 2024/2847 európai parlamenti és tanácsi rendelet 43. cikk (5) bekezdése szerinti feltétel nem teljesül, az SZTFH az érintett bejelentett vagy megfelelőségértékelő szervezet (1) bekezdés szerinti adatait az e körülmények bekövetkezését követő öt év elteltével törli a nyilvántartásból.</t>
  </si>
  <si>
    <t xml:space="preserve">TV-S1126</t>
  </si>
  <si>
    <t xml:space="preserve">80/E. § (8)</t>
  </si>
  <si>
    <t xml:space="preserve">(8) Ha az (1) bekezdés szerinti adatok változását a bejelentett vagy megfelelőségértékelő szervezet bejelenti, a nyilvántartásban a változás bejegyzését megelőzően szereplő adatot az SZTFH az adat változása bejegyzését követő öt év elteltével a nyilvántartásból törli.</t>
  </si>
  <si>
    <t xml:space="preserve">TV-S1127</t>
  </si>
  <si>
    <t xml:space="preserve">80/F. § (1)</t>
  </si>
  <si>
    <t xml:space="preserve">80/F. § (1) A bejelentett szervezet az e fejezet szerinti megfelelőségértékelési tevékenységéről évente jelentést készít, amelyet az SZTFH elnökének rendeletében meghatározott tartalommal, határidőben és módon nyújt be az SZTFH részére.</t>
  </si>
  <si>
    <t xml:space="preserve">TV-S1128</t>
  </si>
  <si>
    <t xml:space="preserve">80/F. § (2)</t>
  </si>
  <si>
    <t xml:space="preserve">(2) A bejelentett szervezet közvetlenül vagy kijelölt képviselőjén keresztül részt vesz az (EU) 2024/2847 európai parlamenti és tanácsi rendelet 51. cikk (1) bekezdése szerinti csoport munkájában.</t>
  </si>
  <si>
    <t xml:space="preserve">TV-S1129</t>
  </si>
  <si>
    <t xml:space="preserve">80/G. § A megfelelőségértékelő szervezet döntésével szemben az (EU) 2024/2847 európai parlamenti és tanácsi rendelet szerinti gyártó polgári ügyekben eljáró bírósághoz fordulhat.</t>
  </si>
  <si>
    <t xml:space="preserve">TV-S1130</t>
  </si>
  <si>
    <t xml:space="preserve">X. FEJEZET</t>
  </si>
  <si>
    <t xml:space="preserve">TV-S1131</t>
  </si>
  <si>
    <t xml:space="preserve">ZÁRÓ RENDELKEZÉSEK</t>
  </si>
  <si>
    <t xml:space="preserve">TV-S1132</t>
  </si>
  <si>
    <t xml:space="preserve">TV-S1133</t>
  </si>
  <si>
    <t xml:space="preserve">81. § (1)</t>
  </si>
  <si>
    <t xml:space="preserve">81. § (1) Felhatalmazást kap a Kormány, hogy rendeletben kijelölje</t>
  </si>
  <si>
    <t xml:space="preserve">TV-S1134</t>
  </si>
  <si>
    <t xml:space="preserve">81. § (1) a)</t>
  </si>
  <si>
    <t xml:space="preserve">a) a kiberbiztonsági szolgáltatások nyújtására jogosult szervet,</t>
  </si>
  <si>
    <t xml:space="preserve">TV-S1135</t>
  </si>
  <si>
    <t xml:space="preserve">81. § (1) b)</t>
  </si>
  <si>
    <t xml:space="preserve">b) a nemzeti kiberbiztonsági hatóságot,</t>
  </si>
  <si>
    <t xml:space="preserve">TV-S1136</t>
  </si>
  <si>
    <t xml:space="preserve">81. § (1) c)</t>
  </si>
  <si>
    <t xml:space="preserve">c) a honvédelmi célú elektronikus információs rendszerek tekintetében a kiberbiztonsági felügyeletet ellátó hatóságot,</t>
  </si>
  <si>
    <t xml:space="preserve">TV-S1137</t>
  </si>
  <si>
    <t xml:space="preserve">81. § (1) d)</t>
  </si>
  <si>
    <t xml:space="preserve">d) a 45. § (1) bekezdés b) pontja szerinti tanúsító hatóságot,</t>
  </si>
  <si>
    <t xml:space="preserve">TV-S1138</t>
  </si>
  <si>
    <t xml:space="preserve">81. § (1) e)</t>
  </si>
  <si>
    <t xml:space="preserve">e) a sérülékenységvizsgálat végzésére jogosult állami szervet,</t>
  </si>
  <si>
    <t xml:space="preserve">TV-S1139</t>
  </si>
  <si>
    <t xml:space="preserve">81. § (1) f)</t>
  </si>
  <si>
    <t xml:space="preserve">f) a nemzeti kiberbiztonsági incidenskezelő központ működtetését végző szervet,</t>
  </si>
  <si>
    <t xml:space="preserve">TV-S1140</t>
  </si>
  <si>
    <t xml:space="preserve">81. § (1) g)</t>
  </si>
  <si>
    <t xml:space="preserve">g) a honvédelmi kiberbiztonsági incidenskezelő központ működtetését végző szervet,</t>
  </si>
  <si>
    <t xml:space="preserve">TV-S1141</t>
  </si>
  <si>
    <t xml:space="preserve">81. § (1) h)</t>
  </si>
  <si>
    <t xml:space="preserve">h) a kiberbiztonsági válsághelyzet kezelésében részt vevő szerveket és szervezeteket, az EU-CyCLONE-ban Magyarország képviseletét ellátó szerveket</t>
  </si>
  <si>
    <t xml:space="preserve">TV-S1142</t>
  </si>
  <si>
    <t xml:space="preserve">81. § (1) i)</t>
  </si>
  <si>
    <t xml:space="preserve">i) a nemzeti koordinációs központot, valamint</t>
  </si>
  <si>
    <t xml:space="preserve">TV-S1143</t>
  </si>
  <si>
    <t xml:space="preserve">81. § (1) j)</t>
  </si>
  <si>
    <t xml:space="preserve">j) a 24. § (9) bekezdése szerinti adatszolgáltatást teljesítő élelmiszerlánc-felügyeleti szervet.</t>
  </si>
  <si>
    <t xml:space="preserve">TV-S1144</t>
  </si>
  <si>
    <t xml:space="preserve">81. § (2)</t>
  </si>
  <si>
    <t xml:space="preserve">(2) Felhatalmazást kap a Kormány, hogy rendeletben megállapítsa</t>
  </si>
  <si>
    <t xml:space="preserve">TV-S1145</t>
  </si>
  <si>
    <t xml:space="preserve">81. § (2) 1.</t>
  </si>
  <si>
    <t xml:space="preserve">1. a kiberbiztonsági szolgáltatások részletes szabályait, a kiberbiztonsági szolgáltatások körét, az igénybevételére kötelezett, illetve jogosult szervezeteket, valamint a szolgáltatások igénybevételének rendjét,</t>
  </si>
  <si>
    <t xml:space="preserve">TV-S1146</t>
  </si>
  <si>
    <t xml:space="preserve">81. § (2) 2.</t>
  </si>
  <si>
    <t xml:space="preserve">2. az 1. § (1) bekezdés a)–c) és f) pontja szerinti szervezetek kötelezettségeire vonatkozó részletes rendelkezéseket;</t>
  </si>
  <si>
    <t xml:space="preserve">TV-S1147</t>
  </si>
  <si>
    <t xml:space="preserve">81. § (2) 3.</t>
  </si>
  <si>
    <t xml:space="preserve">3. az elektronikus információs rendszerekben kezelt adatok osztályozására vonatkozó részletes szabályokat;</t>
  </si>
  <si>
    <t xml:space="preserve">TV-S1148</t>
  </si>
  <si>
    <t xml:space="preserve">81. § (2) 4.</t>
  </si>
  <si>
    <t xml:space="preserve">4. a 11. § (1) bekezdése szerinti megállapodás minimális tartalmi elemeit;</t>
  </si>
  <si>
    <t xml:space="preserve">TV-S1149</t>
  </si>
  <si>
    <t xml:space="preserve">81. § (2) 5.</t>
  </si>
  <si>
    <t xml:space="preserve">5. az elektronikus információs rendszer biztonságáért felelős személy részletes feladat- és hatáskörét, az elektronikus információs rendszer biztonságáért felelős személy feladatainak ellátására alkalmas személyek nyilvántartásába kerülés, illetve az onnan való törlés rendjét;</t>
  </si>
  <si>
    <t xml:space="preserve">TV-S1150</t>
  </si>
  <si>
    <t xml:space="preserve">81. § (2) 6.</t>
  </si>
  <si>
    <t xml:space="preserve">6. az 1. § (1) bekezdés a)–c) és f) pontja szerinti szervezet elektronikus információs rendszerei fejlesztése során alkalmazandó részletes szabályokat;</t>
  </si>
  <si>
    <t xml:space="preserve">TV-S1151</t>
  </si>
  <si>
    <t xml:space="preserve">81. § (2) 7.</t>
  </si>
  <si>
    <t xml:space="preserve">7. a központi szolgáltató által az állami és önkormányzati feladatot ellátó szervezet részére jogszabály alapján kizárólagos joggal nyújtott informatikai és elektronikus hírközlési szolgáltatási feladatokra vonatkozó részletes szabályokat;</t>
  </si>
  <si>
    <t xml:space="preserve">TV-S1152</t>
  </si>
  <si>
    <t xml:space="preserve">81. § (2) 8.</t>
  </si>
  <si>
    <t xml:space="preserve">8. a nemzeti kiberbiztonsági hatóság, valamint a honvédelmi célú elektronikus információs rendszerek tekintetében a kiberbiztonsági felügyeletet ellátó hatóság feladat- és hatáskörét, valamint az eljárására és a nyilvántartásra vonatkozó részletes szabályokat;</t>
  </si>
  <si>
    <t xml:space="preserve">TV-S1153</t>
  </si>
  <si>
    <t xml:space="preserve">81. § (2) 9.</t>
  </si>
  <si>
    <t xml:space="preserve">9. az 1. § (1) bekezdés a)–c) és f) pontja szerinti szervezetek esetében az információbiztonsági felügyelő személyével szembeni követelményeket, a kirendelésére, jogosítványaira, feladataira vonatkozó részletes szabályokat;</t>
  </si>
  <si>
    <t xml:space="preserve">TV-S1154</t>
  </si>
  <si>
    <t xml:space="preserve">81. § (2) 10.</t>
  </si>
  <si>
    <t xml:space="preserve">10. a kiberbiztonsági hatóság által kiszabható bírság mértékét, megállapításának szempontrendszerét, valamint a bírság megfizetése módjának részletes eljárási szabályait;</t>
  </si>
  <si>
    <t xml:space="preserve">TV-S1155</t>
  </si>
  <si>
    <t xml:space="preserve">81. § (2) 11.</t>
  </si>
  <si>
    <t xml:space="preserve">11. a tanúsító hatóság által kiszabható bírság mértékét, megállapításának szempontrendszerét, valamint a bírság megfizetése módjának részletes eljárási szabályait;</t>
  </si>
  <si>
    <t xml:space="preserve">TV-S1156</t>
  </si>
  <si>
    <t xml:space="preserve">81. § (2) 12.</t>
  </si>
  <si>
    <t xml:space="preserve">12. a 45. § (1) bekezdés b) pontja szerinti tanúsító hatóság feladatának, a tanúsító hatósági tevékenység eljárásrendjének, az engedélyezési eljárásnak, a hatósági ellenőrzésnek, a nyilvántartás vezetésének részletes szabályait, valamint a nyilvántartás személyes adatot nem tartalmazó adattartalmát, valamint a megfelelőségi jelölés elhelyezésére vonatkozó szabályokat;</t>
  </si>
  <si>
    <t xml:space="preserve">TV-S1157</t>
  </si>
  <si>
    <t xml:space="preserve">81. § (2) 13.</t>
  </si>
  <si>
    <t xml:space="preserve">13. a hadiipari kutatás, fejlesztés, gyártás és kereskedelem tekintetében a megfelelőségi önértékelésre, a tanúsítási eljárásra, nemzeti kiberbiztonsági tanúsítási rendszer esetében a megfelelőségértékelő szervezetekkel szemben támasztott követelményekre, európai kiberbiztonsági tanúsítási rendszer esetében a megfelelőségértékelő szervezetek nyilvántartásba vételének feltételeire, valamint a megfelelőségértékelő szervezetek kötelezettségeire és tevékenységére vonatkozó részletes szabályokat;</t>
  </si>
  <si>
    <t xml:space="preserve">TV-S1158</t>
  </si>
  <si>
    <t xml:space="preserve">81. § (2) 14.</t>
  </si>
  <si>
    <t xml:space="preserve">14. a hadiipari kutatás, fejlesztés, gyártás és kereskedelem tekintetében a nemzeti kiberbiztonsági tanúsítási rendszerekre figyelemmel a tanúsítási rendszereket;</t>
  </si>
  <si>
    <t xml:space="preserve">TV-S1159</t>
  </si>
  <si>
    <t xml:space="preserve">81. § (2) 15.</t>
  </si>
  <si>
    <t xml:space="preserve">15. a sérülékenységvizsgálat végrehajtására vonatkozó részletszabályokat, az egyes sérülékenységvizsgálati módszereket, az állásfoglalás tartalmi elemeit;</t>
  </si>
  <si>
    <t xml:space="preserve">TV-S1160</t>
  </si>
  <si>
    <t xml:space="preserve">81. § (2) 16.</t>
  </si>
  <si>
    <t xml:space="preserve">16. a nemzeti kiberbiztonsági incidenskezelő központ, valamint a honvédelmi kiberbiztonsági incidenskezelő központ feladat- és hatáskörét, feladatai ellátásának részletes szabályait;</t>
  </si>
  <si>
    <t xml:space="preserve">TV-S1161</t>
  </si>
  <si>
    <t xml:space="preserve">81. § (2) 17.</t>
  </si>
  <si>
    <t xml:space="preserve">17. az ágazaton belüli kiberbiztonsági incidenskezelő központ létrehozatalára vonatkozó részletes szabályokat;</t>
  </si>
  <si>
    <t xml:space="preserve">TV-S1162</t>
  </si>
  <si>
    <t xml:space="preserve">81. § (2) 18.</t>
  </si>
  <si>
    <t xml:space="preserve">18. a sebezhetőségek, sérülékenységek felderítésének, bejelentésének részletes szabályait, a nemzeti kiberbiztonsági incidenskezelő központ által a bejelentett sebezhetőség, sérülékenységgel összefüggő koordinációs és egyéb feladatait;</t>
  </si>
  <si>
    <t xml:space="preserve">TV-S1163</t>
  </si>
  <si>
    <t xml:space="preserve">81. § (2) 19.</t>
  </si>
  <si>
    <t xml:space="preserve">19. a korai figyelmeztetés részletes szabályait, annak rendszerét, a rendszer üzemeltetőjének kijelölésére vonatkozó előírásokat, valamint a kapcsolódó korai figyelmeztető szolgáltatás igénybevételének rendjét;</t>
  </si>
  <si>
    <t xml:space="preserve">TV-S1164</t>
  </si>
  <si>
    <t xml:space="preserve">81. § (2) 20.</t>
  </si>
  <si>
    <t xml:space="preserve">20. a honvédelmi célú elektronikus információs rendszerekre vonatkozó korai figyelmeztetés részletes szabályait, annak rendszerét, a rendszer üzemeltetőjének kijelölésére vonatkozó előírásokat, valamint a kapcsolódó korai figyelmeztető szolgáltatás igénybevételének rendjét;</t>
  </si>
  <si>
    <t xml:space="preserve">TV-S1165</t>
  </si>
  <si>
    <t xml:space="preserve">81. § (2) 21.</t>
  </si>
  <si>
    <t xml:space="preserve">21. a fenyegetések, kiberbiztonsági incidensközeli helyzetek és kiberbiztonsági incidensek bejelentésének rendjét, a kiberbiztonsági incidensek és kiberbiztonsági incidensközeli helyzetek kezelésére és vizsgálatára vonatkozó részletszabályokat;</t>
  </si>
  <si>
    <t xml:space="preserve">TV-S1166</t>
  </si>
  <si>
    <t xml:space="preserve">81. § (2) 22.</t>
  </si>
  <si>
    <t xml:space="preserve">22. a hazai kiberbiztonsági gyakorlatok megtartásának részletszabályait;</t>
  </si>
  <si>
    <t xml:space="preserve">TV-S1167</t>
  </si>
  <si>
    <t xml:space="preserve">81. § (2) 23.</t>
  </si>
  <si>
    <t xml:space="preserve">23. a kiberbiztonsági válsághelyzet kezelésében érintett szervek és szervezetek feladat- és hatáskörét, a követendő eljárásrendet;</t>
  </si>
  <si>
    <t xml:space="preserve">TV-S1168</t>
  </si>
  <si>
    <t xml:space="preserve">81. § (2) 24.</t>
  </si>
  <si>
    <t xml:space="preserve">24. a Nemzeti Kiberbiztonsági Munkacsoport és annak működését támogató testületek létrehozásával, működtetésével kapcsolatos szabályokat, feladat- és hatásköröket, valamint</t>
  </si>
  <si>
    <t xml:space="preserve">TV-S1169</t>
  </si>
  <si>
    <t xml:space="preserve">81. § (2) 25.</t>
  </si>
  <si>
    <t xml:space="preserve">25. a 76. § (1) bekezdése szerinti szervek közötti és a 76. § (3) bekezdése szerinti szervezetekkel való együttműködés, valamint az Európai Bizottság és az ENISA részére történő tájékoztatás és adatszolgáltatás rendjére vonatkozó részletes szabályokat,</t>
  </si>
  <si>
    <t xml:space="preserve">TV-S1170</t>
  </si>
  <si>
    <t xml:space="preserve">81. § (2) 26.</t>
  </si>
  <si>
    <t xml:space="preserve">26. a nemzeti koordinációs központ feladat- és hatáskörére, eljárására, valamint a nyilvántartásra vonatkozó részletes szabályokat.</t>
  </si>
  <si>
    <t xml:space="preserve">TV-S1171</t>
  </si>
  <si>
    <t xml:space="preserve">81. § (3)</t>
  </si>
  <si>
    <t xml:space="preserve">(3) Felhatalmazást kap az informatikáért felelős miniszter, hogy rendeletben meghatározza</t>
  </si>
  <si>
    <t xml:space="preserve">TV-S1172</t>
  </si>
  <si>
    <t xml:space="preserve">81. § (3) a)</t>
  </si>
  <si>
    <t xml:space="preserve">a) a biztonsági osztályba sorolás követelményeit, valamint az egyes biztonsági osztályok esetében alkalmazandó konkrét védelmi intézkedéseket,</t>
  </si>
  <si>
    <t xml:space="preserve">TV-S1173</t>
  </si>
  <si>
    <t xml:space="preserve">81. § (3) b)</t>
  </si>
  <si>
    <t xml:space="preserve">b) a szervezet vezetőjének a képzésére és továbbképzésére, valamint az elektronikus információs rendszer biztonságáért felelős személynek a továbbképzésére vonatkozó rendelkezéseket,</t>
  </si>
  <si>
    <t xml:space="preserve">TV-S1174</t>
  </si>
  <si>
    <t xml:space="preserve">81. § (3) c)</t>
  </si>
  <si>
    <t xml:space="preserve">c) a – 11. § (3) bekezdés b) pontjában megjelölt szervezetek vonatkozásában – az elektronikus információs rendszer biztonságáért felelős személyeknél a feladatellátásához szükséges végzettséget, a szakképzettségeknek a 75. § (1) bekezdése szerinti nemzeti koordinációs központ általi közzétételi rendjét, vagy az elfogadható szakmai tapasztalatot, valamint – az 1. § (1) bekezdés a)–c) pontja szerinti szervezetek vonatkozásában – az információbiztonsági felügyelő feladatellátásához szükséges végzettséget, továbbképzési kötelezettséget és szakmai gyakorlatot és a szakképzettségeknek a 75. § (1) bekezdése szerinti nemzeti koordinációs központ általi közzétételi rendjét,</t>
  </si>
  <si>
    <t xml:space="preserve">TV-S1175</t>
  </si>
  <si>
    <t xml:space="preserve">81. § (3) d)</t>
  </si>
  <si>
    <t xml:space="preserve">d) a kötelezően alkalmazandó nemzeti vagy európai kiberbiztonsági tanúsítási rendszer alapján tanúsított IKT-termékeket, IKT-szolgáltatásokat vagy IKT-folyamatokat, valamint az ezek alkalmazására kötelezett, 1. § (1) bekezdés a)–c) és f) pontja szerinti szervezeteket.</t>
  </si>
  <si>
    <t xml:space="preserve">TV-S1176</t>
  </si>
  <si>
    <t xml:space="preserve">81. § (4)</t>
  </si>
  <si>
    <t xml:space="preserve">(4) Az informatikáért felelős miniszter a (3) bekezdés a) pontja szerinti rendeletet az SZTFH elnöke véleményének kikérését követően adja ki.</t>
  </si>
  <si>
    <t xml:space="preserve">TV-S1177</t>
  </si>
  <si>
    <t xml:space="preserve">81. § (5)</t>
  </si>
  <si>
    <t xml:space="preserve">(5) Felhatalmazást kap a honvédelemért felelős miniszter, hogy rendeletben meghatározza az adópolitikáért felelős miniszterrel egyetértésben a 45. § (1) bekezdés b) pontja szerinti tanúsító hatóság eljárásáért fizetendő igazgatási szolgáltatási díj mértékét, a díjak beszedésével, megosztásával, kezelésével, nyilvántartásával és visszatérítésével kapcsolatos részletes szabályokat.</t>
  </si>
  <si>
    <t xml:space="preserve">TV-S1178</t>
  </si>
  <si>
    <t xml:space="preserve">81. § (6)</t>
  </si>
  <si>
    <t xml:space="preserve">(6) Felhatalmazást kap az SZTFH elnöke, hogy rendeletben meghatározza</t>
  </si>
  <si>
    <t xml:space="preserve">TV-S1179</t>
  </si>
  <si>
    <t xml:space="preserve">81. § (6) a)</t>
  </si>
  <si>
    <t xml:space="preserve">a) a kiberbiztonsági felügyeleti díj mértékét, megfizetésére vonatkozó rendelkezéseket,</t>
  </si>
  <si>
    <t xml:space="preserve">TV-S1180</t>
  </si>
  <si>
    <t xml:space="preserve">81. § (6) b)</t>
  </si>
  <si>
    <t xml:space="preserve">b) az auditorok nyilvántartásba vételi eljárásának rendjét, és az auditorral szemben támasztott követelményeket,</t>
  </si>
  <si>
    <t xml:space="preserve">TV-S1181</t>
  </si>
  <si>
    <t xml:space="preserve">81. § (6) c)</t>
  </si>
  <si>
    <t xml:space="preserve">c) a kiberbiztonsági audit lefolytatásának rendjét, valamint a kiberbiztonsági audit – általános forgalmi adó nélkül számított – legmagasabb díját,</t>
  </si>
  <si>
    <t xml:space="preserve">TV-S1182</t>
  </si>
  <si>
    <t xml:space="preserve">81. § (6) d)</t>
  </si>
  <si>
    <t xml:space="preserve">d) az 1. § (1) bekezdés d) és e) pontja szerinti szervezetek, illetve az auditorok vonatkozásában a kiberbiztonsági felügyelet és feladatellátás, továbbá a hatósági ellenőrzés lefolytatásának részletes szabályait,</t>
  </si>
  <si>
    <t xml:space="preserve">TV-S1183</t>
  </si>
  <si>
    <t xml:space="preserve">81. § (6) e)</t>
  </si>
  <si>
    <t xml:space="preserve">e) az 1. § (1) bekezdés b), d) és e) pontja szerinti szervezeteknek a 29. § (1) bekezdés a) pontja szerinti kiberbiztonsági felügyeleti hatósági nyilvántartásba vételének rendjét, valamint a nyilvántartás személyes adatnak nem minősülő adattartalmára vonatkozó részletes szabályokat,</t>
  </si>
  <si>
    <t xml:space="preserve">TV-S1184</t>
  </si>
  <si>
    <t xml:space="preserve">81. § (6) f)</t>
  </si>
  <si>
    <t xml:space="preserve">f) az 1. § (1) bekezdés d) és e) pontja szerinti szervezetek esetében az információbiztonsági felügyelő személyével szembeni követelményeket, a kirendelésére, jogosítványaira, feladataira vonatkozó részletes szabályokat,</t>
  </si>
  <si>
    <t xml:space="preserve">TV-S1185</t>
  </si>
  <si>
    <t xml:space="preserve">81. § (6) g)</t>
  </si>
  <si>
    <t xml:space="preserve">g) a poszt-kvantumtitkosítás alkalmazására kötelezett szervezeteket,</t>
  </si>
  <si>
    <t xml:space="preserve">TV-S1186</t>
  </si>
  <si>
    <t xml:space="preserve">81. § (6) h)</t>
  </si>
  <si>
    <t xml:space="preserve">h) a poszt-kvantumtitkosítás alkalmazást nyújtó szervezet nyilvántartásba vételére, a nyilvántartás személyes adatot nem tartalmazó adattartalmára, valamint a poszt-kvantumtitkosítás alkalmazást nyújtó szervezet ellenőrzésére vonatkozó részletes szabályokat,</t>
  </si>
  <si>
    <t xml:space="preserve">TV-S1187</t>
  </si>
  <si>
    <t xml:space="preserve">81. § (6) i)</t>
  </si>
  <si>
    <t xml:space="preserve">i) a poszt-kvantumtitkosítás alkalmazást nyújtó szervezet informatikai rendszerelemei zártsága tanúsítására vonatkozó részletes szabályokat,</t>
  </si>
  <si>
    <t xml:space="preserve">TV-S1188</t>
  </si>
  <si>
    <t xml:space="preserve">81. § (6) j)</t>
  </si>
  <si>
    <t xml:space="preserve">j) a tanúsító szervezet nyilvántartásba vételére, a nyilvántartás személyes adatot nem tartalmazó adattartalmára, valamint a tanúsító szervezet ellenőrzésére vonatkozó részletes szabályokat,</t>
  </si>
  <si>
    <t xml:space="preserve">TV-S1189</t>
  </si>
  <si>
    <t xml:space="preserve">81. § (6) k)</t>
  </si>
  <si>
    <t xml:space="preserve">k) a 45. § (1) bekezdés b) pontja szerinti tanúsító hatósági tevékenység kivételével a tanúsító hatósági tevékenység eljárásrendjének, az engedélyezési eljárásnak, a hatósági ellenőrzésnek, a nyilvántartás vezetésének részletes szabályait és a nyilvántartás személyes adatot nem tartalmazó adattartalmát, valamint a megfelelőségi jelölés elhelyezésére vonatkozó szabályokat,</t>
  </si>
  <si>
    <t xml:space="preserve">TV-S1190</t>
  </si>
  <si>
    <t xml:space="preserve">81. § (6) l)</t>
  </si>
  <si>
    <t xml:space="preserve">l) – a hadiipari kutatás, fejlesztés, gyártás és kereskedelem kivételével – a megfelelőségi önértékelésre, a tanúsítási eljárásra, nemzeti kiberbiztonsági tanúsítási rendszer esetében a megfelelőségértékelő szervezetekkel szemben támasztott követelményekre, európai kiberbiztonsági tanúsítási rendszer esetében a megfelelőségértékelő szervezetek nyilvántartásba vételének feltételeire, valamint a megfelelőségértékelő szervezetek kötelezettségeire és azok tevékenységére vonatkozó részletes szabályokat,</t>
  </si>
  <si>
    <t xml:space="preserve">TV-S1191</t>
  </si>
  <si>
    <t xml:space="preserve">81. § (6) m)</t>
  </si>
  <si>
    <t xml:space="preserve">m) a hadiipari kutatás, fejlesztés, gyártás és kereskedelem kivételével a nemzeti kiberbiztonsági tanúsítási rendszereket,</t>
  </si>
  <si>
    <t xml:space="preserve">TV-S1192</t>
  </si>
  <si>
    <t xml:space="preserve">81. § (6) n)</t>
  </si>
  <si>
    <t xml:space="preserve">n) a kötelezően alkalmazandó nemzeti vagy európai kiberbiztonsági tanúsítási rendszer alapján tanúsított IKT-termékeket, IKT-szolgáltatásokat vagy IKT-folyamatokat, valamint az ezek alkalmazására kötelezett, 1. § (1) bekezdés d) és e) pontja szerinti szervezeteket,</t>
  </si>
  <si>
    <t xml:space="preserve">TV-S1193</t>
  </si>
  <si>
    <t xml:space="preserve">81. § (6) o)</t>
  </si>
  <si>
    <t xml:space="preserve">o) a megfelelőségértékelő szervezetek 80/C. § (1) bekezdés b) pontja szerinti nyilvántartásba vételének feltételeire, valamint az (EU) 2024/2847 európai parlamenti és tanácsi rendelet 39. cikk (2)–(12) bekezdése szerinti egyes követelmények teljesítésére vonatkozó részletes szabályokat, ezek igazolásának módját, továbbá a nyilvántartásba vételi eljárás rendjét és a nyilvántartás törvényben nem szabályozott személyes adatnak nem minősülő adattartalmát,</t>
  </si>
  <si>
    <t xml:space="preserve">TV-S1194</t>
  </si>
  <si>
    <t xml:space="preserve">81. § (6) p)</t>
  </si>
  <si>
    <t xml:space="preserve">p) a 80/F. § (1) bekezdése szerinti jelentés tartalmi követelményeit, benyújtásának idejét és módját.</t>
  </si>
  <si>
    <t xml:space="preserve">TV-S1195</t>
  </si>
  <si>
    <t xml:space="preserve">81. § (7)</t>
  </si>
  <si>
    <t xml:space="preserve">(7) Felhatalmazást kap az SZTFH elnöke, hogy rendeletben meghatározza</t>
  </si>
  <si>
    <t xml:space="preserve">TV-S1196</t>
  </si>
  <si>
    <t xml:space="preserve">81. § (7) a)</t>
  </si>
  <si>
    <t xml:space="preserve">a) a sérülékenységvizsgálat lefolytatására jogosult gazdálkodó szervezetek és személyek nyilvántartásba vételének részletes szabályait, a tevékenység végzéséhez szükséges infrastrukturális feltételeket és szakértelmet, valamint</t>
  </si>
  <si>
    <t xml:space="preserve">TV-S1197</t>
  </si>
  <si>
    <t xml:space="preserve">81. § (7) b)</t>
  </si>
  <si>
    <t xml:space="preserve">b) a kiberbiztonsági incidensek kezelésére jogosult gazdálkodó szervezetek nyilvántartásba vételének részletes szabályait, a nyilvántartás személyes adatot nem tartalmazó adattartalmát, valamint a tevékenység végzéséhez szükséges infrastrukturális feltételeket és szakértelmet.</t>
  </si>
  <si>
    <t xml:space="preserve">TV-S1198</t>
  </si>
  <si>
    <t xml:space="preserve">81. § (8)</t>
  </si>
  <si>
    <t xml:space="preserve">(8) Az SZTFH elnöke a (7) bekezdés szerinti rendeletet az informatikáért felelős miniszter véleményének kikérését követően adja ki.</t>
  </si>
  <si>
    <t xml:space="preserve">TV-S1199</t>
  </si>
  <si>
    <t xml:space="preserve">TV-S1200</t>
  </si>
  <si>
    <t xml:space="preserve">82. § (1)</t>
  </si>
  <si>
    <t xml:space="preserve">82. § (1) Ez a törvény – a (2) bekezdésben foglalt kivétellel – 2025. január 1-jén lép hatályba.</t>
  </si>
  <si>
    <t xml:space="preserve">TV-S1201</t>
  </si>
  <si>
    <t xml:space="preserve">82. § (2)</t>
  </si>
  <si>
    <t xml:space="preserve">(2) A 120. § (1) bekezdése 2025. január 2-án lép hatályba.</t>
  </si>
  <si>
    <t xml:space="preserve">TV-S1202</t>
  </si>
  <si>
    <t xml:space="preserve">TV-S1203</t>
  </si>
  <si>
    <t xml:space="preserve">83. § (1)</t>
  </si>
  <si>
    <t xml:space="preserve">TV-S1204</t>
  </si>
  <si>
    <t xml:space="preserve">83. § (2)</t>
  </si>
  <si>
    <t xml:space="preserve">(2) A 8. § (4) bekezdés szerinti adatszolgáltatási kötelezettséget az 1. § (1) bekezdés a) és b) pontja szerinti szervezet a 8. § (4) bekezdés szerinti határidőn belül teljesíti a nemzeti kiberbiztonsági hatóság részére, ha</t>
  </si>
  <si>
    <t xml:space="preserve">TV-S1205</t>
  </si>
  <si>
    <t xml:space="preserve">83. § (2) a)</t>
  </si>
  <si>
    <t xml:space="preserve">a) e törvény hatálybalépését megelőzően az Ibtv. hatálya alá tartozott és még nem teljesítette a 8. § (4) bekezdés szerinti kötelezettséget, valamint</t>
  </si>
  <si>
    <t xml:space="preserve">TV-S1206</t>
  </si>
  <si>
    <t xml:space="preserve">83. § (2) b)</t>
  </si>
  <si>
    <t xml:space="preserve">b) e törvény hatálybalépését megelőzően nem tartozott az Ibtv. hatálya alá.</t>
  </si>
  <si>
    <t xml:space="preserve">TV-S1207</t>
  </si>
  <si>
    <t xml:space="preserve">83. § (3)</t>
  </si>
  <si>
    <t xml:space="preserve">TV-S1208</t>
  </si>
  <si>
    <t xml:space="preserve">83. § (4)</t>
  </si>
  <si>
    <t xml:space="preserve">(4) Ha az 1. § (1) bekezdés a) és b) pontja szerinti szervezetnek az elektronikus információs rendszer biztonságáért felelős személye a törvény hatálybalépésekor nem felel meg a 11. § (4) bekezdése szerinti követelményeknek, az összeférhetetlenségi ok megszüntetésére 2 év áll rendelkezésére.</t>
  </si>
  <si>
    <t xml:space="preserve">TV-S1209</t>
  </si>
  <si>
    <t xml:space="preserve">83. § (5)</t>
  </si>
  <si>
    <t xml:space="preserve">(5) Ha az 1. § (1) bekezdés a) és b) pontja szerinti szervezetnek a már működő elektronikus információs rendszerei első alkalommal történő biztonsági osztályba sorolását az Ibtv. alapján e törvény hatálybalépéséig már el kellett volna végeznie, úgy az első alkalommal történő biztonsági osztályba sorolást e törvény hatálybalépését követő 120 napon belül – a 6. § szerinti kockázatmenedzsment keretrendszer létrehozatalával együttesen – kell elvégeznie.</t>
  </si>
  <si>
    <t xml:space="preserve">TV-S1210</t>
  </si>
  <si>
    <t xml:space="preserve">83. § (6)</t>
  </si>
  <si>
    <t xml:space="preserve">(6) Ha az 1. § (1) bekezdés a) és b) pontja szerinti szervezet elektronikus információs rendszerei biztonsági osztályba sorolásáról a kiberbiztonsági hatóság e törvény hatálybalépését megelőzően, az Ibtv. alapján hatósági döntést hozott, úgy a biztonsági osztályba sorolás felülvizsgálatát az e törvényben foglaltak szerint, a biztonsági osztályba sorolásról hozott hatósági döntés véglegessé válását követő két éven belül kell elvégezni. Ha ez alapján a felülvizsgálat esedékessége e törvény hatálybalépéséig már eltelt vagy e törvény hatálybalépésétől számított 180 napon belül van, a biztonsági osztályba sorolás felülvizsgálatára vonatkozó határidő meghosszabbodik olyan módon, hogy a rendelkezésre álló idő 180 nap legyen.</t>
  </si>
  <si>
    <t xml:space="preserve">TV-S1211</t>
  </si>
  <si>
    <t xml:space="preserve">84. § Az Ibtv. szerinti 1. és 2. biztonsági osztály az „alap”, a 3. és 4. biztonsági osztály a „jelentős”, az 5. biztonsági osztály a „magas” biztonsági osztálynak felel meg.</t>
  </si>
  <si>
    <t xml:space="preserve">TV-S1212</t>
  </si>
  <si>
    <t xml:space="preserve">85. § (1)</t>
  </si>
  <si>
    <t xml:space="preserve">85. § (1) Ha az 1. § (1) bekezdés a) pontja szerinti szervezet, valamint a 2. és 3. melléklet szerinti szervezetnek nem minősülő, 1. § (1) bekezdés b) pontja hatálya alá tartozó szervezet e törvény hatálybalépését megelőzően az Ibtv. hatálya alá tartozott, és már teljesítette az elektronikus információs rendszerei biztonsági osztályához ott előírt követelményeket, az informatikáért felelős miniszter rendeletében előírt új védelmi intézkedések kivitelezésére e törvény hatálybalépésétől számított 1 év áll rendelkezésére.</t>
  </si>
  <si>
    <t xml:space="preserve">TV-S1213</t>
  </si>
  <si>
    <t xml:space="preserve">85. § (2)</t>
  </si>
  <si>
    <t xml:space="preserve">(2) Ha az 1. § (1) bekezdés a) pontja szerinti szervezet, valamint a 2. és 3. melléklet szerinti szervezetnek nem minősülő, 1. § (1) bekezdés b) pontja hatálya alá tartozó szervezet e törvény hatálybalépését megelőzően az Ibtv. hatálya alá tartozott, és még nem kellett teljesítenie az elektronikus információs rendszerei biztonsági osztályához ott előírt követelményeket, az informatikáért felelős miniszter rendeletében előírt védelmi intézkedések bevezetésénél alkalmazhatja a 10. § (6) bekezdése szerinti fokozatos kivitelezés lehetőségét. A fokozatosságot figyelembe vevő határidő számítás alapját a 84. § szerint meghatározott biztonsági osztály képezi, amelyhez tartozó követelményeket már teljesíteni kellett. A védelmi intézkedések kivitelezésére rendelkezésre álló idő nem lehet kevesebb, mint 1 év.</t>
  </si>
  <si>
    <t xml:space="preserve">TV-S1214</t>
  </si>
  <si>
    <t xml:space="preserve">86. § (1)</t>
  </si>
  <si>
    <t xml:space="preserve">86. § (1) Az 1. § (1) bekezdés a) pontja szerinti szervezet, valamint a 2. és 3. melléklet szerinti szervezetnek nem minősülő, 1. § (1) bekezdés b) pontja hatálya alá tartozó szervezet esetében e törvény új rendszer fejlesztésére vonatkozó előírásait kell alkalmazni az e törvény hatálybalépésekor még használatba nem vett,</t>
  </si>
  <si>
    <t xml:space="preserve">TV-S1215</t>
  </si>
  <si>
    <t xml:space="preserve">86. § (1) a)</t>
  </si>
  <si>
    <t xml:space="preserve">a) saját fejlesztésű fejlesztés alatt álló rendszer esetében, amennyiben az erőforrásigényeket még nem fogadták el,</t>
  </si>
  <si>
    <t xml:space="preserve">TV-S1216</t>
  </si>
  <si>
    <t xml:space="preserve">86. § (1) b)</t>
  </si>
  <si>
    <t xml:space="preserve">b) külső fejlesztés alatt álló rendszer esetében, amennyiben a fejlesztésre irányuló beszerzési eljárást még nem írták ki, vagy a fejlesztésre irányuló szerződést még nem kötötték meg.</t>
  </si>
  <si>
    <t xml:space="preserve">TV-S1217</t>
  </si>
  <si>
    <t xml:space="preserve">86. § (2)</t>
  </si>
  <si>
    <t xml:space="preserve">(2) Ha az 1. § (1) bekezdés a) pontja szerinti szervezet, valamint a 2. és 3. melléklet szerinti szervezetnek nem minősülő, 1. § (1) bekezdés b) pontja hatálya alá tartozó szervezet fejlesztett rendszere e törvény hatályba lépésekor túljutott az elektronikus információs rendszer fejlesztésének (1) bekezdésben meghatározott lépésein,</t>
  </si>
  <si>
    <t xml:space="preserve">TV-S1218</t>
  </si>
  <si>
    <t xml:space="preserve">86. § (2) a)</t>
  </si>
  <si>
    <t xml:space="preserve">a) a szervezet – ha még nem végezte el, – 180 napon belül elvégzi az elektronikus információs rendszer biztonsági osztályba sorolását,</t>
  </si>
  <si>
    <t xml:space="preserve">TV-S1219</t>
  </si>
  <si>
    <t xml:space="preserve">86. § (2) b)</t>
  </si>
  <si>
    <t xml:space="preserve">b) az informatikáért felelős miniszter rendeletében előírt védelmi intézkedések teljesítésénél lehetősége van a 10. § (6) bekezdése szerinti fokozatos kivitelezésre, azzal, hogy a vonatkozó határidő számításának alapját e törvény hatálybalépésének napja képezi.</t>
  </si>
  <si>
    <t xml:space="preserve">TV-S1220</t>
  </si>
  <si>
    <t xml:space="preserve">87. § Ha az 1. § (1) bekezdés a) pontja szerinti szervezet, valamint a 2. és 3. melléklet szerinti szervezetnek nem minősülő, 1. § (1) bekezdés b) pontja hatálya alá tartozó szervezet e törvény hatálybalépését megelőzően az Ibtv. hatálya alá tartozott, az elektronikus információbiztonsági követelményeknek való megfelelés ellenőrzése során az e törvényben meghatározott határidők elteltéig a kiberbiztonsági hatóság az állami és önkormányzati szervek elektronikus információbiztonságáról szóló 2013. évi L. törvényben meghatározott technológiai biztonsági, valamint a biztonságos információs eszközökre, termékekre, továbbá a biztonsági osztályba és biztonsági szintbe sorolásra vonatkozó követelményekről szóló rendeletben foglaltaknak való megfelelést vizsgálja, kivéve, ha a szervezet az informatikáért felelős miniszter rendeletében előírt védelmi intézkedések teljesítéséről nyilatkozott.</t>
  </si>
  <si>
    <t xml:space="preserve">TV-S1221</t>
  </si>
  <si>
    <t xml:space="preserve">88. § (1)</t>
  </si>
  <si>
    <t xml:space="preserve">88. § (1) Az Ibtv. rendelkezései alapján folyamatban lévő hatósági ügyeket a kiberbiztonsági hatóság az Ibtv. szerint zárja le.</t>
  </si>
  <si>
    <t xml:space="preserve">TV-S1222</t>
  </si>
  <si>
    <t xml:space="preserve">88. § (2)</t>
  </si>
  <si>
    <t xml:space="preserve">(2) A létfontosságú rendszerek és létesítmények azonosításáról, kijelöléséről és védelméről szóló 2012. évi CLXVI. törvény alapján kijelölt létfontosságú rendszerelem üzemeltetője a Kszetv.-ben, illetve a Vbö.-ben meghatározott kijelölési eljárásban hozott döntés véglegessé válásáig e törvény alkalmazásában kritikus szervezetnek minősül.</t>
  </si>
  <si>
    <t xml:space="preserve">TV-S1223</t>
  </si>
  <si>
    <t xml:space="preserve">89. § (1)</t>
  </si>
  <si>
    <t xml:space="preserve">89. § (1) Az az 1. § (1) bekezdés b), d) vagy e) pontja szerinti szervezet, amely 2024. december 31. napján az SZTFH által a kiberbiztonsági tanúsításról és a kiberbiztonsági felügyeletről szóló 2023. évi XXIII. törvény 26. § (1) bekezdése szerint vezetett nyilvántartásban érintett szervezetként szerepel, nem köteles a 8. § (5) bekezdése szerinti bejelentés megtételére, a kiberbiztonsági tanúsításról és a kiberbiztonsági felügyeletről szóló 2023. évi XXIII. törvény 26. § (1) bekezdése szerinti nyilvántartásban szereplő adatait az SZTFH a 29. § (1) bekezdés a) pontja szerinti nyilvántartás részeként kezeli. A 29. § (1) bekezdés a) pont ae) alpontja szerinti adatokat 2025. február 15. napjáig kell bejelenteni az SZTFH részére.</t>
  </si>
  <si>
    <t xml:space="preserve">TV-S1224</t>
  </si>
  <si>
    <t xml:space="preserve">89. § (1a)</t>
  </si>
  <si>
    <t xml:space="preserve">(1a) Az 1. § (1) bekezdés b) pontja szerinti azon szervezet, amely egyúttal a 2. és 3. melléklet szerinti szervezet is, valamint az 1. § (1) bekezdés d) pontja és – a kis- és középvállalkozásokról, fejlődésük támogatásáról szóló törvény szerinti mikrovállalkozás kivételével – az 1. § (1) bekezdés e) pontja szerinti szervezet, amely 2025. január 1-je előtt megkezdte működését, a 16. § (2) bekezdés a) pontja szerinti kötelezettséget legkésőbb 2025. augusztus 31-ig köteles teljesíteni.</t>
  </si>
  <si>
    <t xml:space="preserve">TV-S1225</t>
  </si>
  <si>
    <t xml:space="preserve">89. § (2)</t>
  </si>
  <si>
    <t xml:space="preserve">(2) Az (1a) bekezdés szerinti szervezet a 16. § (1) bekezdése szerinti első kiberbiztonsági auditot 2026. június 30-ig köteles elvégeztetni.</t>
  </si>
  <si>
    <t xml:space="preserve">TV-S1226</t>
  </si>
  <si>
    <t xml:space="preserve">89. § (3)</t>
  </si>
  <si>
    <t xml:space="preserve">TV-S1227</t>
  </si>
  <si>
    <t xml:space="preserve">89. § (4)</t>
  </si>
  <si>
    <t xml:space="preserve">(4) Az a gazdálkodó szervezet, amely 2024. december 31. napján a kiberbiztonsági tanúsításról és a kiberbiztonsági felügyeletről szóló 2023. évi XXIII. törvény 23. § (6) bekezdése szerinti nyilvántartásban auditorként szerepel, nem köteles ismételten kérni nyilvántartásba vételét, a kiberbiztonsági tanúsításról és a kiberbiztonsági felügyeletről szóló 2023. évi XXIII. törvény 23. § (6) bekezdése szerinti nyilvántartásban szereplő adatait az SZTFH a 21. § (3) bekezdése szerinti nyilvántartás részeként kezeli.</t>
  </si>
  <si>
    <t xml:space="preserve">TV-S1228</t>
  </si>
  <si>
    <t xml:space="preserve">89. § (5)</t>
  </si>
  <si>
    <t xml:space="preserve">(5) Az a szervezet, amely 2024. december 31. napján a kiberbiztonsági tanúsításról és a kiberbiztonsági felügyeletről szóló 2023. évi XXIII. törvény 14. § (1) bekezdése szerinti nyilvántartásban megfelelőségértékelő szervezetként szerepel, nem köteles ismételten kérni nyilvántartásba vételét, a kiberbiztonsági tanúsításról és a kiberbiztonsági felügyeletről szóló 2023. évi XXIII. törvény 14. § (1) bekezdés c)–e), g)–j) és l) pontja szerinti adatait az SZTFH a 48. § (1) bekezdése szerinti nyilvántartás részeként kezeli.</t>
  </si>
  <si>
    <t xml:space="preserve">TV-S1229</t>
  </si>
  <si>
    <t xml:space="preserve">89. § (6)</t>
  </si>
  <si>
    <t xml:space="preserve">(6) A kiberbiztonsági tanúsításról és a kiberbiztonsági felügyeletről szóló 2023. évi XXIII. törvény 14. § (1) bekezdése szerinti nyilvántartásban 2024. december 31. napján szereplő – (7) bekezdés szerinti adatok körébe nem tartozó – adatokat nem kell ismételten bejelenteni, azokat az SZTFH a 48. § (1) bekezdése szerinti nyilvántartás részeként kezeli.</t>
  </si>
  <si>
    <t xml:space="preserve">TV-S1230</t>
  </si>
  <si>
    <t xml:space="preserve">89. § (7)</t>
  </si>
  <si>
    <t xml:space="preserve">(7) Az e törvény hatálybalépésekor a kiberbiztonsági tanúsításról és a kiberbiztonsági felügyeletről szóló 2023. évi XXIII. törvény alapján folyamatban lévő hatósági eljárásokat az SZTFH a kiberbiztonsági tanúsításról és a kiberbiztonsági felügyeletről szóló 2023. évi XXIII. törvény rendelkezéseinek alkalmazásával folytatja le azzal, hogy az e törvény hatálybalépésétől számított 30 napon belül az SZTFH jogosult hiánypótlást kibocsátani. Az eljárás eredményeként e törvény szerint nyilvántartandó adatokat az SZTFH az e törvény szerinti nyilvántartásokba jegyzi be.</t>
  </si>
  <si>
    <t xml:space="preserve">TV-S1231</t>
  </si>
  <si>
    <t xml:space="preserve">89. § (8)</t>
  </si>
  <si>
    <t xml:space="preserve">(8) Az a szervezet, amely 2024. december 31. napján a sérülékenységvizsgálat lefolytatásának szabályairól szóló kormányrendelet szerinti, a sérülékenységvizsgálat lefolytatására jogosult gazdálkodó szervezetekről vezetett nyilvántartásban szerepel, nem köteles ismételten kérni nyilvántartásba vételét, a nyilvántartásban szereplő adatait az SZTFH – az Alkotmányvédelmi Hivatal adatszolgáltatása alapján – az 57. § (1) bekezdés c) pontja szerinti nyilvántartás részeként kezeli.</t>
  </si>
  <si>
    <t xml:space="preserve">TV-S1232</t>
  </si>
  <si>
    <t xml:space="preserve">89. § (9)</t>
  </si>
  <si>
    <t xml:space="preserve">(9) Az 57. § (1) bekezdés c) pontja szerinti nyilvántartásba a (8) bekezdés alapján bejegyzett szervezet az e törvényben és az e törvény végrehajtására kiadott jogszabályban a nyilvántartásba vétel feltételeként meghatározott követelmények teljesítését 2025. július 31. napjáig igazolja az SZTFH részére. Az igazolás elmulasztása esetén az SZTFH törli a szervezetet a nyilvántartásából.</t>
  </si>
  <si>
    <t xml:space="preserve">TV-S1233</t>
  </si>
  <si>
    <t xml:space="preserve">TV-S1234</t>
  </si>
  <si>
    <t xml:space="preserve">90. § (1)</t>
  </si>
  <si>
    <t xml:space="preserve">90. § (1) A 93. § az Alaptörvény 46. cikk (6) bekezdése alapján sarkalatosnak minősül.</t>
  </si>
  <si>
    <t xml:space="preserve">TV-S1235</t>
  </si>
  <si>
    <t xml:space="preserve">90. § (2)</t>
  </si>
  <si>
    <t xml:space="preserve">(2) A 97. § az Alaptörvény IX. cikk (6) bekezdése alapján sarkalatosnak minősül.</t>
  </si>
  <si>
    <t xml:space="preserve">TV-S1236</t>
  </si>
  <si>
    <t xml:space="preserve">90. § (3)</t>
  </si>
  <si>
    <t xml:space="preserve">(3) A 118–121. § és a 123. § az Alaptörvény 23. cikk (4) bekezdése alapján sarkalatosnak minősül.</t>
  </si>
  <si>
    <t xml:space="preserve">TV-S1237</t>
  </si>
  <si>
    <t xml:space="preserve">TV-S1238</t>
  </si>
  <si>
    <t xml:space="preserve">90/A. § E törvénynek más jogszabályban alkalmazandó rövid megjelölése: Kiberbiztonsági tv.</t>
  </si>
  <si>
    <t xml:space="preserve">TV-S1239</t>
  </si>
  <si>
    <t xml:space="preserve">TV-S1240</t>
  </si>
  <si>
    <t xml:space="preserve">91. § (1)</t>
  </si>
  <si>
    <t xml:space="preserve">91. § (1) Ez a törvény</t>
  </si>
  <si>
    <t xml:space="preserve">TV-S1241</t>
  </si>
  <si>
    <t xml:space="preserve">91. § (1) a)</t>
  </si>
  <si>
    <t xml:space="preserve">a) az Unió egész területén egységesen magas szintű kiberbiztonságot biztosító intézkedésekről, valamint a 910/2014/EU rendelet és az (EU) 2018/1972 irányelv módosításáról és az (EU) 2016/1148 irányelv hatályon kívül helyezéséről (NIS 2 irányelv) szóló, 2022. december 14-i (EU) 2022/2555 európai parlamenti és tanácsi irányelvnek,</t>
  </si>
  <si>
    <t xml:space="preserve">TV-S1242</t>
  </si>
  <si>
    <t xml:space="preserve">91. § (1) b)</t>
  </si>
  <si>
    <t xml:space="preserve">b) a kritikus szervezetek rezilienciájáról és a 2008/114/EK tanácsi irányelv hatályon kívül helyezéséről szóló, 2022. december 14-i (EU) 2022/2557 európai parlamenti és tanácsi irányelvnek, valamint</t>
  </si>
  <si>
    <t xml:space="preserve">TV-S1243</t>
  </si>
  <si>
    <t xml:space="preserve">91. § (1) c)</t>
  </si>
  <si>
    <t xml:space="preserve">c) a belső piaci szolgáltatásokról szóló, 2006. december 12-i 2006/123/EK európai parlamenti és tanácsi irányelvnek</t>
  </si>
  <si>
    <t xml:space="preserve">TV-S1244</t>
  </si>
  <si>
    <t xml:space="preserve">való megfelelést szolgálja.</t>
  </si>
  <si>
    <t xml:space="preserve">TV-S1245</t>
  </si>
  <si>
    <t xml:space="preserve">91. § (2)</t>
  </si>
  <si>
    <t xml:space="preserve">(2) Ez a törvény</t>
  </si>
  <si>
    <t xml:space="preserve">TV-S1246</t>
  </si>
  <si>
    <t xml:space="preserve">91. § (2) a)</t>
  </si>
  <si>
    <t xml:space="preserve">a) az ENISA-ról (az Európai Uniós Kiberbiztonsági Ügynökségről) és az információs és kommunikációs technológiák kiberbiztonsági tanúsításáról, valamint az 526/2013/EU rendelet hatályon kívül helyezéséről (kiberbiztonsági jogszabály) szóló, 2019. április 17-i (EU) 2019/881 európai parlamenti és tanácsi rendeletnek,</t>
  </si>
  <si>
    <t xml:space="preserve">TV-S1247</t>
  </si>
  <si>
    <t xml:space="preserve">91. § (2) b)</t>
  </si>
  <si>
    <t xml:space="preserve">b) az Európai Kiberbiztonsági Ipari, Technológiai és Kutatási Kompetenciaközpontnak és a nemzeti koordinációs központok hálózatának a létrehozásáról szóló, 2021. május 20-i (EU) 2021/887 európai parlamenti és tanácsi rendeletnek,</t>
  </si>
  <si>
    <t xml:space="preserve">TV-S1248</t>
  </si>
  <si>
    <t xml:space="preserve">91. § (2) c)</t>
  </si>
  <si>
    <t xml:space="preserve">c) a pénzügyi ágazat digitális működési rezilienciájáról, valamint az 1060/2009/EK, a 648/2012/EU, a 600/2014/EU, a 909/2014/EU és az (EU) 2016/1011 rendelet módosításáról szóló, 2022. december 14-i (EU) 2022/2554 európai parlamenti és tanácsi rendeletnek,</t>
  </si>
  <si>
    <t xml:space="preserve">TV-S1249</t>
  </si>
  <si>
    <t xml:space="preserve">91. § (2) d)</t>
  </si>
  <si>
    <t xml:space="preserve">d) a digitális elemeket tartalmazó termékekre vonatkozó horizontális kiberbiztonsági követelményekről, valamint a 168/2013/EU és az (EU) 2019/1020 rendelet, és az (EU) 2020/1828 irányelv módosításáról (a kiberrezilienciáról szóló rendelet) szóló, 2024. október 23-i (EU) 2024/2847 európai parlamenti és tanácsi rendeletnek,</t>
  </si>
  <si>
    <t xml:space="preserve">TV-S1250</t>
  </si>
  <si>
    <t xml:space="preserve">91. § (2) e)</t>
  </si>
  <si>
    <t xml:space="preserve">e) a termékek forgalomba hozatalának közös keretrendszeréről, valamint a 93/465/EGK tanácsi határozat hatályon kívül helyezéséről szóló, 2008. július 9-i 768/2008/EK európai parlamenti és tanácsi határozatnak</t>
  </si>
  <si>
    <t xml:space="preserve">TV-S1251</t>
  </si>
  <si>
    <t xml:space="preserve">a végrehajtásához szükséges rendelkezéseket állapít meg.</t>
  </si>
  <si>
    <t xml:space="preserve">TV-S1252</t>
  </si>
  <si>
    <t xml:space="preserve">92. § A 70. § tervezetének a belső piaci szolgáltatásokról szóló, 2006. december 12-i 2006/123/EK európai parlamenti és tanácsi irányelv 15. cikk (7) bekezdése szerinti előzetes bejelentése megtörtént.</t>
  </si>
  <si>
    <t xml:space="preserve">TV-S1253</t>
  </si>
  <si>
    <t xml:space="preserve">TV-S1254</t>
  </si>
  <si>
    <t xml:space="preserve">TV-S1255</t>
  </si>
  <si>
    <t xml:space="preserve">120. § (1)</t>
  </si>
  <si>
    <t xml:space="preserve">TV-S1256</t>
  </si>
  <si>
    <t xml:space="preserve">120. § (2)</t>
  </si>
  <si>
    <t xml:space="preserve">(2)</t>
  </si>
  <si>
    <t xml:space="preserve">TV-S1257</t>
  </si>
  <si>
    <t xml:space="preserve">TV-S1258</t>
  </si>
  <si>
    <t xml:space="preserve">TV-S1259</t>
  </si>
  <si>
    <t xml:space="preserve">Közigazgatási ágazathoz tartozó szervezetek</t>
  </si>
  <si>
    <t xml:space="preserve">TV-S1260</t>
  </si>
  <si>
    <t xml:space="preserve">E törvény értelmében közigazgatási ágazathoz tartozó szervezetnek a következő szervezeteket kell tekinteni:</t>
  </si>
  <si>
    <t xml:space="preserve">TV-S1261</t>
  </si>
  <si>
    <t xml:space="preserve">1. a központi államigazgatási szerv, a Kormány kivételével,</t>
  </si>
  <si>
    <t xml:space="preserve">TV-S1262</t>
  </si>
  <si>
    <t xml:space="preserve">2. a Sándor-palota,</t>
  </si>
  <si>
    <t xml:space="preserve">TV-S1263</t>
  </si>
  <si>
    <t xml:space="preserve">3. az Országgyűlés Hivatala,</t>
  </si>
  <si>
    <t xml:space="preserve">TV-S1264</t>
  </si>
  <si>
    <t xml:space="preserve">4. az Alkotmánybíróság Hivatala,</t>
  </si>
  <si>
    <t xml:space="preserve">TV-S1265</t>
  </si>
  <si>
    <t xml:space="preserve">5. az Országos Bírósági Hivatal és a bíróságok,</t>
  </si>
  <si>
    <t xml:space="preserve">TV-S1266</t>
  </si>
  <si>
    <t xml:space="preserve">6. az ügyészségek,</t>
  </si>
  <si>
    <t xml:space="preserve">TV-S1267</t>
  </si>
  <si>
    <t xml:space="preserve">7. az Alapvető Jogok Biztosának Hivatala,</t>
  </si>
  <si>
    <t xml:space="preserve">TV-S1268</t>
  </si>
  <si>
    <t xml:space="preserve">8. az Állami Számvevőszék,</t>
  </si>
  <si>
    <t xml:space="preserve">TV-S1269</t>
  </si>
  <si>
    <t xml:space="preserve">8a. a Nemzeti Vagyonvisszaszerzési és Vagyonvédelmi Hivatal,</t>
  </si>
  <si>
    <t xml:space="preserve">TV-S1270</t>
  </si>
  <si>
    <t xml:space="preserve">9. a Magyar Nemzeti Bank,</t>
  </si>
  <si>
    <t xml:space="preserve">TV-S1271</t>
  </si>
  <si>
    <t xml:space="preserve">10. a Magyar Honvédség,</t>
  </si>
  <si>
    <t xml:space="preserve">TV-S1272</t>
  </si>
  <si>
    <t xml:space="preserve">11. a fővárosi és vármegyei kormányhivatalok, a vármegyei közgyűlések hivatalai,</t>
  </si>
  <si>
    <t xml:space="preserve">TV-S1273</t>
  </si>
  <si>
    <t xml:space="preserve">12. a megyei jogú városok és a fővárosi kerületi önkormányzatok képviselő-testületének hivatalai,</t>
  </si>
  <si>
    <t xml:space="preserve">TV-S1274</t>
  </si>
  <si>
    <t xml:space="preserve">13. a települések képviselő-testületének hivatalai,</t>
  </si>
  <si>
    <t xml:space="preserve">TV-S1275</t>
  </si>
  <si>
    <t xml:space="preserve">14. a központi szolgáltató,</t>
  </si>
  <si>
    <t xml:space="preserve">TV-S1276</t>
  </si>
  <si>
    <t xml:space="preserve">15. a központi rendszer felett rendelkezési jogot gyakorló szervezet.</t>
  </si>
  <si>
    <t xml:space="preserve">TV-S1277</t>
  </si>
  <si>
    <t xml:space="preserve">TV-S1278</t>
  </si>
  <si>
    <t xml:space="preserve">2. Kiemelten kockázatos ágazatokban működő szolgáltatók és szervezetek</t>
  </si>
  <si>
    <t xml:space="preserve">TV-S1279</t>
  </si>
  <si>
    <t xml:space="preserve">2. melléklet a 2024. évi LXIX. törvényhez, táblázat fejléc. sor</t>
  </si>
  <si>
    <t xml:space="preserve"> | A | B | C | </t>
  </si>
  <si>
    <t xml:space="preserve">TV-S1280</t>
  </si>
  <si>
    <t xml:space="preserve">2. melléklet a 2024. évi LXIX. törvényhez, táblázat 1. sor</t>
  </si>
  <si>
    <t xml:space="preserve">1 | Ágazat | Alágazat | Szervezet típusa | </t>
  </si>
  <si>
    <t xml:space="preserve">TV-S1281</t>
  </si>
  <si>
    <t xml:space="preserve">2. melléklet a 2024. évi LXIX. törvényhez, táblázat 2. sor</t>
  </si>
  <si>
    <t xml:space="preserve">2 | Energetika | Villamos energia | a villamos energiáról szóló törvény szerinti villamosenergia-ipari vállalkozás a közvilágítási üzemeltetési engedélyes kivételével, | </t>
  </si>
  <si>
    <t xml:space="preserve">TV-S1282</t>
  </si>
  <si>
    <t xml:space="preserve">2. melléklet a 2024. évi LXIX. törvényhez, táblázat 3. sor</t>
  </si>
  <si>
    <t xml:space="preserve">3 |  | Távfűtés és hűtés | a távhőszolgáltatásról szóló törvény szerinti engedélyes, | </t>
  </si>
  <si>
    <t xml:space="preserve">TV-S1283</t>
  </si>
  <si>
    <t xml:space="preserve">2. melléklet a 2024. évi LXIX. törvényhez, táblázat 4. sor</t>
  </si>
  <si>
    <t xml:space="preserve">4 |  | Kőolaj | a bányászatról szóló törvény szerinti a) szénhidrogén szállítóvezetéket létesítő és üzemben tartó engedélyes, b) a kőolajfeldolgozásban, tárolásban használt létesítmény üzemeltetője, | </t>
  </si>
  <si>
    <t xml:space="preserve">TV-S1284</t>
  </si>
  <si>
    <t xml:space="preserve">2. melléklet a 2024. évi LXIX. törvényhez, táblázat 5. sor</t>
  </si>
  <si>
    <t xml:space="preserve">5 |  |  | a behozott kőolaj és kőolajtermékek biztonsági készletezéséről szóló törvény szerinti központi készletező szervezet, | </t>
  </si>
  <si>
    <t xml:space="preserve">TV-S1285</t>
  </si>
  <si>
    <t xml:space="preserve">2. melléklet a 2024. évi LXIX. törvényhez, táblázat 6. sor</t>
  </si>
  <si>
    <t xml:space="preserve">6 |  | Földgáz | – az egyablakos kapacitásértékesítő, a szervezett földgázpiaci engedélyes és a vezetékes PB-gáz szolgáltató kivételével – a földgázellátásról szóló törvény szerinti engedélyes tevékenységet folytató földgázipari vállalkozás, | </t>
  </si>
  <si>
    <t xml:space="preserve">TV-S1286</t>
  </si>
  <si>
    <t xml:space="preserve">2. melléklet a 2024. évi LXIX. törvényhez, táblázat 7. sor</t>
  </si>
  <si>
    <t xml:space="preserve">7 |  | Hidrogén | a hidrogéntermelés, -tárolás és -szállítás üzemeltetője, | </t>
  </si>
  <si>
    <t xml:space="preserve">TV-S1287</t>
  </si>
  <si>
    <t xml:space="preserve">2. melléklet a 2024. évi LXIX. törvényhez, táblázat 8. sor</t>
  </si>
  <si>
    <t xml:space="preserve">8 | Közlekedés | Légi közlekedés | a polgári légiközlekedés védelmének szabályairól és a Légiközlekedés Védelmi Bizottság jogköréről, feladatairól és működésének rendjéről szóló kormányrendelet szerinti légiközlekedés védelmében közreműködő szervezet, | </t>
  </si>
  <si>
    <t xml:space="preserve">TV-S1288</t>
  </si>
  <si>
    <t xml:space="preserve">2. melléklet a 2024. évi LXIX. törvényhez, táblázat 9. sor</t>
  </si>
  <si>
    <t xml:space="preserve">9 |  | Vasúti közlekedés | az erdőről, az erdő védelméről és az erdőgazdálkodásról szóló 2009. évi XXXVII. törvény 1. melléklete szerinti gazdasági társaságok kivételével a vasúti közlekedésről szóló törvény szerinti vasúti pályahálózat működtetője – a saját célú vasúti pályahálózatok, iparvágányok kivételével –, a vállalkozó vasúti társaság, a vasúti pályakapacitás-elosztó szervezet, | </t>
  </si>
  <si>
    <t xml:space="preserve">TV-S1289</t>
  </si>
  <si>
    <t xml:space="preserve">2. melléklet a 2024. évi LXIX. törvényhez, táblázat 10. sor</t>
  </si>
  <si>
    <t xml:space="preserve">10 |  | Közúti közlekedés | a közúti közlekedésről szóló törvény felhatalmazása alapján kiadott rendelet szerinti a) intelligens közúti közlekedési rendszerek üzemeltetését végző szolgáltató, b) forgalomirányítást végző szervezet, | </t>
  </si>
  <si>
    <t xml:space="preserve">TV-S1290</t>
  </si>
  <si>
    <t xml:space="preserve">2. melléklet a 2024. évi LXIX. törvényhez, táblázat 11. sor</t>
  </si>
  <si>
    <t xml:space="preserve">11 |  | Vízi közlekedés | a víziközlekedésről szóló törvény szerinti hajózási tevékenység folytatásában részt vevő jogi személy, jogi személyiséggel nem rendelkező gazdálkodó szervezet, | </t>
  </si>
  <si>
    <t xml:space="preserve">TV-S1291</t>
  </si>
  <si>
    <t xml:space="preserve">2. melléklet a 2024. évi LXIX. törvényhez, táblázat 12. sor</t>
  </si>
  <si>
    <t xml:space="preserve">12 |  | Tömegközlekedés | a vasúti és közúti személyszállítási közszolgáltatásról, valamint az 1191/69/EGK és az 1107/70/EGK tanácsi rendelet hatályon kívül helyezéséről szóló, 2007. október 23-i 1370/2007/EK európai parlamenti és tanácsi rendelet 2. cikk d) pontja szerinti közszolgáltató szervezet, | </t>
  </si>
  <si>
    <t xml:space="preserve">TV-S1292</t>
  </si>
  <si>
    <t xml:space="preserve">2. melléklet a 2024. évi LXIX. törvényhez, táblázat 13. sor</t>
  </si>
  <si>
    <t xml:space="preserve">13 | Egészségügy |  | az egészségügyről szóló törvény szerinti egészségügyi szolgáltató, magas biztonsági szintű biológiai laboratóriumok üzemeltetője, egészségügyi tartalékokat és vérkészleteket kezelő szervezet, gyógyszerek kutatásával és fejlesztésével foglalkozó szervezet, gyógyszeripari alaptermékeket és gyógyszerkészítményeket gyártó szervezet, gyógyszer-nagykereskedő, népegészségügyi szükséghelyzet kritikus fontosságú eszközeinek jegyzékén szereplő kritikus fontosságú orvostechnikai eszközt gyártó szervezet, | </t>
  </si>
  <si>
    <t xml:space="preserve">TV-S1293</t>
  </si>
  <si>
    <t xml:space="preserve">2. melléklet a 2024. évi LXIX. törvényhez, táblázat 14. sor</t>
  </si>
  <si>
    <t xml:space="preserve">14 | Ivóvíz, szennyvíz | Víziközmű szolgáltatás | a víziközmű-szolgáltatásról szóló törvény szerinti víziközmű-szolgáltató, | </t>
  </si>
  <si>
    <t xml:space="preserve">TV-S1294</t>
  </si>
  <si>
    <t xml:space="preserve">2. melléklet a 2024. évi LXIX. törvényhez, táblázat 15. sor</t>
  </si>
  <si>
    <t xml:space="preserve">15 | Hírközlési szolgáltatás |  | az elektronikus hírközlésről szóló törvény szerinti a) elektronikus hírközlési szolgáltató, b) adatkicserélő szolgáltatást nyújtó szolgáltató, | </t>
  </si>
  <si>
    <t xml:space="preserve">TV-S1295</t>
  </si>
  <si>
    <t xml:space="preserve">2. melléklet a 2024. évi LXIX. törvényhez, táblázat 16. sor</t>
  </si>
  <si>
    <t xml:space="preserve">16 |  |  | a digitális államról és a digitális szolgáltatások nyújtásának egyes szabályairól szóló törvény szerinti bizalmi szolgáltató, | </t>
  </si>
  <si>
    <t xml:space="preserve">TV-S1296</t>
  </si>
  <si>
    <t xml:space="preserve">2. melléklet a 2024. évi LXIX. törvényhez, táblázat 17. sor</t>
  </si>
  <si>
    <t xml:space="preserve">17 | Digitális |  | a felhőszolgáltató, | </t>
  </si>
  <si>
    <t xml:space="preserve">TV-S1297</t>
  </si>
  <si>
    <t xml:space="preserve">2. melléklet a 2024. évi LXIX. törvényhez, táblázat 18. sor</t>
  </si>
  <si>
    <t xml:space="preserve">18 | infrastruktúra |  | adatközponti szolgáltatást nyújtó szolgáltató, | </t>
  </si>
  <si>
    <t xml:space="preserve">TV-S1298</t>
  </si>
  <si>
    <t xml:space="preserve">2. melléklet a 2024. évi LXIX. törvényhez, táblázat 19. sor</t>
  </si>
  <si>
    <t xml:space="preserve">19 |  |  | legfelső szintű doménnév-nyilvántartó, | </t>
  </si>
  <si>
    <t xml:space="preserve">TV-S1299</t>
  </si>
  <si>
    <t xml:space="preserve">2. melléklet a 2024. évi LXIX. törvényhez, táblázat 20. sor</t>
  </si>
  <si>
    <t xml:space="preserve">20 |  |  | a DNS-szolgáltató, | </t>
  </si>
  <si>
    <t xml:space="preserve">TV-S1300</t>
  </si>
  <si>
    <t xml:space="preserve">2. melléklet a 2024. évi LXIX. törvényhez, táblázat 21. sor</t>
  </si>
  <si>
    <t xml:space="preserve">21 |  |  | tartalomszolgáltató hálózat szolgáltatója, | </t>
  </si>
  <si>
    <t xml:space="preserve">TV-S1301</t>
  </si>
  <si>
    <t xml:space="preserve">2. melléklet a 2024. évi LXIX. törvényhez, táblázat 22. sor</t>
  </si>
  <si>
    <t xml:space="preserve">22 | Kihelyezett IKT szolgáltatások |  | a) kihelyezett (irányított) infokommunikációs szolgáltatást nyújtó szolgáltató, b) kihelyezett (irányított) infokommunikációs biztonsági szolgáltatást nyújtó szolgáltató, | </t>
  </si>
  <si>
    <t xml:space="preserve">TV-S1302</t>
  </si>
  <si>
    <t xml:space="preserve">2. melléklet a 2024. évi LXIX. törvényhez, táblázat 23. sor</t>
  </si>
  <si>
    <t xml:space="preserve">23 | Űralapú szolgáltatás |  | űralapú szolgáltatások nyújtását támogató földi infrastruktúra üzemeltető | </t>
  </si>
  <si>
    <t xml:space="preserve">TV-S1303</t>
  </si>
  <si>
    <t xml:space="preserve">TV-S1304</t>
  </si>
  <si>
    <t xml:space="preserve">3. Kockázatos ágazatokban működő szolgáltatók és szervezetek</t>
  </si>
  <si>
    <t xml:space="preserve">TV-S1305</t>
  </si>
  <si>
    <t xml:space="preserve">3. melléklet a 2024. évi LXIX. törvényhez, táblázat fejléc. sor</t>
  </si>
  <si>
    <t xml:space="preserve">TV-S1306</t>
  </si>
  <si>
    <t xml:space="preserve">3. melléklet a 2024. évi LXIX. törvényhez, táblázat 1. sor</t>
  </si>
  <si>
    <t xml:space="preserve">TV-S1307</t>
  </si>
  <si>
    <t xml:space="preserve">3. melléklet a 2024. évi LXIX. törvényhez, táblázat 2. sor</t>
  </si>
  <si>
    <t xml:space="preserve">2 | Postai és futárszolgálatok |  | a postai szolgáltatásokról szóló törvény szerinti postai szolgáltató, | </t>
  </si>
  <si>
    <t xml:space="preserve">TV-S1308</t>
  </si>
  <si>
    <t xml:space="preserve">3. melléklet a 2024. évi LXIX. törvényhez, táblázat 3. sor</t>
  </si>
  <si>
    <t xml:space="preserve">3 | Élelmiszer a) előállítása, b) az élelmiszer-higiéniáról szóló, 2004. április 29-i 852/2004/EK európai parlamenti és tanácsi rendelet 2. cikk (1) bekezdés m) pontja szerinti feldolgozása és c) forgalmazása |  | az élelmiszerláncról és hatósági felügyeletéről szóló törvény szerinti élelmiszer-vállalkozás, amely a kereskedelemről szóló 2005. évi CLXIV. törvény 2. § 18. pontja szerinti nagykereskedelemi tevékenységgel, ipari termeléssel és feldolgozással foglalkozik, | </t>
  </si>
  <si>
    <t xml:space="preserve">TV-S1309</t>
  </si>
  <si>
    <t xml:space="preserve">3. melléklet a 2024. évi LXIX. törvényhez, táblázat 4. sor</t>
  </si>
  <si>
    <t xml:space="preserve">4 | Hulladékgazdálkodás |  | a hulladékról szóló törvény szerinti tevékenységet végző gazdálkodó szervezet, az erdőről, az erdő védelméről és az erdőgazdálkodásról szóló 2009. évi XXXVII. törvény 1. melléklete szerinti gazdasági társaságok kivételével, | </t>
  </si>
  <si>
    <t xml:space="preserve">TV-S1310</t>
  </si>
  <si>
    <t xml:space="preserve">3. melléklet a 2024. évi LXIX. törvényhez, táblázat 5. sor</t>
  </si>
  <si>
    <t xml:space="preserve">5 | Vegyszerek előállítása és forgalmazása |  | a vegyi anyagok regisztrálásáról, értékeléséről, engedélyezéséről és korlátozásáról (REACH), az Európai Vegyianyag-ügynökség létrehozásáról, az 1999/45/EK irányelv módosításáról, valamint a 793/93/EGK tanácsi rendelet, az 1488/94/EK bizottsági rendelet, a 76/769/EGK tanácsi irányelv, a 91/155/EGK, a 93/67/EGK, a 93/105/EK és a 2000/21/EK bizottsági irányelv hatályon kívül helyezéséről szóló, 2006. december 18-i 1907/2006/EK európai parlamenti és tanácsi rendelet 3. cikke szerinti gyártó, forgalmazó, | </t>
  </si>
  <si>
    <t xml:space="preserve">TV-S1311</t>
  </si>
  <si>
    <t xml:space="preserve">3. melléklet a 2024. évi LXIX. törvényhez, táblázat 6. sor</t>
  </si>
  <si>
    <t xml:space="preserve">6 | Gyártás | Orvostechnikai eszközök és in vitro diagnosztikai orvostechnikai eszközök gyártása | az orvostechnikai eszközökről, a 2001/83/EK irányelv, a 178/2002/EK rendelet és az 1223/2009/EK rendelet módosításáról, valamint a 90/385/EGK és 93/42/EGK tanácsi irányelv hatályon kívül helyezéséről szóló, 2017. április 5-i (EU) 2017/745 európai parlamenti és tanácsi rendelet 2. cikke 1. pontjában meghatározott orvostechnikai eszközöket, valamint az in vitro diagnosztikai orvostechnikai eszközökről, valamint a 98/79/EK irányelv és a 2010/227/EU bizottsági határozat hatályon kívül helyezéséről szóló, 2017 április 5-i (EU) 2017/746 európai parlamenti és tanácsi rendelet 2. cikke 2. pontjában meghatározott in vitro diagnosztikai orvostechnikai eszközöket gyártó szervezet, kivéve a népegészségügyi szükséghelyzet kritikus fontosságú eszközeinek jegyzékén szereplő kritikus fontosságú orvostechnikai eszközöket gyártó szervezet, | </t>
  </si>
  <si>
    <t xml:space="preserve">TV-S1312</t>
  </si>
  <si>
    <t xml:space="preserve">3. melléklet a 2024. évi LXIX. törvényhez, táblázat 7. sor</t>
  </si>
  <si>
    <t xml:space="preserve">7 |  | Számítógép, elektronikai, optikai termék gyártása | gazdasági tevékenységek statisztikai osztályozása NACE Rev. 2. rendszerének létrehozásáról szóló 1893/2006/EK európai parlamenti és tanácsi rendelet módosításáról szóló, 2022. október 10-i (EU) 2023/137 felhatalmazáson alapuló bizottsági rendelet 26. ágazata szerinti „Számítógép, elektronikai, optikai termék gyártása” tevékenységet végző gazdálkodó szervezet, | </t>
  </si>
  <si>
    <t xml:space="preserve">TV-S1313</t>
  </si>
  <si>
    <t xml:space="preserve">3. melléklet a 2024. évi LXIX. törvényhez, táblázat 8. sor</t>
  </si>
  <si>
    <t xml:space="preserve">8 |  | Villamos berendezések gyártása | a gazdasági tevékenységek statisztikai osztályozása NACE Rev. 2. rendszerének létrehozásáról szóló 1893/2006/EK európai parlamenti és tanácsi rendelet módosításáról szóló, 2022. október 10-i (EU) 2023/137 felhatalmazáson alapuló bizottsági rendelet 27. ágazata szerinti „Villamos berendezés gyártása” tevékenységet végző gazdálkodó szervezet, | </t>
  </si>
  <si>
    <t xml:space="preserve">TV-S1314</t>
  </si>
  <si>
    <t xml:space="preserve">3. melléklet a 2024. évi LXIX. törvényhez, táblázat 9. sor</t>
  </si>
  <si>
    <t xml:space="preserve">9 |  | Máshova nem sorolt gépek és berendezések gyártása | a gazdasági tevékenységek statisztikai osztályozása NACE Rev. 2. rendszerének létrehozásáról szóló 1893/2006/EK európai parlamenti és tanácsi rendelet módosításáról szóló, 2022. október 10-i (EU) 2023/137 felhatalmazáson alapuló bizottsági rendelet 28. ágazata szerinti „Gép, gépi berendezés gyártása” tevékenységet végző gazdálkodó szervezet, | </t>
  </si>
  <si>
    <t xml:space="preserve">TV-S1315</t>
  </si>
  <si>
    <t xml:space="preserve">3. melléklet a 2024. évi LXIX. törvényhez, táblázat 10. sor</t>
  </si>
  <si>
    <t xml:space="preserve">10 |  | Gépjárművek, pótkocsik és félpótkocsik gyártása | a gazdasági tevékenységek statisztikai osztályozása NACE Rev. 2. rendszerének létrehozásáról szóló 1893/2006/EK európai parlamenti és tanácsi rendelet módosításáról szóló, 2022. október 10-i (EU) 2023/137 felhatalmazáson alapuló bizottsági rendelet 29. ágazata szerinti „Közúti jármű gyártása” tevékenységet végző gazdálkodó szervezet, | </t>
  </si>
  <si>
    <t xml:space="preserve">TV-S1316</t>
  </si>
  <si>
    <t xml:space="preserve">3. melléklet a 2024. évi LXIX. törvényhez, táblázat 11. sor</t>
  </si>
  <si>
    <t xml:space="preserve">11 |  | Egyéb szállítóeszközök gyártása | a gazdasági tevékenységek statisztikai osztályozása NACE Rev. 2. rendszerének létrehozásáról szóló 1893/2006/EK európai parlamenti és tanácsi rendelet módosításáról szóló, 2022. október 10-i (EU) 2023/137 felhatalmazáson alapuló bizottsági rendelet 30. ágazata szerinti „Egyéb jármű gyártása” tevékenységet végző gazdálkodó szervezet, | </t>
  </si>
  <si>
    <t xml:space="preserve">TV-S1317</t>
  </si>
  <si>
    <t xml:space="preserve">3. melléklet a 2024. évi LXIX. törvényhez, táblázat 12. sor</t>
  </si>
  <si>
    <t xml:space="preserve">12 |  | Cement-, mész-, gipszgyártás | a gazdasági tevékenységek statisztikai osztályozása NACE Rev. 2. rendszerének létrehozásáról szóló 1893/2006/EK európai parlamenti és tanácsi rendelet módosításáról szóló, 2022. október 10-i (EU) 2023/137 felhatalmazáson alapuló bizottsági rendelet 23.5 alágazata szerinti „Cement-, mész-, gipszgyártás” tevékenységet végző gazdálkodó szervezet, | </t>
  </si>
  <si>
    <t xml:space="preserve">TV-S1318</t>
  </si>
  <si>
    <t xml:space="preserve">3. melléklet a 2024. évi LXIX. törvényhez, táblázat 13. sor</t>
  </si>
  <si>
    <t xml:space="preserve">13 | Digitális szolgáltatók |  | a) az online-piactér szolgáltatója, b) az elektronikus kereskedelmi szolgáltatások, valamint az információs társadalommal összefüggő szolgáltatások egyes kérdéseiről szóló 2001. évi CVIII. törvény szerinti keresőszolgáltató, c) közösségi média szolgáltatási platform szolgáltatója, d) doménnév regisztrációt végző szolgáltató, | </t>
  </si>
  <si>
    <t xml:space="preserve">TV-S1319</t>
  </si>
  <si>
    <t xml:space="preserve">3. melléklet a 2024. évi LXIX. törvényhez, táblázat 14. sor</t>
  </si>
  <si>
    <t xml:space="preserve">14 | Kutatás |  | kutatóhely | </t>
  </si>
  <si>
    <t xml:space="preserve">VHR-S0001</t>
  </si>
  <si>
    <t xml:space="preserve">418/2024. (XII. 23.) Korm. rendelet</t>
  </si>
  <si>
    <t xml:space="preserve">VHR-S0002</t>
  </si>
  <si>
    <t xml:space="preserve">Magyarország kiberbiztonságáról szóló törvény végrehajtásáról</t>
  </si>
  <si>
    <t xml:space="preserve">VHR-S0003</t>
  </si>
  <si>
    <t xml:space="preserve">A Kormány</t>
  </si>
  <si>
    <t xml:space="preserve">VHR-S0004</t>
  </si>
  <si>
    <t xml:space="preserve">a Magyarország kiberbiztonságáról szóló 2024. évi LXIX. törvény 81. § (1) bekezdés b)–i) pontjában, 81. § (2) bekezdés 2–6., 8–11., 15–18. és 21–25. pontjában kapott felhatalmazás alapján,</t>
  </si>
  <si>
    <t xml:space="preserve">VHR-S0005</t>
  </si>
  <si>
    <t xml:space="preserve">a 121. § tekintetében a villamos energiáról szóló 2007. évi LXXXVI. törvény 170. § (1) bekezdés 7. pontjában kapott felhatalmazás alapján,</t>
  </si>
  <si>
    <t xml:space="preserve">VHR-S0006</t>
  </si>
  <si>
    <t xml:space="preserve">a 122. § tekintetében a minősített adat védelméről szóló 2009. évi CLV. törvény 37. § c) pontjában kapott felhatalmazás alapján,</t>
  </si>
  <si>
    <t xml:space="preserve">VHR-S0007</t>
  </si>
  <si>
    <t xml:space="preserve">a 123. § és a 124. § tekintetében a légiközlekedésről szóló 1995. évi XCVII. törvény 73. § (1) bekezdés v) pontjában kapott felhatalmazás alapján,</t>
  </si>
  <si>
    <t xml:space="preserve">VHR-S0008</t>
  </si>
  <si>
    <t xml:space="preserve">a 125. § tekintetében a villamos energiáról szóló 2007. évi LXXXVI. törvény 170. § (1) bekezdés 24. pontjában kapott felhatalmazás alapján,</t>
  </si>
  <si>
    <t xml:space="preserve">VHR-S0009</t>
  </si>
  <si>
    <t xml:space="preserve">a 126. §, 131. §, 135. § és 136. § tekintetében a jogalkotásról szóló 2010. évi CXXX. törvény 31. § (1) bekezdés b) pontjában kapott felhatalmazás alapján,</t>
  </si>
  <si>
    <t xml:space="preserve">VHR-S0010</t>
  </si>
  <si>
    <t xml:space="preserve">a 127. § tekintetében az államháztartásról szóló 2011. évi CXCV. törvény 109. § (1) bekezdés 15. pont d) alpontjában kapott felhatalmazás alapján,</t>
  </si>
  <si>
    <t xml:space="preserve">VHR-S0011</t>
  </si>
  <si>
    <t xml:space="preserve">a 128. § tekintetében a hitelintézetekről és a pénzügyi vállalkozásokról szóló 2013. évi CCXXXVII. törvény 290. § (1) bekezdés c) pontjában, az egyes fizetési szolgáltatókról szóló 2013. évi CCXXXV. törvény 88. § a) pontjában, a biztosítási tevékenységről szóló 2014. évi LXXXVIII. törvény 437. § c) pontjában és a befektetési vállalkozásokról és az árutőzsdei szolgáltatókról, valamint az általuk végezhető tevékenységek szabályairól szóló 2007. évi CXXXVIII. törvény 180. § (1) bekezdés a) pontjában kapott felhatalmazás alapján,</t>
  </si>
  <si>
    <t xml:space="preserve">VHR-S0012</t>
  </si>
  <si>
    <t xml:space="preserve">a 129. § tekintetében a nemzeti felsőoktatásról szóló 2011. évi CCIV. törvény 110. § (1) bekezdés 3. pontjában kapott felhatalmazás alapján,</t>
  </si>
  <si>
    <t xml:space="preserve">VHR-S0013</t>
  </si>
  <si>
    <t xml:space="preserve">a 130. § tekintetében Magyarország kiberbiztonságáról szóló 2024. évi LXIX. törvény 81. § (2) bekezdés 7. pontjában kapott felhatalmazás alapján,</t>
  </si>
  <si>
    <t xml:space="preserve">VHR-S0014</t>
  </si>
  <si>
    <t xml:space="preserve">a 132. § tekintetében az egységes elektronikuskártya-kibocsátási keretrendszerről szóló 2014. évi LXXXIII. törvény 21. § (1) bekezdés b) pontjában kapott felhatalmazás alapján,</t>
  </si>
  <si>
    <t xml:space="preserve">VHR-S0015</t>
  </si>
  <si>
    <t xml:space="preserve">a 133. § tekintetében az Alaptörvény 15. cikk (3) bekezdésében meghatározott eredeti jogalkotói hatáskörében,</t>
  </si>
  <si>
    <t xml:space="preserve">VHR-S0016</t>
  </si>
  <si>
    <t xml:space="preserve">a 134. § tekintetében a Magyarország biztonsági érdekét sértő külföldi befektetések ellenőrzéséről szóló 2018. évi LVII. törvény 12. § b) pontjában kapott felhatalmazás alapján,</t>
  </si>
  <si>
    <t xml:space="preserve">VHR-S0017</t>
  </si>
  <si>
    <t xml:space="preserve">a 137. § tekintetében az Alaptörvény 15. cikk (3) bekezdésében meghatározott eredeti jogalkotói hatáskörében,</t>
  </si>
  <si>
    <t xml:space="preserve">VHR-S0018</t>
  </si>
  <si>
    <t xml:space="preserve">a 138. §, 139. § és a 140. § tekintetében a Magyarország kiberbiztonságáról szóló 2024. évi LXIX. törvény 81. § (2) bekezdés 19. pontjában kapott felhatalmazás alapján,</t>
  </si>
  <si>
    <t xml:space="preserve">VHR-S0019</t>
  </si>
  <si>
    <t xml:space="preserve">a 141. § tekintetében a médiaszolgáltatásokról és a tömegkommunikációról szóló 2010. évi CLXXXV. törvény 206. § (3c) bekezdés a) és b) pontjában kapott felhatalmazás alapján,</t>
  </si>
  <si>
    <t xml:space="preserve">VHR-S0020</t>
  </si>
  <si>
    <t xml:space="preserve">a 142. § tekintetében az Alaptörvény 15. cikk (2) bekezdésében meghatározott eredeti jogalkotói hatáskörében,</t>
  </si>
  <si>
    <t xml:space="preserve">VHR-S0021</t>
  </si>
  <si>
    <t xml:space="preserve">a 143. § tekintetében a honvédelemről és a Magyar Honvédségről szóló 2021. évi CXL. törvény 110. § (1) bekezdés 17. pontjában kapott felhatalmazás alapján,</t>
  </si>
  <si>
    <t xml:space="preserve">VHR-S0022</t>
  </si>
  <si>
    <t xml:space="preserve">a 144. § tekintetében a Magyarország kiberbiztonságáról szóló 2024. évi LXIX. törvény 81. § (2) bekezdés 10. pontjában kapott felhatalmazás alapján,</t>
  </si>
  <si>
    <t xml:space="preserve">VHR-S0023</t>
  </si>
  <si>
    <t xml:space="preserve">a 145. § és a 146. § tekintetében a Magyarország kiberbiztonságáról szóló 2024. évi LXIX. törvény 81. § (2) bekezdés 19. pontjában kapott felhatalmazás alapján,</t>
  </si>
  <si>
    <t xml:space="preserve">VHR-S0024</t>
  </si>
  <si>
    <t xml:space="preserve">a 147–150. § tekintetében a Magyarország kiberbiztonságáról szóló 2024. évi LXIX. törvény 81. § (2) bekezdés 13. pontjában kapott felhatalmazás alapján,</t>
  </si>
  <si>
    <t xml:space="preserve">VHR-S0025</t>
  </si>
  <si>
    <t xml:space="preserve">a 151. § tekintetében a földgázellátásról szóló 2008. évi XL. törvény 132. § 50. pontjában kapott felhatalmazás alapján,</t>
  </si>
  <si>
    <t xml:space="preserve">VHR-S0026</t>
  </si>
  <si>
    <t xml:space="preserve">a 152. § tekintetében a digitális államról és a digitális szolgáltatások nyújtásának egyes szabályairól szóló 2023. évi CIII. törvény 113. § (1) bekezdés 13. pontjában kapott felhatalmazás alapján,</t>
  </si>
  <si>
    <t xml:space="preserve">VHR-S0027</t>
  </si>
  <si>
    <t xml:space="preserve">a 153. § tekintetében a digitális államról és a digitális szolgáltatások nyújtásának egyes szabályairól szóló 2023. évi CIII. törvény 113. § (1) bekezdés 11–13. pontjában kapott felhatalmazás alapján,</t>
  </si>
  <si>
    <t xml:space="preserve">VHR-S0028</t>
  </si>
  <si>
    <t xml:space="preserve">az Alaptörvény 15. cikk (1) bekezdésében meghatározott feladatkörében eljárva a következőket rendeli el:</t>
  </si>
  <si>
    <t xml:space="preserve">VHR-S0029</t>
  </si>
  <si>
    <t xml:space="preserve">VHR-S0030</t>
  </si>
  <si>
    <t xml:space="preserve">VHR-S0031</t>
  </si>
  <si>
    <t xml:space="preserve">VHR-S0032</t>
  </si>
  <si>
    <t xml:space="preserve">VHR-S0033</t>
  </si>
  <si>
    <t xml:space="preserve">(2) E rendeletnek az elektronikus információs rendszer biztonságáért felelős személyre vonatkozó rendelkezéseit az alábbi szervezetekre kell alkalmazni:</t>
  </si>
  <si>
    <t xml:space="preserve">VHR-S0034</t>
  </si>
  <si>
    <t xml:space="preserve">1. § (2) a)</t>
  </si>
  <si>
    <t xml:space="preserve">a) a Kiberbiztonsági tv. 1. § (1) bekezdés a)–c) és f) pontja, valamint 1. § (2a) bekezdése szerinti szervezetekre,</t>
  </si>
  <si>
    <t xml:space="preserve">VHR-S0035</t>
  </si>
  <si>
    <t xml:space="preserve">1. § (2) b)</t>
  </si>
  <si>
    <t xml:space="preserve">b) a Kiberbiztonsági tv. 1. § (1) bekezdés d) és e) pontja szerinti azon szervezetekre, amelyek a kritikus szervezetek ellenálló képességéről szóló 2024. évi LXXXIV. törvény (a továbbiakban: Kszetv.) alapján kritikus szervezetként vannak kijelölve, vagy a Kszetv. alapján kritikus infrastruktúraként kijelölt infrastruktúrát üzemeltetnek (a továbbiakban együtt: kritikus szervezet), valamint</t>
  </si>
  <si>
    <t xml:space="preserve">VHR-S0036</t>
  </si>
  <si>
    <t xml:space="preserve">1. § (2) c)</t>
  </si>
  <si>
    <t xml:space="preserve">c) a Kiberbiztonsági tv. 1. § (1) bekezdés d) és e) pontja szerinti azon szervezetekre, amelyek a védelmi és biztonsági tevékenységek összehangolásáról szóló 2021. évi XCIII. törvény (a továbbiakban: Vbö.) alapján az ország védelme és biztonsága szempontjából jelentős szervezetként kerültek kijelölésre vagy a Vbö. alapján az ország védelme és biztonsága szempontjából jelentős infrastruktúraként kijelölt infrastruktúrát üzemeltetnek (a továbbiakban együtt: az ország védelme és biztonsága szempontjából jelentős szervezet).</t>
  </si>
  <si>
    <t xml:space="preserve">VHR-S0037</t>
  </si>
  <si>
    <t xml:space="preserve">VHR-S0038</t>
  </si>
  <si>
    <t xml:space="preserve">VHR-S0039</t>
  </si>
  <si>
    <t xml:space="preserve">(5) E rendelet sérülékenységvizsgálatra vonatkozó rendelkezései</t>
  </si>
  <si>
    <t xml:space="preserve">VHR-S0040</t>
  </si>
  <si>
    <t xml:space="preserve">a) a Kiberbiztonsági tv. 1. § (1) bekezdés a)–c) és f) pontja, valamint 1. § (2a) bekezdése szerinti szervezetek elektronikus információs rendszereit, valamint</t>
  </si>
  <si>
    <t xml:space="preserve">VHR-S0041</t>
  </si>
  <si>
    <t xml:space="preserve">b) a megállapodásban foglalt eltérésekkel a Kiberbiztonsági tv. 61. §-a szerinti megállapodásban meghatározott elektronikus információs rendszereket</t>
  </si>
  <si>
    <t xml:space="preserve">VHR-S0042</t>
  </si>
  <si>
    <t xml:space="preserve">érintő sérülékenységvizsgálatokra alkalmazandóak.</t>
  </si>
  <si>
    <t xml:space="preserve">VHR-S0043</t>
  </si>
  <si>
    <t xml:space="preserve">(6) E rendelet kiberbiztonsági incidenskezelésre, valamint a kiberbiztonsági válsághelyzet kezelésére vonatkozó rendelkezéseit</t>
  </si>
  <si>
    <t xml:space="preserve">VHR-S0044</t>
  </si>
  <si>
    <t xml:space="preserve">1. § (6) a)</t>
  </si>
  <si>
    <t xml:space="preserve">a) a Kiberbiztonsági tv. 1. § (1) bekezdése szerinti szervezetek, valamint</t>
  </si>
  <si>
    <t xml:space="preserve">VHR-S0045</t>
  </si>
  <si>
    <t xml:space="preserve">1. § (6) b)</t>
  </si>
  <si>
    <t xml:space="preserve">b) az e rendeletben meghatározott eltérésekkel az (EU) 2022/2554 európai parlamenti és tanácsi rendelet hatálya alá tartozó szervezetek</t>
  </si>
  <si>
    <t xml:space="preserve">VHR-S0046</t>
  </si>
  <si>
    <t xml:space="preserve">elektronikus információs rendszereit érintő kiberbiztonsági incidensek kezelésére kell alkalmazni.</t>
  </si>
  <si>
    <t xml:space="preserve">VHR-S0047</t>
  </si>
  <si>
    <t xml:space="preserve">(7) E rendelet sebezhetőségek kezelésére vonatkozó rendelkezései</t>
  </si>
  <si>
    <t xml:space="preserve">VHR-S0048</t>
  </si>
  <si>
    <t xml:space="preserve">1. § (7) a)</t>
  </si>
  <si>
    <t xml:space="preserve">a) a Kiberbiztonsági tv. 1. § (1) bekezdése szerinti szervezetek elektronikus információs rendszerei kapcsán felfedezett sérülékenységek, valamint</t>
  </si>
  <si>
    <t xml:space="preserve">VHR-S0049</t>
  </si>
  <si>
    <t xml:space="preserve">1. § (7) b)</t>
  </si>
  <si>
    <t xml:space="preserve">b) az IKT-termék kapcsán felfedezett sebezhetőségek</t>
  </si>
  <si>
    <t xml:space="preserve">VHR-S0050</t>
  </si>
  <si>
    <t xml:space="preserve">kezelésére, bejelentésére alkalmazandóak.</t>
  </si>
  <si>
    <t xml:space="preserve">VHR-S0051</t>
  </si>
  <si>
    <t xml:space="preserve">VHR-S0052</t>
  </si>
  <si>
    <t xml:space="preserve">2. § E rendelet alkalmazásában</t>
  </si>
  <si>
    <t xml:space="preserve">VHR-S0053</t>
  </si>
  <si>
    <t xml:space="preserve">2. § 1.</t>
  </si>
  <si>
    <t xml:space="preserve">1. adminisztrátori jogosultsággal rendelkező vizsgálat: olyan biztonsági vizsgálati eljárás, amelynek során a vizsgálatot végző személy rendszergazdai jogosultsággal rendelkezik, és az eljárás célja, hogy megfelelőségi listák alapján az érintett elektronikus információs rendszer valamennyi elemének az állapota teljeskörűen ellenőrzésre kerüljön;</t>
  </si>
  <si>
    <t xml:space="preserve">VHR-S0054</t>
  </si>
  <si>
    <t xml:space="preserve">2. § 2.</t>
  </si>
  <si>
    <t xml:space="preserve">2. alkalmazásvizsgálat: olyan sérülékenységvizsgálati módszer, amelynek során az alkalmazások – ideértve az asztali, a mobil- és a webalkalmazásokat is – sérülékenységei automatizált és kézi vizsgálati módszerek felhasználásával kerülnek feltérképezésre;</t>
  </si>
  <si>
    <t xml:space="preserve">VHR-S0055</t>
  </si>
  <si>
    <t xml:space="preserve">2. § 3.</t>
  </si>
  <si>
    <t xml:space="preserve">3. automatizált sérülékenységfelderítés és -elemzés: olyan sérülékenységvizsgálati módszer, amelynek a során a szervezet elektronikus információs rendszerének a sérülékenységei kizárólag célszoftverek segítségével kerülnek feltérképezésre és dokumentálásra;</t>
  </si>
  <si>
    <t xml:space="preserve">VHR-S0056</t>
  </si>
  <si>
    <t xml:space="preserve">2. § 4.</t>
  </si>
  <si>
    <t xml:space="preserve">4. CSIRT: az (EU) 2022/2555 európai parlamenti és tanácsi irányelv szerinti számítógép-biztonsági incidensekre reagáló csoport;</t>
  </si>
  <si>
    <t xml:space="preserve">VHR-S0057</t>
  </si>
  <si>
    <t xml:space="preserve">2. § 5.</t>
  </si>
  <si>
    <t xml:space="preserve">5. CSIRT-hálózat: az Európai Unió tagállamai által kijelölt CSIRT-eknek az (EU) 2022/2555 európai parlamenti és tanácsi irányelv szerint létrehozott hálózata;</t>
  </si>
  <si>
    <t xml:space="preserve">VHR-S0058</t>
  </si>
  <si>
    <t xml:space="preserve">2. § 6.</t>
  </si>
  <si>
    <t xml:space="preserve">6. egyedüli kapcsolattartó pont: az (EU) 2022/2555 európai parlamenti és tanácsi irányelv alapján az Európai Unió tagállamai által kijelölt összekötő feladatokat ellátó szerv;</t>
  </si>
  <si>
    <t xml:space="preserve">VHR-S0059</t>
  </si>
  <si>
    <t xml:space="preserve">2. § 7.</t>
  </si>
  <si>
    <t xml:space="preserve">7. európai sebezhetőség-adatbázis: az IKT-termékben található nyilvánosan ismert sebezhetőségeknek – az (EU) 2022/2555 európai parlamenti és tanácsi irányelv rendelkezései alapján – az Európai Uniós Kiberbiztonsági Ügynökség (a továbbiakban: ENISA) által felállított és működtetett nyilvántartása, amely tartalmazza</t>
  </si>
  <si>
    <t xml:space="preserve">VHR-S0060</t>
  </si>
  <si>
    <t xml:space="preserve">2. § 7. a)</t>
  </si>
  <si>
    <t xml:space="preserve">a) a sebezhetőséget leíró információkat,</t>
  </si>
  <si>
    <t xml:space="preserve">VHR-S0061</t>
  </si>
  <si>
    <t xml:space="preserve">2. § 7. b)</t>
  </si>
  <si>
    <t xml:space="preserve">b) az érintett IKT-terméket, valamint a sebezhetőség súlyosságát azon körülmények szempontjából, amelyek között a sebezhetőség kihasználható,</t>
  </si>
  <si>
    <t xml:space="preserve">VHR-S0062</t>
  </si>
  <si>
    <t xml:space="preserve">2. § 7. c)</t>
  </si>
  <si>
    <t xml:space="preserve">c) a kapcsolódó javítások elérhetőségét, valamint elérhető javítás hiányában az illetékes hatóságok vagy a CSIRT-ek által a sérülékeny IKT-termékek felhasználói számára a közzétett sebezhetőségből fakadó kockázatok mérséklésének módjáról kiadott útmutatást;</t>
  </si>
  <si>
    <t xml:space="preserve">VHR-S0063</t>
  </si>
  <si>
    <t xml:space="preserve">2. § 8.</t>
  </si>
  <si>
    <t xml:space="preserve">8. figyelemfelhívás: a Központ által a magyar kiberteret általánosan veszélyeztető, különös figyelmet érdemlő fenyegetettségekről, új támadási módszerekről, eseményekről kiadott tájékoztatás;</t>
  </si>
  <si>
    <t xml:space="preserve">VHR-S0064</t>
  </si>
  <si>
    <t xml:space="preserve">2. § 9.</t>
  </si>
  <si>
    <t xml:space="preserve">9. figyelmeztetés: a Központ által valamely fenyegetés esetén kiadott figyelemfelhívás, olyan esetekben, amikor nincs folyamatban lévő kiberbiztonsági incidens vagy a kiberbiztonsági incidens nem volt kritikus;</t>
  </si>
  <si>
    <t xml:space="preserve">VHR-S0065</t>
  </si>
  <si>
    <t xml:space="preserve">2. § 10.</t>
  </si>
  <si>
    <t xml:space="preserve">10. incidenskezelési terv: az incidensek kezelésére irányuló tervdokumentum, amely a hiányosságok megszüntetésével párhuzamosan tartalmazza az incidensek megelőzése, észlelése, elemzése és elszigetelése vagy az incidensre való reagálás és az incidenst követően a működés helyreállítása érdekében végrehajtandó feladatokat, a feladatok teljesítésének mérföldköveit, a kapcsolódó végrehajtási határidőket, a végrehajtásért felelős személy megjelölését és az ehhez szükséges erőforrásokat;</t>
  </si>
  <si>
    <t xml:space="preserve">VHR-S0066</t>
  </si>
  <si>
    <t xml:space="preserve">2. § 11.</t>
  </si>
  <si>
    <t xml:space="preserve">11. intézkedési terv: a szervezet rendelkezésében lévő elektronikus információs rendszer vonatkozásában megállapított biztonsági osztály kapcsán meghatározott védelmi intézkedések teljesítése, a hiányosságok felszámolása érdekében végrehajtandó feladatokat, a feladatok teljesítésének mérföldköveit, a kapcsolódó végrehajtási határidőket, a végrehajtásért felelős személy megjelölését és az ehhez szükséges erőforrásokat tartalmazó tervdokumentum;</t>
  </si>
  <si>
    <t xml:space="preserve">VHR-S0067</t>
  </si>
  <si>
    <t xml:space="preserve">2. § 12.</t>
  </si>
  <si>
    <t xml:space="preserve">12. kézi vizsgálat: olyan sérülékenységvizsgálati módszer, amelynek során a szervezet elektronikus információs rendszerének sérülékenységei a vizsgálatot végző személy által egyedileg, kézi úton összeállított lekérdezések alkalmazásával kerülnek feltérképezésre;</t>
  </si>
  <si>
    <t xml:space="preserve">VHR-S0068</t>
  </si>
  <si>
    <t xml:space="preserve">2. § 13.</t>
  </si>
  <si>
    <t xml:space="preserve">13. kiberbiztonsági gyakorlat: az információbiztonsági szabályzatban megjelölt szervezeti és eszközrendszer megfelelőségének és működőképességének vizsgálata céljából végrehajtott komplex feladat;</t>
  </si>
  <si>
    <t xml:space="preserve">VHR-S0069</t>
  </si>
  <si>
    <t xml:space="preserve">2. § 14.</t>
  </si>
  <si>
    <t xml:space="preserve">14. kiber-fizikai rendszerek biztonsági vizsgálata: olyan sérülékenységvizsgálati módszer, amelynek során a kiber-fizikai rendszerek sérülékenységei a vizsgálatot végző személy által, elsősorban passzív technikák és eljárások alkalmazásával, az elektronikus információs rendszer funkcionális működésének negatívan történő befolyásolása nélkül, illetve folyamatos rendszerfelügyeleti támogatás mellett aktív eszközökkel kerülnek feltérképezésre;</t>
  </si>
  <si>
    <t xml:space="preserve">VHR-S0070</t>
  </si>
  <si>
    <t xml:space="preserve">2. § 15.</t>
  </si>
  <si>
    <t xml:space="preserve">15. Központ: a nemzeti kiberbiztonsági incidenskezelő központ;</t>
  </si>
  <si>
    <t xml:space="preserve">VHR-S0071</t>
  </si>
  <si>
    <t xml:space="preserve">2. § 16.</t>
  </si>
  <si>
    <t xml:space="preserve">16. közvetítő szolgáltató: az elektronikus kereskedelmi szolgáltatások, valamint az információs társadalommal összefüggő szolgáltatások egyes kérdéseiről szóló törvény szerinti fogalom;</t>
  </si>
  <si>
    <t xml:space="preserve">VHR-S0072</t>
  </si>
  <si>
    <t xml:space="preserve">2. § 17.</t>
  </si>
  <si>
    <t xml:space="preserve">17. külső informatikai biztonsági vizsgálat: olyan sérülékenységvizsgálati módszer, amelynek során az elektronikus információs rendszer internet irányából elérhető elemei vonatkozásában az interneten fellelhető, nyilvános adatbázisokban való szabad keresésre, célzott információgyűjtésre, valamint az elektronikus információs rendszer elérhető szolgáltatásainak, sérülékenységeinek feltérképezésére kerül sor;</t>
  </si>
  <si>
    <t xml:space="preserve">VHR-S0073</t>
  </si>
  <si>
    <t xml:space="preserve">2. § 18.</t>
  </si>
  <si>
    <t xml:space="preserve">18. pszichológiai manipulációs vizsgálat: olyan sérülékenységvizsgálati módszer, amelynek során az emberek befolyásolására alapozva lehetőség nyílik bizalmas információk megszerzésére vagy kártékony program terjedésére és működésére;</t>
  </si>
  <si>
    <t xml:space="preserve">VHR-S0074</t>
  </si>
  <si>
    <t xml:space="preserve">2. § 19.</t>
  </si>
  <si>
    <t xml:space="preserve">19. regisztrált felhasználói jogosultsággal rendelkező vizsgálat: olyan biztonsági vizsgálati eljárás, amelynek során a vizsgálatot végző személy a számára külön létrehozott felhasználói jogosultsággal végzi a vizsgálatot;</t>
  </si>
  <si>
    <t xml:space="preserve">VHR-S0075</t>
  </si>
  <si>
    <t xml:space="preserve">2. § 20.</t>
  </si>
  <si>
    <t xml:space="preserve">20. regisztrált felhasználói jogosultság nélküli vizsgálat: olyan biztonsági vizsgálati eljárás, amelynek során a vizsgálatot végző személy semmilyen előzetes információval nem rendelkezik a vizsgált elektronikus információs rendszerről, és nincs felhasználói jogosultsága a rendszerhez;</t>
  </si>
  <si>
    <t xml:space="preserve">VHR-S0076</t>
  </si>
  <si>
    <t xml:space="preserve">2. § 21.</t>
  </si>
  <si>
    <t xml:space="preserve">21. riasztás: folyamatban lévő incidens vagy incidenssorozat megszakítása érdekében széles körben alkalmazott rendszerekben azonnali intézkedést igénylő figyelemfelhívás;</t>
  </si>
  <si>
    <t xml:space="preserve">VHR-S0077</t>
  </si>
  <si>
    <t xml:space="preserve">2. § 22.</t>
  </si>
  <si>
    <t xml:space="preserve">22. sérülékenység kockázati besorolása: a sérülékenységvizsgálatot végző által alkalmazott módszertan szerint meghatározott kockázatelemzési eredmény;</t>
  </si>
  <si>
    <t xml:space="preserve">VHR-S0078</t>
  </si>
  <si>
    <t xml:space="preserve">2. § 23.</t>
  </si>
  <si>
    <t xml:space="preserve">23. szándékolt incidens: olyan incidens, amelyet szándékos jogellenes vagy rosszhiszemű cselekmény idéz elő;</t>
  </si>
  <si>
    <t xml:space="preserve">VHR-S0079</t>
  </si>
  <si>
    <t xml:space="preserve">2. § 24.</t>
  </si>
  <si>
    <t xml:space="preserve">24. szolgáltatói nyilvántartás: az ENISA által az (EU) 2022/2555 európai parlamenti és tanácsi irányelv alapján vezetett, a DNS-szolgáltatók, a legfelső szintű doménnév-nyilvántartók, a doménnév-nyilvántartási szolgáltatásokat nyújtó szervezetek, a felhőszolgáltatók, az adatközpont-szolgáltatók, a tartalomszolgáltató hálózati szolgáltatók, az irányított szolgáltatók és az irányított biztonsági szolgáltatók, valamint az online piacterek, az online keresőprogramok és a közösségimédia-szolgáltatási platformok nyilvántartása;</t>
  </si>
  <si>
    <t xml:space="preserve">VHR-S0080</t>
  </si>
  <si>
    <t xml:space="preserve">2. § 25.</t>
  </si>
  <si>
    <t xml:space="preserve">25. vezeték nélküli hálózat informatikai biztonsági vizsgálat: olyan sérülékenységvizsgálati módszer, amelynek során a vezeték nélküli hozzáférési és kapcsolódási pontok keresése, feltérképezése, titkosítási eljárások elemzése, titkosítási kulcsok visszafejthetőségének ellenőrzése célszoftverek és kézi vizsgálat útján történik.</t>
  </si>
  <si>
    <t xml:space="preserve">VHR-S0081</t>
  </si>
  <si>
    <t xml:space="preserve">VHR-S0082</t>
  </si>
  <si>
    <t xml:space="preserve">A SZERVEZETEK KÖTELEZET TSÉGEI</t>
  </si>
  <si>
    <t xml:space="preserve">VHR-S0083</t>
  </si>
  <si>
    <t xml:space="preserve">VHR-S0084</t>
  </si>
  <si>
    <t xml:space="preserve">3. § (1) A Kiberbiztonsági tv. 9. §-a szerint adatosztályozásra köteles szervezet az adatok osztályozását az 1. mellékletben meghatározott szempontok alapján végzi el.</t>
  </si>
  <si>
    <t xml:space="preserve">VHR-S0085</t>
  </si>
  <si>
    <t xml:space="preserve">(2) A szervezet vezetőjének a tervezett külföldi adatkezelésre vagy nem privát felhőhasználatra irányuló döntését megelőzően</t>
  </si>
  <si>
    <t xml:space="preserve">VHR-S0086</t>
  </si>
  <si>
    <t xml:space="preserve">3. § (2) a)</t>
  </si>
  <si>
    <t xml:space="preserve">a) a Kiberbiztonsági tv. 1. § (1) bekezdés a) pontja szerinti szervezet költség-haszon elemzést és kilépési tervet,</t>
  </si>
  <si>
    <t xml:space="preserve">VHR-S0087</t>
  </si>
  <si>
    <t xml:space="preserve">3. § (2) b)</t>
  </si>
  <si>
    <t xml:space="preserve">b) a Kiberbiztonsági tv. 1. § (1) bekezdés b) és c) pontja, valamint a honvédelmi célú elektronikus információs rendszerei vonatkozásában az f) pontja szerinti szervezet legalább kilépési tervet</t>
  </si>
  <si>
    <t xml:space="preserve">VHR-S0088</t>
  </si>
  <si>
    <t xml:space="preserve">készít.</t>
  </si>
  <si>
    <t xml:space="preserve">VHR-S0089</t>
  </si>
  <si>
    <t xml:space="preserve">(3) A költség-haszon elemzés keretében a szervezet vizsgálja és kimutatja az aktuálisan alkalmazott technológiához képest a nem privát felhőszolgáltatás igénybevételével járó előnyöket és hátrányokat, a kilépési terv keretében megtervezi a felhőszolgáltatás alkalmazásáról a helyi környezetre vagy privát felhő használatára történő visszaállás lépéseit, annak következményeit és költségvonzatát.</t>
  </si>
  <si>
    <t xml:space="preserve">VHR-S0090</t>
  </si>
  <si>
    <t xml:space="preserve">3. § (4)</t>
  </si>
  <si>
    <t xml:space="preserve">(4) A Kiberbiztonsági tv. 1. § (1) bekezdés a) pontja szerinti szervezet vezetője abban az esetben dönthet a külföldi adatkezelés vagy a nem privát felhőszolgáltatás igénybevétele mellett, amennyiben a költség-haszon elemzés és a kilépési terv eredményei alapján a külföldi adatkezelés vagy a nem privát felhőszolgáltatás igénybevétele a szervezet számára megalapozottan előnyökkel jár.</t>
  </si>
  <si>
    <t xml:space="preserve">VHR-S0091</t>
  </si>
  <si>
    <t xml:space="preserve">3. § (5)</t>
  </si>
  <si>
    <t xml:space="preserve">(5) A szervezet az adatosztályozás eredményét a biztonsági osztályba sorolás eredményének bejelentése keretében jelenti be a 16. § (1) bekezdése szerinti nemzeti kiberbiztonsági hatóság (a továbbiakban: nemzeti kiberbiztonsági hatóság) részére.</t>
  </si>
  <si>
    <t xml:space="preserve">VHR-S0092</t>
  </si>
  <si>
    <t xml:space="preserve">VHR-S0093</t>
  </si>
  <si>
    <t xml:space="preserve">4. § (1)</t>
  </si>
  <si>
    <t xml:space="preserve">4. § (1) A védelmi intézkedések meghatározása és megfelelőségének mérlegelése során – amennyiben rendelkezésre áll – a szervezet figyelembe veszi az Európai Bizottság és az ENISA által, a kritikus ellátási láncok vonatkozásában elvégzett összehangolt biztonsági kockázatértékelések eredményeit.</t>
  </si>
  <si>
    <t xml:space="preserve">VHR-S0094</t>
  </si>
  <si>
    <t xml:space="preserve">4. § (2)</t>
  </si>
  <si>
    <t xml:space="preserve">(2) Ha a szervezet vagy a kiberbiztonsági audit során az auditor az adott elektronikus információs rendszerre vonatkozó biztonsági osztályhoz kapcsolódó védelmi intézkedések értékelése során hiányosságot állapít meg, akkor a szervezet – a vizsgálat vagy a kiberbiztonsági audit eredményének kézhezvételét követő 90 napon belül – intézkedési tervet készít a hiányosság megszüntetésére, amelyet jóváhagyásra benyújt a nemzeti kiberbiztonsági hatóság részére.</t>
  </si>
  <si>
    <t xml:space="preserve">VHR-S0095</t>
  </si>
  <si>
    <t xml:space="preserve">VHR-S0096</t>
  </si>
  <si>
    <t xml:space="preserve">5. § (1) A szervezet soron kívül felülvizsgálja a biztonsági osztályba sorolást, ha az elektronikus információs rendszer kockázati környezetében vagy az adatosztályozásban változás következik be.</t>
  </si>
  <si>
    <t xml:space="preserve">VHR-S0097</t>
  </si>
  <si>
    <t xml:space="preserve">(2) A biztonsági osztályba sorolás felülvizsgálatának eredményét a szervezet 15 napon belül megküldi a nemzeti kiberbiztonsági hatóság részére.</t>
  </si>
  <si>
    <t xml:space="preserve">VHR-S0098</t>
  </si>
  <si>
    <t xml:space="preserve">VHR-S0099</t>
  </si>
  <si>
    <t xml:space="preserve">6. § A szervezet az információbiztonsági szabályzatot soron kívül felülvizsgálja és módosítja</t>
  </si>
  <si>
    <t xml:space="preserve">VHR-S0100</t>
  </si>
  <si>
    <t xml:space="preserve">6. § a)</t>
  </si>
  <si>
    <t xml:space="preserve">a) olyan változás esetén, amely érinti az elektronikus információs rendszer biztonságát, bizalmasságát, rendelkezésre állását, sértetlenségét vagy a szervezet által nyújtott szolgáltatást,</t>
  </si>
  <si>
    <t xml:space="preserve">VHR-S0101</t>
  </si>
  <si>
    <t xml:space="preserve">6. § b)</t>
  </si>
  <si>
    <t xml:space="preserve">b) az újonnan felmerülő kockázat kezelése érdekében, ha a bekövetkezett kiberbiztonsági incidenssel vagy incidensközeli helyzettel összefüggő kockázatot a kockázatelemzés során nem vizsgálták,</t>
  </si>
  <si>
    <t xml:space="preserve">VHR-S0102</t>
  </si>
  <si>
    <t xml:space="preserve">6. § c)</t>
  </si>
  <si>
    <t xml:space="preserve">c) az ellenőrzés, a kiberbiztonsági audit vagy a kiberbiztonsági gyakorlat alkalmával feltárt hiányosságok alapján, a nemzeti kiberbiztonsági hatóság által előírtak szerint.</t>
  </si>
  <si>
    <t xml:space="preserve">VHR-S0103</t>
  </si>
  <si>
    <t xml:space="preserve">7. § A Kiberbiztonsági tv. 8. § (7) bekezdése szerinti kiberbiztonsági információmegosztási megállapodások keretében az információmegosztás során a szervezetek az információk érzékeny jellegét tiszteletben tartva járnak el.</t>
  </si>
  <si>
    <t xml:space="preserve">VHR-S0104</t>
  </si>
  <si>
    <t xml:space="preserve">VHR-S0105</t>
  </si>
  <si>
    <t xml:space="preserve">8. § (1) A szervezet a nemzeti kiberbiztonsági hatóság – honvédelmi célú elektronikus információs rendszer vonatkozásában a honvédelmi kiberbiztonsági hatóság – által meghatározott és közzétett formátumban, elektronikus úton tesz eleget bejelentési és adatszolgáltatási kötelezettségének, ezzel egyidejűleg megküldi a bejelentett adatokat igazoló dokumentumokat.</t>
  </si>
  <si>
    <t xml:space="preserve">VHR-S0106</t>
  </si>
  <si>
    <t xml:space="preserve">(2) A Kiberbiztonsági tv. 8. § (4) bekezdés f) pontja szerinti bejelentés keretében a szervezet megküldi a nemzeti kiberbiztonsági hatóságnak</t>
  </si>
  <si>
    <t xml:space="preserve">VHR-S0107</t>
  </si>
  <si>
    <t xml:space="preserve">8. § (2) a)</t>
  </si>
  <si>
    <t xml:space="preserve">a) az elektronikus információs rendszer biztonsági osztályba sorolásának eredményét, ha annak végrehajtására kötelezett,</t>
  </si>
  <si>
    <t xml:space="preserve">VHR-S0108</t>
  </si>
  <si>
    <t xml:space="preserve">8. § (2) b)</t>
  </si>
  <si>
    <t xml:space="preserve">b) a biztonsági osztály alapján meghatározott védelmi intézkedéseket, beleértve a helyettesítő védelmi intézkedéseket,</t>
  </si>
  <si>
    <t xml:space="preserve">VHR-S0109</t>
  </si>
  <si>
    <t xml:space="preserve">8. § (2) c)</t>
  </si>
  <si>
    <t xml:space="preserve">c) a b) pont szerinti védelmi intézkedések megfelelőségének értékelését, valamint</t>
  </si>
  <si>
    <t xml:space="preserve">VHR-S0110</t>
  </si>
  <si>
    <t xml:space="preserve">8. § (2) d)</t>
  </si>
  <si>
    <t xml:space="preserve">d) a b) pont szerinti védelmi intézkedések aktuális státuszát.</t>
  </si>
  <si>
    <t xml:space="preserve">VHR-S0111</t>
  </si>
  <si>
    <t xml:space="preserve">9. § (1) A szervezet jogutódlással történő megszűnése esetén a jogutód a változást követő 15 napon belül köteles nyilvántartásba vétel céljából bejelenteni a jogutódlást a nemzeti kiberbiztonsági hatóság részére.</t>
  </si>
  <si>
    <t xml:space="preserve">VHR-S0112</t>
  </si>
  <si>
    <t xml:space="preserve">(2) A szervezet a jogutódlás nélkül történő megszűnését – legkésőbb a megszűnés időpontjáig – köteles bejelenteni a nemzeti kiberbiztonsági hatóság részére.</t>
  </si>
  <si>
    <t xml:space="preserve">VHR-S0113</t>
  </si>
  <si>
    <t xml:space="preserve">(3) Ha a nemzeti kiberbiztonsági hatóság tudomást szerez a szervezet jogutódlás nélkül történő megszűnéséről, hivatalból intézkedik a megszűnés tényének nyilvántartásban történő rögzítéséről.</t>
  </si>
  <si>
    <t xml:space="preserve">VHR-S0114</t>
  </si>
  <si>
    <t xml:space="preserve">VHR-S0115</t>
  </si>
  <si>
    <t xml:space="preserve">10. § (1) A Kiberbiztonsági tv. 1. § (1) bekezdése szerinti szervezet</t>
  </si>
  <si>
    <t xml:space="preserve">VHR-S0116</t>
  </si>
  <si>
    <t xml:space="preserve">10. § (1) a)</t>
  </si>
  <si>
    <t xml:space="preserve">a) ha a Kiberbiztonsági tv. 1. § (4) bekezdése alapján alapvető szervezetnek minősül, kétévente,</t>
  </si>
  <si>
    <t xml:space="preserve">VHR-S0117</t>
  </si>
  <si>
    <t xml:space="preserve">10. § (1) b)</t>
  </si>
  <si>
    <t xml:space="preserve">b) a Központ kötelezése alapján vagy</t>
  </si>
  <si>
    <t xml:space="preserve">VHR-S0118</t>
  </si>
  <si>
    <t xml:space="preserve">10. § (1) c)</t>
  </si>
  <si>
    <t xml:space="preserve">c) a nemzeti kiberbiztonsági hatóság kötelezése alapján</t>
  </si>
  <si>
    <t xml:space="preserve">VHR-S0119</t>
  </si>
  <si>
    <t xml:space="preserve">önállóan, vagy a Központ irányításával kiberbiztonsági gyakorlatot folytat le.</t>
  </si>
  <si>
    <t xml:space="preserve">VHR-S0120</t>
  </si>
  <si>
    <t xml:space="preserve">(2) A szervezet a kiberbiztonsági gyakorlat lefolytatásába – szükség szerint – bevonja az elektronikus információs rendszer üzemeltetésében, a kapcsolódó szolgáltatások nyújtásában részt vevő közreműködőit.</t>
  </si>
  <si>
    <t xml:space="preserve">VHR-S0121</t>
  </si>
  <si>
    <t xml:space="preserve">(3) A szervezet által önállóan szervezett gyakorlatot a szervezet maga folytatja le vagy e célból közreműködőt vehet igénybe. Az önállóan szervezett gyakorlat lefolytatása vonatkozásában a Központ módszertant határoz meg, amelyet a honlapján közzétesz.</t>
  </si>
  <si>
    <t xml:space="preserve">VHR-S0122</t>
  </si>
  <si>
    <t xml:space="preserve">(4) A szervezet az önállóan lefolytatott gyakorlatról – a Központ honlapján közzétett módszertan alapján – készített értékelő beszámolót a gyakorlat lefolytatását követő 30 napon belül megküldi a Központ részére. A beszámoló tartalmazza legalább a gyakorlat forgatókönyvét, résztvevőit, a lezajlott eseményeket, a gyakorlat eredményességének értékelését.</t>
  </si>
  <si>
    <t xml:space="preserve">VHR-S0123</t>
  </si>
  <si>
    <t xml:space="preserve">(5) A gyakorlat megfelelőségét a Központ értékeli. Ha a gyakorlat során vagy az önállóan lefolytatott gyakorlatról beküldött beszámoló alapján a Központ hiányosságokat állapít meg, a jelzése alapján a nemzeti kiberbiztonsági hatóság felszólítja – a Kiberbiztonsági tv. 1. § (1) bekezdés d) és e) pontja szerinti szervezet kivételével – a szervezet vezetőjét a nem megfelelő védelmi intézkedések módosítására, és a szervezetet a gyakorlat megismétlésére kötelezheti.</t>
  </si>
  <si>
    <t xml:space="preserve">VHR-S0124</t>
  </si>
  <si>
    <t xml:space="preserve">(6) Az (1) bekezdés b) és c) pontja szerinti kötelezés esetén a szervezet kiberbiztonsági gyakorlaton való részvétele kötelező.</t>
  </si>
  <si>
    <t xml:space="preserve">VHR-S0125</t>
  </si>
  <si>
    <t xml:space="preserve">VHR-S0126</t>
  </si>
  <si>
    <t xml:space="preserve">11. § (1) Az elektronikus információs rendszer biztonságáért felelős személy feladatát a szervezet igényeihez igazodva és annak rendelkezése szerint látja el.</t>
  </si>
  <si>
    <t xml:space="preserve">VHR-S0127</t>
  </si>
  <si>
    <t xml:space="preserve">(2) A szervezet vezetője az elektronikus információs rendszer biztonságáért felelős személy kijelölését vagy megbízását</t>
  </si>
  <si>
    <t xml:space="preserve">VHR-S0128</t>
  </si>
  <si>
    <t xml:space="preserve">11. § (2) a)</t>
  </si>
  <si>
    <t xml:space="preserve">a) megelőzően meggyőződik a jogszabályi követelményeknek való megfelelőségéről,</t>
  </si>
  <si>
    <t xml:space="preserve">VHR-S0129</t>
  </si>
  <si>
    <t xml:space="preserve">11. § (2) b)</t>
  </si>
  <si>
    <t xml:space="preserve">b) követően nyilvántartásba vétel érdekében bejelenti a kiberbiztonsági hatóság részére, egyidejűleg megküldi a bejelentett adatokat igazoló dokumentumokat.</t>
  </si>
  <si>
    <t xml:space="preserve">VHR-S0130</t>
  </si>
  <si>
    <t xml:space="preserve">(3) Az elektronikus információs rendszer biztonságáért felelős személyre vonatkozó bejelentés magában foglalja a vonatkozó munka-, megbízási szerződés vagy más megállapodás másolatának hatóság számára történő megküldését olyan módon, hogy abból csak a hatóság számára releváns, a feladat- és hatásköre ellátáshoz szükséges információ legyen megismerhető. A megállapodáshoz csatolni kell az adott személy végzettségét, képzettségét igazoló okirat, vagy a szakterületi gyakorlatot igazoló okirat, vagy nyilatkozat másolatát.</t>
  </si>
  <si>
    <t xml:space="preserve">VHR-S0131</t>
  </si>
  <si>
    <t xml:space="preserve">(4) Az elektronikus információs rendszer biztonságáért felelős személyre vonatkozó megállapodásnak legalább a következőket kell tartalmaznia:</t>
  </si>
  <si>
    <t xml:space="preserve">VHR-S0132</t>
  </si>
  <si>
    <t xml:space="preserve">11. § (4) a)</t>
  </si>
  <si>
    <t xml:space="preserve">a) a szerződő felek azonosítására alkalmas adatokat,</t>
  </si>
  <si>
    <t xml:space="preserve">VHR-S0133</t>
  </si>
  <si>
    <t xml:space="preserve">11. § (4) b)</t>
  </si>
  <si>
    <t xml:space="preserve">b) az elektronikus információs rendszer biztonságáért felelős személy feladatait ellátó természetes személy azonosítására alkalmas adatokat,</t>
  </si>
  <si>
    <t xml:space="preserve">VHR-S0134</t>
  </si>
  <si>
    <t xml:space="preserve">11. § (4) c)</t>
  </si>
  <si>
    <t xml:space="preserve">c) a megbízás tárgyát,</t>
  </si>
  <si>
    <t xml:space="preserve">VHR-S0135</t>
  </si>
  <si>
    <t xml:space="preserve">11. § (4) d)</t>
  </si>
  <si>
    <t xml:space="preserve">d) a felek jogait és kötelezettségeit a hatályos jogszabályokban foglaltaknak megfelelően.</t>
  </si>
  <si>
    <t xml:space="preserve">VHR-S0136</t>
  </si>
  <si>
    <t xml:space="preserve">(5) Az elektronikus információs rendszer biztonságáért felelős személy büntetlen előéletét a szervezet vezetője – a kiberbiztonsági hatóság, honvédelmi célú elektronikus információs rendszer vonatkozásában a honvédelmi kiberbiztonsági hatóság által meghatározott módon – igazolja.</t>
  </si>
  <si>
    <t xml:space="preserve">VHR-S0137</t>
  </si>
  <si>
    <t xml:space="preserve">(6) A szervezet vezetője az elektronikus információs rendszer biztonságáért felelős személyt kötelezheti, hogy a szervezettel fennálló jogviszonya alatt a büntetlen előélet követelményének való megfelelést igazolja.</t>
  </si>
  <si>
    <t xml:space="preserve">VHR-S0138</t>
  </si>
  <si>
    <t xml:space="preserve">12. § (1) Az elektronikus információs rendszer biztonságáért felelős személy az e feladatkörében a kiberbiztonsági hatóság előtti eljárásra a kiberbiztonsági hatóság általi nyilvántartásba vételét követően válik jogosulttá, és képviseleti joga megszűnésének bejelentéséig vagy a kiberbiztonsági hatóság általi hivatalból való törléséig képviseletre jogosult személynek kell tekinteni.</t>
  </si>
  <si>
    <t xml:space="preserve">VHR-S0139</t>
  </si>
  <si>
    <t xml:space="preserve">(2) Az elektronikus információs rendszer biztonságáért felelős személy</t>
  </si>
  <si>
    <t xml:space="preserve">VHR-S0140</t>
  </si>
  <si>
    <t xml:space="preserve">a) gondoskodik a szervezet elektronikus információs rendszereinek biztonságával összefüggő tevékenységek jogszabályokkal való összhangjának megteremtéséről és fenntartásáról,</t>
  </si>
  <si>
    <t xml:space="preserve">VHR-S0141</t>
  </si>
  <si>
    <t xml:space="preserve">b) gondoskodik a kockázatkezelési keretrendszer szerinti tevékenységek tervezéséről, szervezéséről, koordinálásáról, elvégzéséről és ellenőrzéséről,</t>
  </si>
  <si>
    <t xml:space="preserve">VHR-S0142</t>
  </si>
  <si>
    <t xml:space="preserve">12. § (2) c)</t>
  </si>
  <si>
    <t xml:space="preserve">c) előkészíti és a szervezet vezetőjének jóváhagyását követően megküldi a kiberbiztonsági hatóság részére a szervezet információbiztonsági szabályzatát,</t>
  </si>
  <si>
    <t xml:space="preserve">VHR-S0143</t>
  </si>
  <si>
    <t xml:space="preserve">12. § (2) d)</t>
  </si>
  <si>
    <t xml:space="preserve">d) előkészíti a szervezet elektronikus információs rendszereinek biztonsági osztályba sorolását,</t>
  </si>
  <si>
    <t xml:space="preserve">VHR-S0144</t>
  </si>
  <si>
    <t xml:space="preserve">12. § (2) e)</t>
  </si>
  <si>
    <t xml:space="preserve">e) előkészíti és a szervezet vezetőjének egyetértésével kezdeményezi a kiberbiztonsági hatóságnál a szervezet elektronikus információs rendszereivel kapcsolatos engedélyezési eljárásokat,</t>
  </si>
  <si>
    <t xml:space="preserve">VHR-S0145</t>
  </si>
  <si>
    <t xml:space="preserve">12. § (2) f)</t>
  </si>
  <si>
    <t xml:space="preserve">f) megtartja vagy megszervezi a továbbképzésre kötelezett személyek részére jogszabályban előírt továbbképzéseket,</t>
  </si>
  <si>
    <t xml:space="preserve">VHR-S0146</t>
  </si>
  <si>
    <t xml:space="preserve">12. § (2) g)</t>
  </si>
  <si>
    <t xml:space="preserve">g) véleményezi az elektronikus információs rendszerek biztonsága szempontjából a szervezet elektronikus információbiztonságot érintő szabályzatait és szerződéseit,</t>
  </si>
  <si>
    <t xml:space="preserve">VHR-S0147</t>
  </si>
  <si>
    <t xml:space="preserve">12. § (2) h)</t>
  </si>
  <si>
    <t xml:space="preserve">h) folyamatos és tervezett ellenőrzéseket végez annak vizsgálatára, hogy a szervezet elektronikus információbiztonságra vonatkozó belső normáiban lévő előírások hogyan valósulnak meg, ennek megállapításait írásban rögzíti a szervezet vezetője számára,</t>
  </si>
  <si>
    <t xml:space="preserve">VHR-S0148</t>
  </si>
  <si>
    <t xml:space="preserve">12. § (2) i)</t>
  </si>
  <si>
    <t xml:space="preserve">i) felülvizsgálja, hogy a szervezet elektronikus információbiztonságot érintő belső szabályzatai összhangban vannak-e a hatályos jogszabályokkal és a szervezet belső szabályozóival,</t>
  </si>
  <si>
    <t xml:space="preserve">VHR-S0149</t>
  </si>
  <si>
    <t xml:space="preserve">12. § (2) j)</t>
  </si>
  <si>
    <t xml:space="preserve">j) az ellenőrzések és az esetleges incidensek tapasztalatai felhasználásával – a fejlesztendő területekre vonatkozó javaslatokat tartalmazó – biztonsági helyzetértékelést készít a szervezet vezetője számára,</t>
  </si>
  <si>
    <t xml:space="preserve">VHR-S0150</t>
  </si>
  <si>
    <t xml:space="preserve">12. § (2) k)</t>
  </si>
  <si>
    <t xml:space="preserve">k) legalább évente megvizsgálja a 4. § (2) bekezdése szerinti intézkedési tervet és beszámolót készít a szervezet vezetője számára az előrehaladásról, amiben kiemeli az esetleges lemaradásokat és a rövid távon szükséges intézkedéseket,</t>
  </si>
  <si>
    <t xml:space="preserve">VHR-S0151</t>
  </si>
  <si>
    <t xml:space="preserve">12. § (2) l)</t>
  </si>
  <si>
    <t xml:space="preserve">l) kapcsolatot tart a kiberbiztonsági hatósággal és a kiberbiztonsági incidenskezelő központtal,</t>
  </si>
  <si>
    <t xml:space="preserve">VHR-S0152</t>
  </si>
  <si>
    <t xml:space="preserve">12. § (2) m)</t>
  </si>
  <si>
    <t xml:space="preserve">m) a szervezet bármely elektronikus információs rendszerét érintő incidensről tájékoztatja e rendeletben meghatározott szervet,</t>
  </si>
  <si>
    <t xml:space="preserve">VHR-S0153</t>
  </si>
  <si>
    <t xml:space="preserve">12. § (2) n)</t>
  </si>
  <si>
    <t xml:space="preserve">n) együttműködik a Kszetv. szerinti kritikus szervezet ellenálló képességéért felelős vezetővel, valamint a Vbö. szerinti ellenálló képességért felelős vezetővel.</t>
  </si>
  <si>
    <t xml:space="preserve">VHR-S0154</t>
  </si>
  <si>
    <t xml:space="preserve">12. § (3)</t>
  </si>
  <si>
    <t xml:space="preserve">(3) Ha az elektronikus információs rendszer biztonságáért felelős személy feladatait a szervezeten kívüli személy végzi, feladatait alapvető szervezeteknél legalább kéthavonta egy napon, fontos szervezeteknél legalább háromhavonta egy napon – dokumentált módon – az érintett szervezetnél való fizikai jelenlét mellett köteles ellátni.</t>
  </si>
  <si>
    <t xml:space="preserve">VHR-S0155</t>
  </si>
  <si>
    <t xml:space="preserve">VHR-S0156</t>
  </si>
  <si>
    <t xml:space="preserve">13. § (1) A szervezet az elektronikus információs rendszer fejlesztésére, továbbfejlesztésére (a továbbiakban együtt: fejlesztés) irányuló szerződésekben köteles meghatározni a fejlesztő részére a sérülékenységvizsgálat során feltárásra kerülő sérülékenységek javítására vonatkozó feltételeket.</t>
  </si>
  <si>
    <t xml:space="preserve">VHR-S0157</t>
  </si>
  <si>
    <t xml:space="preserve">(2) A szervezet az elektronikus információs rendszer fejlesztése esetén a tervezési életciklusban elvégzett adatosztályozás és osztályba sorolás eredményét és indokolását a nemzeti kiberbiztonsági hatóság – honvédelmi célú elektronikus információs rendszer vonatkozásában a honvédelmi kiberbiztonsági hatóság – által a honlapján közzétett nyomtatványon és mellékleteivel együtt nyújtja be a nemzeti kiberbiztonsági hatóság részére.</t>
  </si>
  <si>
    <t xml:space="preserve">VHR-S0158</t>
  </si>
  <si>
    <t xml:space="preserve">(3) A nemzeti kiberbiztonsági hatóság az adatosztályozást és a biztonsági osztályba sorolást felülbírálhatja, és indokolt esetben magasabb vagy alacsonyabb szintű besorolást is megállapíthat.</t>
  </si>
  <si>
    <t xml:space="preserve">VHR-S0159</t>
  </si>
  <si>
    <t xml:space="preserve">(4) A szervezet vezetője biztosítja, hogy a biztonsági osztályhoz kapcsolódó védelmi követelmények a fejlesztés során megvalósuljanak.</t>
  </si>
  <si>
    <t xml:space="preserve">VHR-S0160</t>
  </si>
  <si>
    <t xml:space="preserve">(5) A szervezet a fejlesztés során felülvizsgálja</t>
  </si>
  <si>
    <t xml:space="preserve">VHR-S0161</t>
  </si>
  <si>
    <t xml:space="preserve">13. § (5) a)</t>
  </si>
  <si>
    <t xml:space="preserve">a) az adatosztályozást, amennyiben az elektronikus információs rendszerben kezelendő adatok körében, valamint</t>
  </si>
  <si>
    <t xml:space="preserve">VHR-S0162</t>
  </si>
  <si>
    <t xml:space="preserve">13. § (5) b)</t>
  </si>
  <si>
    <t xml:space="preserve">b) a biztonsági osztályba sorolást, amennyiben az elektronikus információs rendszer kockázati környezetében</t>
  </si>
  <si>
    <t xml:space="preserve">VHR-S0163</t>
  </si>
  <si>
    <t xml:space="preserve">változás következik be.</t>
  </si>
  <si>
    <t xml:space="preserve">VHR-S0164</t>
  </si>
  <si>
    <t xml:space="preserve">(6) A szervezet a felülvizsgálat eredményeként kapott besorolást a nemzeti kiberbiztonsági hatóságnak jóváhagyásra benyújtja. A biztonsági osztályba sorolás vizsgálata során a nemzeti kiberbiztonsági hatóság a 30. § szerint jár el.</t>
  </si>
  <si>
    <t xml:space="preserve">VHR-S0165</t>
  </si>
  <si>
    <t xml:space="preserve">14. § (1) Az elektronikus információs rendszer használatbavétele, illetve meglévő elektronikus információs rendszer továbbhasználata kapcsán a szervezet vezetője által hozott döntésnek a nemzeti kiberbiztonsági hatóság általi jóváhagyását a szervezet a nemzeti kiberbiztonsági hatóság – honvédelmi célú elektronikus információs rendszer vonatkozásában a honvédelmi kiberbiztonsági hatóság – honlapján közzétett nyomtatványon kérelmezi.</t>
  </si>
  <si>
    <t xml:space="preserve">VHR-S0166</t>
  </si>
  <si>
    <t xml:space="preserve">(2) A kérelemnek tartalmaznia kell a biztonsági osztályba sorolás eredményeként kapott, elvárt védelmi intézkedések megvalósításáról készült valamennyi dokumentációt.</t>
  </si>
  <si>
    <t xml:space="preserve">VHR-S0167</t>
  </si>
  <si>
    <t xml:space="preserve">(3) A nemzeti kiberbiztonsági hatóság a jóváhagyását adja, ha meggyőződött róla, hogy az érintett elektronikus információs rendszer valamennyi elvárt kiberbiztonsági kritériumot teljesíti és ezzel egyidőben nyilvántartásba veszi az elektronikus információs rendszert. Ellenkező esetben a hatóság hiánypótlásra, a hiányosságok javítására, pótlására szólít fel és megtilthatja az elektronikus információs rendszer használatba vételét, továbbhasználatát.</t>
  </si>
  <si>
    <t xml:space="preserve">VHR-S0168</t>
  </si>
  <si>
    <t xml:space="preserve">VHR-S0169</t>
  </si>
  <si>
    <t xml:space="preserve">15. § (1) A felhasználó szervezet, ha a rendelkezésében lévő elektronikus információs rendszerhez kapcsolódóan központi szolgáltatást vesz igénybe, megküldi a központi szolgáltatónak az elektronikus információs rendszer</t>
  </si>
  <si>
    <t xml:space="preserve">VHR-S0170</t>
  </si>
  <si>
    <t xml:space="preserve">15. § (1) a)</t>
  </si>
  <si>
    <t xml:space="preserve">a) nevét,</t>
  </si>
  <si>
    <t xml:space="preserve">VHR-S0171</t>
  </si>
  <si>
    <t xml:space="preserve">15. § (1) b)</t>
  </si>
  <si>
    <t xml:space="preserve">b) biztonsági osztályát,</t>
  </si>
  <si>
    <t xml:space="preserve">VHR-S0172</t>
  </si>
  <si>
    <t xml:space="preserve">15. § (1) c)</t>
  </si>
  <si>
    <t xml:space="preserve">c) rövid funkcióleírását, valamint</t>
  </si>
  <si>
    <t xml:space="preserve">VHR-S0173</t>
  </si>
  <si>
    <t xml:space="preserve">15. § (1) d)</t>
  </si>
  <si>
    <t xml:space="preserve">d) a kijelölt kapcsolattartó személyek – ideértve az adatgazda, az üzemeltetési felelős és az elektronikus információs rendszer biztonságáért felelős személy – alábbi adatait:</t>
  </si>
  <si>
    <t xml:space="preserve">VHR-S0174</t>
  </si>
  <si>
    <t xml:space="preserve">15. § (1) d) da)</t>
  </si>
  <si>
    <t xml:space="preserve">da) neve,</t>
  </si>
  <si>
    <t xml:space="preserve">VHR-S0175</t>
  </si>
  <si>
    <t xml:space="preserve">15. § (1) d) db)</t>
  </si>
  <si>
    <t xml:space="preserve">db) beosztása,</t>
  </si>
  <si>
    <t xml:space="preserve">VHR-S0176</t>
  </si>
  <si>
    <t xml:space="preserve">15. § (1) d) dc)</t>
  </si>
  <si>
    <t xml:space="preserve">dc) kapcsolattartásra alkalmas elektronikus levelezési címe, telefonszáma.</t>
  </si>
  <si>
    <t xml:space="preserve">VHR-S0177</t>
  </si>
  <si>
    <t xml:space="preserve">(2) A központi rendszer felett rendelkezési jogot gyakorló szervezet vagy a központi szolgáltató a központi rendszerként, támogató rendszerként vagy központi szolgáltatásként való minősülés megállapítása érdekében előzetesen egyeztet a nemzeti kiberbiztonsági hatósággal. A nemzeti kiberbiztonsági hatóság az egyeztetésbe bevonhatja a felhasználó szervezeteket.</t>
  </si>
  <si>
    <t xml:space="preserve">VHR-S0178</t>
  </si>
  <si>
    <t xml:space="preserve">(3) A szolgáltatást nyújtó szolgáltatáskatalógusában rögzíti a központi szolgáltatás megnevezését, valamint, hogy</t>
  </si>
  <si>
    <t xml:space="preserve">VHR-S0179</t>
  </si>
  <si>
    <t xml:space="preserve">15. § (3) a)</t>
  </si>
  <si>
    <t xml:space="preserve">a) az általa nyújtott szolgáltatás központi szolgáltatásnak, központi rendszernek, támogató rendszernek vagy egyéb szolgáltatásnak minősül,</t>
  </si>
  <si>
    <t xml:space="preserve">VHR-S0180</t>
  </si>
  <si>
    <t xml:space="preserve">15. § (3) b)</t>
  </si>
  <si>
    <t xml:space="preserve">b) a központi szolgáltatás vagy támogató rendszer milyen biztonsági osztály követelményeinek megfelelő szolgáltatásokat tud nyújtani,</t>
  </si>
  <si>
    <t xml:space="preserve">VHR-S0181</t>
  </si>
  <si>
    <t xml:space="preserve">15. § (3) c)</t>
  </si>
  <si>
    <t xml:space="preserve">c) a központi szolgáltatást megvalósító elektronikus információs rendszerek milyen biztonsági osztály követelményeinek felelnek meg.</t>
  </si>
  <si>
    <t xml:space="preserve">VHR-S0182</t>
  </si>
  <si>
    <t xml:space="preserve">15. § (4)</t>
  </si>
  <si>
    <t xml:space="preserve">(4) Több szolgáltató által együttesen nyújtott központi szolgáltatás vonatkozásában a szolgáltatók megállapodásban rögzítik az általuk nyújtott szolgáltatásrészek tekintetében a felelősségi határokat, valamint az adott szolgáltatásrész által biztosított védelmi intézkedéseket.</t>
  </si>
  <si>
    <t xml:space="preserve">VHR-S0183</t>
  </si>
  <si>
    <t xml:space="preserve">VHR-S0184</t>
  </si>
  <si>
    <t xml:space="preserve">A KIBERBIZTONSÁG HATÓSÁGI FELÜGYELETE</t>
  </si>
  <si>
    <t xml:space="preserve">VHR-S0185</t>
  </si>
  <si>
    <t xml:space="preserve">VHR-S0186</t>
  </si>
  <si>
    <t xml:space="preserve">16. § (1) A Kormány</t>
  </si>
  <si>
    <t xml:space="preserve">VHR-S0187</t>
  </si>
  <si>
    <t xml:space="preserve">16. § (1) a)</t>
  </si>
  <si>
    <t xml:space="preserve">a) a Kiberbiztonsági tv. 23. § (1) bekezdés a) pontja szerinti nemzeti kiberbiztonsági hatóságként, valamint</t>
  </si>
  <si>
    <t xml:space="preserve">VHR-S0188</t>
  </si>
  <si>
    <t xml:space="preserve">16. § (1) b)</t>
  </si>
  <si>
    <t xml:space="preserve">b) az elektronikus kereskedelmi szolgáltatások, valamint az információs társadalommal összefüggő szolgáltatások egyes kérdéseiről szóló 2001. évi CVIII. törvény (a továbbiakban: Ekertv.) 15/B. §-a szerinti hatóságként</t>
  </si>
  <si>
    <t xml:space="preserve">VHR-S0189</t>
  </si>
  <si>
    <t xml:space="preserve">a Nemzetbiztonsági Szakszolgálatot jelöli ki.</t>
  </si>
  <si>
    <t xml:space="preserve">VHR-S0190</t>
  </si>
  <si>
    <t xml:space="preserve">(2) A Kormány a Kiberbiztonsági tv. 23. § (2) bekezdése szerinti honvédelmi kiberbiztonsági hatóságként a honvédelemért felelős minisztert jelöli ki.</t>
  </si>
  <si>
    <t xml:space="preserve">VHR-S0191</t>
  </si>
  <si>
    <t xml:space="preserve">VHR-S0192</t>
  </si>
  <si>
    <t xml:space="preserve">17. § (1) A nemzeti kiberbiztonsági hatóság jogosult</t>
  </si>
  <si>
    <t xml:space="preserve">VHR-S0193</t>
  </si>
  <si>
    <t xml:space="preserve">17. § (1) a)</t>
  </si>
  <si>
    <t xml:space="preserve">a) a biztonsági osztályba sorolást, a védelmi intézkedéseket és az ehhez kapcsolódó eljárási szabályok teljesülését ellenőrizni,</t>
  </si>
  <si>
    <t xml:space="preserve">VHR-S0194</t>
  </si>
  <si>
    <t xml:space="preserve">17. § (1) b)</t>
  </si>
  <si>
    <t xml:space="preserve">b) a minimálisan elvárt védelmi intézkedéseket meghatározni,</t>
  </si>
  <si>
    <t xml:space="preserve">VHR-S0195</t>
  </si>
  <si>
    <t xml:space="preserve">17. § (1) c)</t>
  </si>
  <si>
    <t xml:space="preserve">c) a szervezet által meghatározott biztonsági osztályhoz tartozó védelmi intézkedéseken túl további biztonsági követelményeket meghatározni,</t>
  </si>
  <si>
    <t xml:space="preserve">VHR-S0196</t>
  </si>
  <si>
    <t xml:space="preserve">17. § (1) d)</t>
  </si>
  <si>
    <t xml:space="preserve">d) a szervezet által elfogadott kiberbiztonsági kockázatkezelési intézkedések – többek között a dokumentált kiberbiztonsági szabályzatok – értékeléséhez, valamint az információk bejelentésére vonatkozó kötelezettség betartásának értékeléséhez szükséges tájékoztatást kérni,</t>
  </si>
  <si>
    <t xml:space="preserve">VHR-S0197</t>
  </si>
  <si>
    <t xml:space="preserve">17. § (1) e)</t>
  </si>
  <si>
    <t xml:space="preserve">e) a Kiberbiztonsági tv. 1. § (1) bekezdés b) pontja szerinti azon szervezet esetében, amely egyúttal a Kiberbiztonsági tv. 2. és 3. melléklete szerinti szervezet is, a kiberbiztonsági audit eredményeképp előállított auditjelentést megalapozó bizonyítékokhoz hozzáférni, és ezeket bekérni, ezek tartalmát felülvizsgálni,</t>
  </si>
  <si>
    <t xml:space="preserve">VHR-S0198</t>
  </si>
  <si>
    <t xml:space="preserve">17. § (1) f)</t>
  </si>
  <si>
    <t xml:space="preserve">f) rendszeres, eseti és célzott biztonsági ellenőrzéseket végezni, ideértve a helyszíni ellenőrzéseket, a távoli felügyeleti intézkedéseket és a véletlenszerű ellenőrzéseket is,</t>
  </si>
  <si>
    <t xml:space="preserve">VHR-S0199</t>
  </si>
  <si>
    <t xml:space="preserve">17. § (1) g)</t>
  </si>
  <si>
    <t xml:space="preserve">g) a felügyeleti feladatai ellátásához szükséges adatokhoz, dokumentumokhoz és információkhoz hozzáférni és ezeket bekérni, illetve a megküldött dokumentumok felülvizsgálatát elrendelni,</t>
  </si>
  <si>
    <t xml:space="preserve">VHR-S0200</t>
  </si>
  <si>
    <t xml:space="preserve">17. § (1) h)</t>
  </si>
  <si>
    <t xml:space="preserve">h) eljárása során – a honvédelmi elektronikus információs rendszerek kivételével – független értékelőt igénybe venni, és az általa végzett ellenőrzés eredményét, továbbá a szervezet által megbízott független értékelő jelentésében vagy a kiberbiztonsági auditjelentésben foglaltakat figyelembe venni,</t>
  </si>
  <si>
    <t xml:space="preserve">VHR-S0201</t>
  </si>
  <si>
    <t xml:space="preserve">17. § (1) i)</t>
  </si>
  <si>
    <t xml:space="preserve">i) az elektronikus információs rendszerekre és eszközökre, a szervezetekre nemzetközi egyezmények vagy nemzetközi szabványok alapján, illetve az ezeken alapuló hazai követelmények vagy ajánlások alapján kiadott biztonsági tanúsítványokat figyelembe venni,</t>
  </si>
  <si>
    <t xml:space="preserve">VHR-S0202</t>
  </si>
  <si>
    <t xml:space="preserve">17. § (1) j)</t>
  </si>
  <si>
    <t xml:space="preserve">j) európai uniós jogi aktus által meghatározott kiberbiztonsági követelményeknek való megfelelést részben vagy egészben az informatikáért felelős miniszter rendeletében meghatározott védelmi követelményeknek való megfelelésnek tekinteni,</t>
  </si>
  <si>
    <t xml:space="preserve">VHR-S0203</t>
  </si>
  <si>
    <t xml:space="preserve">17. § (1) k)</t>
  </si>
  <si>
    <t xml:space="preserve">k) az ellenőrzés során feltárt hiányosságok felszámolásához szükséges intézkedéseket elrendelni, ezek teljesülését ellenőrizni,</t>
  </si>
  <si>
    <t xml:space="preserve">VHR-S0204</t>
  </si>
  <si>
    <t xml:space="preserve">17. § (1) l)</t>
  </si>
  <si>
    <t xml:space="preserve">l) a felügyeleti jogkörébe tartozó szervezetek vonatkozásában szabvány alkalmazására, európai vagy hazai kiberbiztonsági tanúsítási rendszerek által tanúsított IKT-termék használatára, illetve minősített bizalmi szolgáltatás igénybevételére iránymutatásokat kiadni,</t>
  </si>
  <si>
    <t xml:space="preserve">VHR-S0205</t>
  </si>
  <si>
    <t xml:space="preserve">17. § (1) m)</t>
  </si>
  <si>
    <t xml:space="preserve">m) az elektronikus információs rendszerek használatba vételének, meglévő elektronikus információs rendszer továbbhasználatának jóváhagyása során helyszíni ellenőrzést tartani és sérülékenységvizsgálatot elrendelni,</t>
  </si>
  <si>
    <t xml:space="preserve">VHR-S0206</t>
  </si>
  <si>
    <t xml:space="preserve">17. § (1) n)</t>
  </si>
  <si>
    <t xml:space="preserve">n) a Központ megkeresése alapján a szervezet elektronikus információs rendszere kapcsán bejelentett sérülékenység felszámolásához szükséges intézkedéseket elrendelni, ezek teljesülését ellenőrizni, illetve egyedi mérlegelés alapján sérülékenységvizsgálatot elrendelni.</t>
  </si>
  <si>
    <t xml:space="preserve">VHR-S0207</t>
  </si>
  <si>
    <t xml:space="preserve">(2) Ha a nemzeti kiberbiztonsági hatóság a hatósági tevékenysége során</t>
  </si>
  <si>
    <t xml:space="preserve">VHR-S0208</t>
  </si>
  <si>
    <t xml:space="preserve">17. § (2) a)</t>
  </si>
  <si>
    <t xml:space="preserve">VHR-S0209</t>
  </si>
  <si>
    <t xml:space="preserve">17. § (2) b)</t>
  </si>
  <si>
    <t xml:space="preserve">b) a szervezet felett hatósági, felügyeleti vagy ellenőrzési jogkört gyakorló szervezettől,</t>
  </si>
  <si>
    <t xml:space="preserve">VHR-S0210</t>
  </si>
  <si>
    <t xml:space="preserve">17. § (2) c)</t>
  </si>
  <si>
    <t xml:space="preserve">c) közhiteles nyilvántartásokból és</t>
  </si>
  <si>
    <t xml:space="preserve">VHR-S0211</t>
  </si>
  <si>
    <t xml:space="preserve">17. § (2) d)</t>
  </si>
  <si>
    <t xml:space="preserve">d) az adatkezelést végző szervtől</t>
  </si>
  <si>
    <t xml:space="preserve">VHR-S0212</t>
  </si>
  <si>
    <t xml:space="preserve">a tényállás tisztázása keretében adatot igényel, azt számára a megkeresett szervezet, szerv térítésmentesen biztosítja.</t>
  </si>
  <si>
    <t xml:space="preserve">VHR-S0213</t>
  </si>
  <si>
    <t xml:space="preserve">18. § A nemzeti kiberbiztonsági hatóság feladatai ellátása során együttműködik az elektronikus információbiztonság területén</t>
  </si>
  <si>
    <t xml:space="preserve">VHR-S0214</t>
  </si>
  <si>
    <t xml:space="preserve">18. § a)</t>
  </si>
  <si>
    <t xml:space="preserve">a) a kiberbiztonsági incidenskezelő központokkal,</t>
  </si>
  <si>
    <t xml:space="preserve">VHR-S0215</t>
  </si>
  <si>
    <t xml:space="preserve">18. § b)</t>
  </si>
  <si>
    <t xml:space="preserve">b) a kiberbiztonsági tanúsító hatósággal,</t>
  </si>
  <si>
    <t xml:space="preserve">VHR-S0216</t>
  </si>
  <si>
    <t xml:space="preserve">18. § c)</t>
  </si>
  <si>
    <t xml:space="preserve">c) a Kszetv. szerinti kijelölő hatósággal és szakhatósággal,</t>
  </si>
  <si>
    <t xml:space="preserve">VHR-S0217</t>
  </si>
  <si>
    <t xml:space="preserve">18. § d)</t>
  </si>
  <si>
    <t xml:space="preserve">d) a Vbö. szerinti kijelölő hatósággal és szakhatósággal,</t>
  </si>
  <si>
    <t xml:space="preserve">VHR-S0218</t>
  </si>
  <si>
    <t xml:space="preserve">18. § e)</t>
  </si>
  <si>
    <t xml:space="preserve">e) az (EU) 2022/2554 európai parlamenti és tanácsi rendelet szerinti hatósággal,</t>
  </si>
  <si>
    <t xml:space="preserve">VHR-S0219</t>
  </si>
  <si>
    <t xml:space="preserve">18. § f)</t>
  </si>
  <si>
    <t xml:space="preserve">f) a rendvédelmi szervekkel,</t>
  </si>
  <si>
    <t xml:space="preserve">VHR-S0220</t>
  </si>
  <si>
    <t xml:space="preserve">18. § g)</t>
  </si>
  <si>
    <t xml:space="preserve">g) a nemzetbiztonsági szolgálatokkal,</t>
  </si>
  <si>
    <t xml:space="preserve">VHR-S0221</t>
  </si>
  <si>
    <t xml:space="preserve">18. § h)</t>
  </si>
  <si>
    <t xml:space="preserve">h) a katonai kibertér műveleti erőkkel,</t>
  </si>
  <si>
    <t xml:space="preserve">VHR-S0222</t>
  </si>
  <si>
    <t xml:space="preserve">18. § i)</t>
  </si>
  <si>
    <t xml:space="preserve">i) a Nemzeti Média- és Hírközlési Hatósággal,</t>
  </si>
  <si>
    <t xml:space="preserve">VHR-S0223</t>
  </si>
  <si>
    <t xml:space="preserve">18. § j)</t>
  </si>
  <si>
    <t xml:space="preserve">j) a Nemzeti Adatvédelmi és Információszabadság Hatósággal,</t>
  </si>
  <si>
    <t xml:space="preserve">VHR-S0224</t>
  </si>
  <si>
    <t xml:space="preserve">18. § k)</t>
  </si>
  <si>
    <t xml:space="preserve">k) az Európai Unió tagállamainak vagy harmadik országok kiberbiztonsági felügyeleti hatóságaival, valamint</t>
  </si>
  <si>
    <t xml:space="preserve">VHR-S0225</t>
  </si>
  <si>
    <t xml:space="preserve">18. § l)</t>
  </si>
  <si>
    <t xml:space="preserve">l) más tagállamok illetékes hatóságaival.</t>
  </si>
  <si>
    <t xml:space="preserve">VHR-S0226</t>
  </si>
  <si>
    <t xml:space="preserve">18/A. § A Kormány a Kiberbiztonsági tv. 24. § (9) bekezdése szerinti adatszolgáltatást teljesítő élelmiszerlánc- felügyeleti szervként</t>
  </si>
  <si>
    <t xml:space="preserve">VHR-S0227</t>
  </si>
  <si>
    <t xml:space="preserve">18/A. § a)</t>
  </si>
  <si>
    <t xml:space="preserve">a) a Nemzeti Élelmiszerlánc-biztonsági Hivatalt és</t>
  </si>
  <si>
    <t xml:space="preserve">VHR-S0228</t>
  </si>
  <si>
    <t xml:space="preserve">18/A. § b)</t>
  </si>
  <si>
    <t xml:space="preserve">b) a Nemzeti Kereskedelmi és Fogyasztóvédelmi Hatóságot</t>
  </si>
  <si>
    <t xml:space="preserve">VHR-S0229</t>
  </si>
  <si>
    <t xml:space="preserve">jelöli ki.</t>
  </si>
  <si>
    <t xml:space="preserve">VHR-S0230</t>
  </si>
  <si>
    <t xml:space="preserve">19. § Ha a szervezet jelentős kiberbiztonsági incidensről értesíti a nemzeti kiberbiztonsági hatóságot, a nemzeti kiberbiztonsági hatóság a kézhezvételt követően továbbítja az értesítést a Központnak.</t>
  </si>
  <si>
    <t xml:space="preserve">VHR-S0231</t>
  </si>
  <si>
    <t xml:space="preserve">20. § (1) A nemzeti kiberbiztonsági hatóság és a Kszetv. szerinti kijelölő hatóság együttműködése keretében</t>
  </si>
  <si>
    <t xml:space="preserve">VHR-S0232</t>
  </si>
  <si>
    <t xml:space="preserve">20. § (1) a)</t>
  </si>
  <si>
    <t xml:space="preserve">a) szükség szerint információt cserél a kritikus szervezetek kijelöléséről, a kritikus szervezetként kijelölt alapvető szervezeteket érintő nem kiberbiztonsági kockázatokról, fenyegetésekről és eseményekről, az említett kockázatokra, fenyegetésekre és eseményekre való reagálásként hozott intézkedésekről, valamint nem kiberbiztonsági jellegű kockázatok, fenyegetések és események, ideértve a kritikus szervezetek által végrehajtott kiberbiztonsági és fizikai intézkedéseket, valamint az ilyen szervezetek tekintetében végzett felügyeleti tevékenységek eredményeiről,</t>
  </si>
  <si>
    <t xml:space="preserve">VHR-S0233</t>
  </si>
  <si>
    <t xml:space="preserve">20. § (1) b)</t>
  </si>
  <si>
    <t xml:space="preserve">b) a nemzeti kiberbiztonsági hatóság tájékoztatja a Kszetv. szerinti hatóságot, amikor a Kszetv. szerint kijelölt kritikus szervezettel szemben hatósági felügyeleti intézkedést tesz az (EU) 2022/2555 európai parlamenti és tanácsi irányelvnek való megfelelés biztosítása érdekében,</t>
  </si>
  <si>
    <t xml:space="preserve">VHR-S0234</t>
  </si>
  <si>
    <t xml:space="preserve">20. § (1) c)</t>
  </si>
  <si>
    <t xml:space="preserve">c) a Kszetv. szerinti hatóság megkereséssel élhet a nemzeti kiberbiztonsági hatóság felé hatósági jogköreinek gyakorlása, intézkedés megtétele érdekében a Kszetv. szerint kijelölt kritikus szervezet esetében az (EU) 2022/2555 európai parlamenti és tanácsi irányelvnek való megfelelés biztosítása érdekében.</t>
  </si>
  <si>
    <t xml:space="preserve">VHR-S0235</t>
  </si>
  <si>
    <t xml:space="preserve">(2) A nemzeti kiberbiztonsági hatóság és a Vbö. szerinti kijelölő hatóság együttműködése keretében az (1) bekezdés szerint jár el az ország védelme és biztonsága szempontjából jelentős szervezetek vonatkozásában.</t>
  </si>
  <si>
    <t xml:space="preserve">VHR-S0236</t>
  </si>
  <si>
    <t xml:space="preserve">(3) A nemzeti kiberbiztonsági hatóság az (EU) 2022/2554 európai parlamenti és tanácsi rendelet szerinti hatósággal történő együttműködés keretében tájékoztatja az (EU) 2022/2554 európai parlamenti és tanácsi rendelet 32. cikk (1) bekezdése szerint létrehozott felvigyázási fórumot, amikor hatósági felügyeleti intézkedést tesz annak érdekében, hogy a Kiberbiztonsági tv. hatálya alá tartozó, az (EU) 2022/2554 európai parlamenti és tanácsi rendelet 31. cikke szerint kritikus harmadik fél IKT-szolgáltatónak kijelölt alapvető szervezetek megfeleljenek az (EU) 2022/2555 európai parlamenti és tanácsi irányelvnek.</t>
  </si>
  <si>
    <t xml:space="preserve">VHR-S0237</t>
  </si>
  <si>
    <t xml:space="preserve">(4) A honvédelmi kiberbiztonsági hatóság és a Vbö. szerinti honvédelmi ágazati kijelölő hatóság együttműködése keretében az (1) bekezdés szerint jár el.</t>
  </si>
  <si>
    <t xml:space="preserve">VHR-S0238</t>
  </si>
  <si>
    <t xml:space="preserve">21. § (1) Ha egy szervezet egynél több európai uniós tagállamban nyújt szolgáltatásokat, vagy egy vagy több európai uniós tagállamban nyújt szolgáltatásokat, és hálózati és információs rendszerei egy vagy több másik uniós tagállamban találhatóak, a nemzeti kiberbiztonsági hatóság szükség szerint együttműködik a másik tagállam illetékes hatóságával. Az együttműködés keretében a nemzeti kiberbiztonsági hatóság</t>
  </si>
  <si>
    <t xml:space="preserve">VHR-S0239</t>
  </si>
  <si>
    <t xml:space="preserve">21. § (1) a)</t>
  </si>
  <si>
    <t xml:space="preserve">a) az általa alkalmazott felügyeleti intézkedésekről – az egyedüli kapcsolattartó ponton keresztül – tájékoztathatja az érintett európai uniós tagállam illetékes hatóságát,</t>
  </si>
  <si>
    <t xml:space="preserve">VHR-S0240</t>
  </si>
  <si>
    <t xml:space="preserve">21. § (1) b)</t>
  </si>
  <si>
    <t xml:space="preserve">b) felkérheti a másik európai uniós tagállam illetékes hatóságát felügyeleti intézkedések megtételére,</t>
  </si>
  <si>
    <t xml:space="preserve">VHR-S0241</t>
  </si>
  <si>
    <t xml:space="preserve">21. § (1) c)</t>
  </si>
  <si>
    <t xml:space="preserve">c) egy másik európai uniós tagállam illetékes hatóságától származó indokolt kérelem kézhezvételét követően – a saját erőforrásaihoz mérten arányos módon – kölcsönös segítséget nyújt a megkereső hatóság számára annak érdekében, hogy a felügyeleti intézkedéseket hatékonyan, eredményesen és következetesen lehessen végrehajtani.</t>
  </si>
  <si>
    <t xml:space="preserve">VHR-S0242</t>
  </si>
  <si>
    <t xml:space="preserve">(2) A nemzeti kiberbiztonsági hatóság nem utasíthatja el a megkeresést, kivéve, ha megállapítja, hogy nem rendelkezik hatáskörrel a kért segítség nyújtására, a kért segítség nem arányos a nemzeti kiberbiztonsági hatóság felügyeleti feladataival, vagy a megkeresés olyan információra vonatkozik, vagy olyan tevékenységeket foglal magában, amelyek közlése vagy végrehajtása ellentétes lenne Magyarország nemzetbiztonságának, közbiztonságának vagy védelmének alapvető érdekeivel. A megkeresés elutasítása előtt a nemzeti kiberbiztonsági hatóság konzultálhat más illetékes hatósággal, valamint az Európai Bizottsággal és az ENISA-val.</t>
  </si>
  <si>
    <t xml:space="preserve">VHR-S0243</t>
  </si>
  <si>
    <t xml:space="preserve">(3) A nemzeti kiberbiztonsági hatóság – közös megegyezés alapján – közös felügyeleti intézkedéseket hajthat végre más európai uniós tagállamok illetékes hatóságaival.</t>
  </si>
  <si>
    <t xml:space="preserve">VHR-S0244</t>
  </si>
  <si>
    <t xml:space="preserve">VHR-S0245</t>
  </si>
  <si>
    <t xml:space="preserve">22. § (1) A nemzeti kiberbiztonsági hatóság eljárásaiban</t>
  </si>
  <si>
    <t xml:space="preserve">VHR-S0246</t>
  </si>
  <si>
    <t xml:space="preserve">a) a kérelem kormányablaknál való előterjesztése kizárt,</t>
  </si>
  <si>
    <t xml:space="preserve">VHR-S0247</t>
  </si>
  <si>
    <t xml:space="preserve">b) kétszeri hiánypótlásra való felszólításnak van helye a (2) bekezdésben foglalt kivétellel.</t>
  </si>
  <si>
    <t xml:space="preserve">VHR-S0248</t>
  </si>
  <si>
    <t xml:space="preserve">(2) A nemzeti kiberbiztonsági hatóság mellőzi az ismételt hiánypótlást, amennyiben a hiánypótlásra ugyanazon szervezet vonatkozásában ugyanazon hiányosságra figyelemmel kerülne sor.</t>
  </si>
  <si>
    <t xml:space="preserve">VHR-S0249</t>
  </si>
  <si>
    <t xml:space="preserve">(3) A nemzeti kiberbiztonsági hatóság az eljárását lezáró döntésének meghozatala előtt a szervezettel egyeztetést folytathat le.</t>
  </si>
  <si>
    <t xml:space="preserve">VHR-S0250</t>
  </si>
  <si>
    <t xml:space="preserve">23. § (1) A nemzeti kiberbiztonsági hatóság kiberbiztonsági incidens esetén hatósági eljárást indít abban az esetben, ha</t>
  </si>
  <si>
    <t xml:space="preserve">VHR-S0251</t>
  </si>
  <si>
    <t xml:space="preserve">a) a kiberbiztonsági incidenst – a Központ jelzése alapján – a szervezet önállóan vagy a Kiberbiztonsági tv. 70. § (3) bekezdés b) pontja szerinti gazdálkodó szervezet igénybevételével nem tudta megoldani,</t>
  </si>
  <si>
    <t xml:space="preserve">VHR-S0252</t>
  </si>
  <si>
    <t xml:space="preserve">b) a kiberbiztonsági incidens mérete, az incidens által okozott kár értéke ezt indokolja,</t>
  </si>
  <si>
    <t xml:space="preserve">VHR-S0253</t>
  </si>
  <si>
    <t xml:space="preserve">23. § (1) c)</t>
  </si>
  <si>
    <t xml:space="preserve">c) a Központ kezdeményezi.</t>
  </si>
  <si>
    <t xml:space="preserve">VHR-S0254</t>
  </si>
  <si>
    <t xml:space="preserve">(2) A honvédelmi kiberbiztonsági hatóság a tudomására jutott kiberbiztonsági incidens kivizsgálása érdekében hatósági eljárást indít.</t>
  </si>
  <si>
    <t xml:space="preserve">VHR-S0255</t>
  </si>
  <si>
    <t xml:space="preserve">24. § A nemzeti kiberbiztonsági hatóság az alapvető vagy fontos szervezetek nyilvántartásából történő törlésről</t>
  </si>
  <si>
    <t xml:space="preserve">VHR-S0256</t>
  </si>
  <si>
    <t xml:space="preserve">24. § a)</t>
  </si>
  <si>
    <t xml:space="preserve">a) hivatalból vagy</t>
  </si>
  <si>
    <t xml:space="preserve">VHR-S0257</t>
  </si>
  <si>
    <t xml:space="preserve">24. § b)</t>
  </si>
  <si>
    <t xml:space="preserve">b) az érintett szervezet kérelmére</t>
  </si>
  <si>
    <t xml:space="preserve">VHR-S0258</t>
  </si>
  <si>
    <t xml:space="preserve">dönthet.</t>
  </si>
  <si>
    <t xml:space="preserve">VHR-S0259</t>
  </si>
  <si>
    <t xml:space="preserve">25. § (1) Az elektronikus információs rendszer biztonságáért felelős személy feladatainak ellátására alkalmas személyek nyilvántartásába való felvételét kérheti – a hatóság honlapján közzétett formanyomtatványon – a nemzeti kiberbiztonsági hatóságtól az érintett, amennyiben megfelel a Kiberbiztonsági tv.-ben és az e rendeletben foglalt feltételeknek.</t>
  </si>
  <si>
    <t xml:space="preserve">VHR-S0260</t>
  </si>
  <si>
    <t xml:space="preserve">(2) Az (1) bekezdés szerinti kérelem tartalmazza a kérelmező</t>
  </si>
  <si>
    <t xml:space="preserve">VHR-S0261</t>
  </si>
  <si>
    <t xml:space="preserve">25. § (2) a)</t>
  </si>
  <si>
    <t xml:space="preserve">a) azonosításához szükséges természetes személyazonosító adatokat,</t>
  </si>
  <si>
    <t xml:space="preserve">VHR-S0262</t>
  </si>
  <si>
    <t xml:space="preserve">25. § (2) b)</t>
  </si>
  <si>
    <t xml:space="preserve">b) elektronikus levelezési címét,</t>
  </si>
  <si>
    <t xml:space="preserve">VHR-S0263</t>
  </si>
  <si>
    <t xml:space="preserve">25. § (2) c)</t>
  </si>
  <si>
    <t xml:space="preserve">c) az informatikáért felelős miniszter rendeletében előírt végzettség, illetve a 105. § szerinti nemzeti koordinációs központ által közzétett szakképzettség, akkreditált nemzetközi képzettség vagy az informatikáért felelős miniszter rendeletében meghatározott szakterületen szerzett szakmai tapasztalat igazolására szolgáló adatokat és dokumentumokat.</t>
  </si>
  <si>
    <t xml:space="preserve">VHR-S0264</t>
  </si>
  <si>
    <t xml:space="preserve">(3) Ha a kérelmező a Kiberbiztonsági tv.-ben és az e rendeletben meghatározott feltételeket nem teljesíti, a nemzeti kiberbiztonsági hatóság a nyilvántartásba vételre irányuló kérelmet elutasítja. A kérelmező a hatósági döntés véglegessé válását követő 90 napon belül új nyilvántartásba vételi kérelmet nem nyújthat be.</t>
  </si>
  <si>
    <t xml:space="preserve">VHR-S0265</t>
  </si>
  <si>
    <t xml:space="preserve">(4) A nyilvántartásba vételt követően a nemzeti kiberbiztonsági hatóság a honlapján közzéteszi az elektronikus információs rendszer biztonságáért felelős személy feladatainak ellátására alkalmas személy nevét és elektronikus levelezési címét.</t>
  </si>
  <si>
    <t xml:space="preserve">VHR-S0266</t>
  </si>
  <si>
    <t xml:space="preserve">25. § (5)</t>
  </si>
  <si>
    <t xml:space="preserve">(5) A nyilvántartásba vett elektronikus információs rendszer biztonságáért felelős személy feladatainak ellátására alkalmas személynek folyamatosan meg kell felelnie a Kiberbiztonsági tv. 11. § (3) és (8) bekezdésében, valamint az e rendeletben meghatározott feltételeknek.</t>
  </si>
  <si>
    <t xml:space="preserve">VHR-S0267</t>
  </si>
  <si>
    <t xml:space="preserve">25. § (6)</t>
  </si>
  <si>
    <t xml:space="preserve">(6) Az elektronikus információs rendszer biztonságáért felelős személy feladatainak ellátására alkalmas személy a bejelentett adatokban bekövetkező változást annak bekövetkezésétől számított 15 napon belül bejelenti a nyilvántartásba vétel érdekében a nemzeti kiberbiztonsági hatóság részére.</t>
  </si>
  <si>
    <t xml:space="preserve">VHR-S0268</t>
  </si>
  <si>
    <t xml:space="preserve">25. § (7)</t>
  </si>
  <si>
    <t xml:space="preserve">(7) A nemzeti kiberbiztonsági hatóság törli a nyilvántartásból az elektronikus információs rendszer biztonságáért felelős személy feladatainak ellátására alkalmas személyt</t>
  </si>
  <si>
    <t xml:space="preserve">VHR-S0269</t>
  </si>
  <si>
    <t xml:space="preserve">25. § (7) a)</t>
  </si>
  <si>
    <t xml:space="preserve">a) kérésére, vagy</t>
  </si>
  <si>
    <t xml:space="preserve">VHR-S0270</t>
  </si>
  <si>
    <t xml:space="preserve">25. § (7) b)</t>
  </si>
  <si>
    <t xml:space="preserve">b) a Kiberbiztonsági tv. 11. § (3) bekezdésében meghatározott feltételeknek való meg nem felelés esetén.</t>
  </si>
  <si>
    <t xml:space="preserve">VHR-S0271</t>
  </si>
  <si>
    <t xml:space="preserve">25. § (8)</t>
  </si>
  <si>
    <t xml:space="preserve">(8) A nemzeti kiberbiztonsági hatóság törölheti a nyilvántartásból az elektronikus információs rendszer biztonságáért felelős személy feladatainak ellátására alkalmas személyt, ha</t>
  </si>
  <si>
    <t xml:space="preserve">VHR-S0272</t>
  </si>
  <si>
    <t xml:space="preserve">25. § (8) a)</t>
  </si>
  <si>
    <t xml:space="preserve">a) a Kiberbiztonsági tv. 11. § (8) bekezdése szerinti továbbképzési kötelezettségét nem teljesíti,</t>
  </si>
  <si>
    <t xml:space="preserve">VHR-S0273</t>
  </si>
  <si>
    <t xml:space="preserve">25. § (8) b)</t>
  </si>
  <si>
    <t xml:space="preserve">b) a 12. § (3) bekezdése szerinti kötelezettséget nem teljesíti, vagy</t>
  </si>
  <si>
    <t xml:space="preserve">VHR-S0274</t>
  </si>
  <si>
    <t xml:space="preserve">25. § (8) c)</t>
  </si>
  <si>
    <t xml:space="preserve">c) a Kiberbiztonsági tv.-ben és az e rendeletben meghatározott feladatainak ellátására való alkalmatlanságát állapítja meg.</t>
  </si>
  <si>
    <t xml:space="preserve">VHR-S0275</t>
  </si>
  <si>
    <t xml:space="preserve">VHR-S0276</t>
  </si>
  <si>
    <t xml:space="preserve">26. § (1) A nemzeti kiberbiztonsági hatóság megvizsgálja az alapvető vagy fontos szervezetként történő azonosítás lehetőségét, amennyiben</t>
  </si>
  <si>
    <t xml:space="preserve">VHR-S0277</t>
  </si>
  <si>
    <t xml:space="preserve">26. § (1) a)</t>
  </si>
  <si>
    <t xml:space="preserve">a) a Kszetv. alapján a szervezet nem került kritikus szervezetként kijelölésre, és a Kiberbiztonsági tv.-ben meghatározott azonosítási szempontoknak való megfelelés valószínűsíthető,</t>
  </si>
  <si>
    <t xml:space="preserve">VHR-S0278</t>
  </si>
  <si>
    <t xml:space="preserve">26. § (1) b)</t>
  </si>
  <si>
    <t xml:space="preserve">b) a Vbö. alapján a szervezet nem került az ország védelme és biztonsága szempontjából jelentős szervezetként kijelölésre, és a Kiberbiztonsági tv.-ben meghatározott azonosítási szempontoknak való megfelelés valószínűsíthető,</t>
  </si>
  <si>
    <t xml:space="preserve">VHR-S0279</t>
  </si>
  <si>
    <t xml:space="preserve">26. § (1) c)</t>
  </si>
  <si>
    <t xml:space="preserve">c) a szervezet vagy létesítmény nemzetbiztonsági védelem alá tartozik, vagy</t>
  </si>
  <si>
    <t xml:space="preserve">VHR-S0280</t>
  </si>
  <si>
    <t xml:space="preserve">26. § (1) d)</t>
  </si>
  <si>
    <t xml:space="preserve">d) a nemzeti kiberbiztonsági hatóság, a sérülékenységvizsgálat, az incidensvizsgálat vagy a Központ adatai alapján az azonosítás szükségessége felmerült.</t>
  </si>
  <si>
    <t xml:space="preserve">VHR-S0281</t>
  </si>
  <si>
    <t xml:space="preserve">(2) Ha a Kszetv. alapján kritikus szervezetként, valamint a Vbö. alapján az ország védelme és biztonsága szempontjából jelentős szervezetként való kijelölésre irányuló eljárás alapján a szervezet nem került kritikus szervezetként, illetve az ország védelme és biztonsága szempontjából jelentős szervezetként kijelölésre, vagy a kijelölés visszavonásra kerül, a Kszetv., valamint a Vbö. szerinti kijelölő hatóság e döntésről tájékoztatja a nemzeti kiberbiztonsági hatóságot.</t>
  </si>
  <si>
    <t xml:space="preserve">VHR-S0282</t>
  </si>
  <si>
    <t xml:space="preserve">(3) Ha az azonosítás feltételei fennállnak, a nemzeti kiberbiztonsági hatóság eljárást indít, amelyben közli az érintett szervezettel azokat az adatokat, amelyek szerint megfelel az alapvető vagy fontos szervezetként történő azonosítás kritériumainak.</t>
  </si>
  <si>
    <t xml:space="preserve">VHR-S0283</t>
  </si>
  <si>
    <t xml:space="preserve">26. § (4)</t>
  </si>
  <si>
    <t xml:space="preserve">(4) Ha a szervezet az eljárást megindító végzés tartalmával egyetért, erről 20 napon belül tájékoztatja a nemzeti kiberbiztonsági hatóságot.</t>
  </si>
  <si>
    <t xml:space="preserve">VHR-S0284</t>
  </si>
  <si>
    <t xml:space="preserve">26. § (5)</t>
  </si>
  <si>
    <t xml:space="preserve">(5) Ha a szervezet az eljárást megindító végzés tartalmával nem ért egyet, 20 napon belül köteles a részletes indokolással ellátott véleményét a nemzeti kiberbiztonsági hatóság részére megküldeni. A részletes indokolással ellátott vélemény tartalmazza a szervezet</t>
  </si>
  <si>
    <t xml:space="preserve">VHR-S0285</t>
  </si>
  <si>
    <t xml:space="preserve">26. § (5) a)</t>
  </si>
  <si>
    <t xml:space="preserve">a) által nyújtott szolgáltatás részletes leírását,</t>
  </si>
  <si>
    <t xml:space="preserve">VHR-S0286</t>
  </si>
  <si>
    <t xml:space="preserve">26. § (5) b)</t>
  </si>
  <si>
    <t xml:space="preserve">b) a szolgáltatás nyújtásában közreműködő elektronikus információs rendszerei felsorolását, azok szerepét, súlyát a szolgáltatás nyújtásában,</t>
  </si>
  <si>
    <t xml:space="preserve">VHR-S0287</t>
  </si>
  <si>
    <t xml:space="preserve">26. § (5) c)</t>
  </si>
  <si>
    <t xml:space="preserve">c) más szolgáltatások nyújtásában történő közreműködését, valamint</t>
  </si>
  <si>
    <t xml:space="preserve">VHR-S0288</t>
  </si>
  <si>
    <t xml:space="preserve">26. § (5) d)</t>
  </si>
  <si>
    <t xml:space="preserve">d) a Kiberbiztonsági tv.-ben az alapvető vagy fontos szervezetként való azonosíthatóság vonatkozásában meghatározott szempontok megállapíthatósága szempontjából releváns adatokat.</t>
  </si>
  <si>
    <t xml:space="preserve">VHR-S0289</t>
  </si>
  <si>
    <t xml:space="preserve">26. § (6)</t>
  </si>
  <si>
    <t xml:space="preserve">(6) A nemzeti kiberbiztonsági hatóság az érintett szervezet által megküldött információkat a Kiberbiztonsági tv. 1. § (6) bekezdésében foglalt szempontok szerint mérlegelve a hatósági eljárást lezáró érdemi döntésében rendelkezik az alapvető vagy fontos szervezetként történő azonosításról vagy annak mellőzéséről.</t>
  </si>
  <si>
    <t xml:space="preserve">VHR-S0290</t>
  </si>
  <si>
    <t xml:space="preserve">27. § (1) A nemzeti kiberbiztonsági hatóság</t>
  </si>
  <si>
    <t xml:space="preserve">VHR-S0291</t>
  </si>
  <si>
    <t xml:space="preserve">27. § (1) a)</t>
  </si>
  <si>
    <t xml:space="preserve">a) legalább három évente,</t>
  </si>
  <si>
    <t xml:space="preserve">VHR-S0292</t>
  </si>
  <si>
    <t xml:space="preserve">27. § (1) b)</t>
  </si>
  <si>
    <t xml:space="preserve">b) az alapvető vagy fontos szervezet kérelmére a megszűnésekor vagy</t>
  </si>
  <si>
    <t xml:space="preserve">VHR-S0293</t>
  </si>
  <si>
    <t xml:space="preserve">27. § (1) c)</t>
  </si>
  <si>
    <t xml:space="preserve">c) az alapvető vagy fontos szervezet által bejelentett változásra tekintettel</t>
  </si>
  <si>
    <t xml:space="preserve">VHR-S0294</t>
  </si>
  <si>
    <t xml:space="preserve">felülvizsgálja az azonosításra okot adó körülményeket.</t>
  </si>
  <si>
    <t xml:space="preserve">VHR-S0295</t>
  </si>
  <si>
    <t xml:space="preserve">(2) A felülvizsgálat eredményétől függően fenntartja vagy visszavonja az azonosításra vonatkozó döntését.</t>
  </si>
  <si>
    <t xml:space="preserve">VHR-S0296</t>
  </si>
  <si>
    <t xml:space="preserve">28. § Az azonosított alapvető vagy fontos szervezet soron kívül bejelenti a nemzeti kiberbiztonsági hatóság részére, ha a működési körülményeiben olyan változás áll be, amely befolyásolja vagy befolyásolhatja az alapvető vagy fontos szervezeti státuszát.</t>
  </si>
  <si>
    <t xml:space="preserve">VHR-S0297</t>
  </si>
  <si>
    <t xml:space="preserve">VHR-S0298</t>
  </si>
  <si>
    <t xml:space="preserve">29. § (1) A nemzeti kiberbiztonsági hatóság az adatosztályozás eredményét – a nem privát felhőszolgáltatás igénybevétele, illetve a külföldi adatkezelés jogszerűségének megállapítása érdekében – a biztonsági osztályba sorolás megalapozottságának vizsgálatára irányuló eljárás keretében értékeli.</t>
  </si>
  <si>
    <t xml:space="preserve">VHR-S0299</t>
  </si>
  <si>
    <t xml:space="preserve">(2) Ha a vizsgálat eredménye alapján nem egyértelmű az adatosztályozás szerinti besorolás, a nemzeti kiberbiztonsági hatóság eljárása keretében tisztázza, hogy a szervezet milyen és mekkora mennyiségű adatot kezel vagy tervez kezelni az elektronikus információs rendszerben.</t>
  </si>
  <si>
    <t xml:space="preserve">VHR-S0300</t>
  </si>
  <si>
    <t xml:space="preserve">(3) Ha a nemzeti kiberbiztonsági hatóság nem ért egyet az adatosztályozás eredményével, kötelezheti a szervezetet az adatosztályozás felülvizsgálatára, ismételt elvégzésére.</t>
  </si>
  <si>
    <t xml:space="preserve">VHR-S0301</t>
  </si>
  <si>
    <t xml:space="preserve">(4) Ha a vizsgálat eredménye alapján az elektronikus információs rendszerben kezelt vagy kezelni tervezett adatok köre alapján azok külföldi kezelése vagy azok vonatkozásában nem privát felhőszolgáltatás igénybevétele az 1. mellékletben foglaltak szerint nem lehetséges, a nemzeti kiberbiztonsági hatóság nem hagyja jóvá az elektronikus információs rendszer használatát.</t>
  </si>
  <si>
    <t xml:space="preserve">VHR-S0302</t>
  </si>
  <si>
    <t xml:space="preserve">VHR-S0303</t>
  </si>
  <si>
    <t xml:space="preserve">30. § (1) Az elektronikus információs rendszerek biztonsági osztályba sorolásának vizsgálata a nemzeti kiberbiztonsági hatóságnak megküldött információk alapján, jogszabályban meghatározott szempontok szerint történik.</t>
  </si>
  <si>
    <t xml:space="preserve">VHR-S0304</t>
  </si>
  <si>
    <t xml:space="preserve">(2) Ha az elektronikus információs rendszerre vonatkozó, bejelentett biztonsági osztályba sorolást – ideértve az adott elektronikus információs rendszerre vonatkozó biztonsági osztály meghatározásánál feltárt hiányosság megszüntetésére irányuló intézkedési tervet – a nemzeti kiberbiztonsági hatóság jóváhagyja, az erre irányuló döntés a biztonsági osztályba sorolás későbbi önálló, illetve az érintett szervezet vagy szervezeti egység ellenőrzése során történő felülvizsgálatát nem zárja ki.</t>
  </si>
  <si>
    <t xml:space="preserve">VHR-S0305</t>
  </si>
  <si>
    <t xml:space="preserve">(3) A nemzeti kiberbiztonsági hatóság a szervezet által megállapított biztonsági osztályt felülbírálhatja és indokolással magasabb biztonsági osztályba sorolást is megállapíthat.</t>
  </si>
  <si>
    <t xml:space="preserve">VHR-S0306</t>
  </si>
  <si>
    <t xml:space="preserve">(4) Ha a nemzeti kiberbiztonsági hatóság az eljárása során az elektronikus információs rendszerre vonatkozó, a szervezet vezetője által megállapított és bejelentett biztonsági osztályba sorolásnál magasabb biztonsági osztályt állapít meg, a következő biztonsági osztályhoz tartozó követelmények elérésére irányadó határidő alkalmazása tekintetében a nemzeti kiberbiztonsági hatóság döntésének megfelelő osztályt kell alapul venni.</t>
  </si>
  <si>
    <t xml:space="preserve">VHR-S0307</t>
  </si>
  <si>
    <t xml:space="preserve">(5) Ha a nemzeti kiberbiztonsági hatóság az elektronikus információs rendszerre vonatkozó, bejelentett biztonsági osztályba sorolásnál alacsonyabb osztály alkalmazásának lehetőségét látja, arra javaslatot tesz a szervezetnek.</t>
  </si>
  <si>
    <t xml:space="preserve">VHR-S0308</t>
  </si>
  <si>
    <t xml:space="preserve">(6) A nemzeti kiberbiztonsági hatóság kötelezheti a Kiberbiztonsági tv. 1. § (1) bekezdés b) pontja szerinti szervezetet, amely egyben a Kiberbiztonsági tv. 2. vagy 3. mellékletének hatálya alá tartozik az elektronikus információs rendszer biztonsági osztályának felülvizsgálatára és módosítására, ha a kiberbiztonsági audit lefolytatása során, a szervezet által megállapított biztonsági osztály megfelelőségének vizsgálata eredményeként az auditor „nem megfelelő” értékelést rögzített.</t>
  </si>
  <si>
    <t xml:space="preserve">VHR-S0309</t>
  </si>
  <si>
    <t xml:space="preserve">VHR-S0310</t>
  </si>
  <si>
    <t xml:space="preserve">31. § (1) Az éves ellenőrzési tervet a nemzeti kiberbiztonsági hatóság előzetes kockázatértékelést követően a tárgyévet megelőző év november 30-áig állítja össze, amelynek összeállításához bevonhatja a Kszetv. szerinti kijelölő hatóságot és a Vbö. szerinti kijelölő hatóságot.</t>
  </si>
  <si>
    <t xml:space="preserve">VHR-S0311</t>
  </si>
  <si>
    <t xml:space="preserve">(2) A nemzeti kiberbiztonsági hatóság az éves ellenőrzési terv végrehajtását a tárgyévet követő év március 1-jéig értékeli.</t>
  </si>
  <si>
    <t xml:space="preserve">VHR-S0312</t>
  </si>
  <si>
    <t xml:space="preserve">31. § (3)</t>
  </si>
  <si>
    <t xml:space="preserve">(3) A nemzeti kiberbiztonsági hatóság az éves ellenőrzési tervet a végrehajtás során felülvizsgálja, és szükség szerint módosítja.</t>
  </si>
  <si>
    <t xml:space="preserve">VHR-S0313</t>
  </si>
  <si>
    <t xml:space="preserve">31. § (4)</t>
  </si>
  <si>
    <t xml:space="preserve">(4) A nemzeti kiberbiztonsági hatóság az ellenőrzési tervben foglaltaktól eltérhet, ha olyan azonnali ellenőrzéseket vagy eljárásokat kell lefolytatnia, amelyek a magyar kiberteret, a nemzeti elektronikus adatvagyont, az állam és az állampolgárok számára kiemelten fontos elektronikus információs rendszereket fenyegető súlyos kiberbiztonsági incidensek elhárítását szolgálják.</t>
  </si>
  <si>
    <t xml:space="preserve">VHR-S0314</t>
  </si>
  <si>
    <t xml:space="preserve">31. § (5)</t>
  </si>
  <si>
    <t xml:space="preserve">(5) A honvédelmi kiberbiztonsági hatóság az éves ellenőrzési terve összeállításához adatot kér a Vbö. szerinti honvédelmi ágazati kijelölő hatóságtól. A honvédelmi kiberbiztonsági hatóság éves ellenőrzési tervét, valamint a (3) bekezdés szerinti módosítást a honvédelemért felelős miniszter jóváhagyja.</t>
  </si>
  <si>
    <t xml:space="preserve">VHR-S0315</t>
  </si>
  <si>
    <t xml:space="preserve">VHR-S0316</t>
  </si>
  <si>
    <t xml:space="preserve">32. § (1) A nemzeti kiberbiztonsági hatóság ellenőrzést</t>
  </si>
  <si>
    <t xml:space="preserve">VHR-S0317</t>
  </si>
  <si>
    <t xml:space="preserve">a) az éves ellenőrzési terv alapján, vagy</t>
  </si>
  <si>
    <t xml:space="preserve">VHR-S0318</t>
  </si>
  <si>
    <t xml:space="preserve">b) soron kívül</t>
  </si>
  <si>
    <t xml:space="preserve">VHR-S0319</t>
  </si>
  <si>
    <t xml:space="preserve">végez.</t>
  </si>
  <si>
    <t xml:space="preserve">VHR-S0320</t>
  </si>
  <si>
    <t xml:space="preserve">(2) A nemzeti kiberbiztonsági hatóság soron kívüli ellenőrzést végezhet, ha azt jelentős kiberbiztonsági incidens bekövetkezése, annak veszélye, vagy a jogszabályi követelményeknek a szervezet általi megsértése indokolja, továbbá olyan tény, körülmény jut a tudomására, amely azt indokolttá teszi.</t>
  </si>
  <si>
    <t xml:space="preserve">VHR-S0321</t>
  </si>
  <si>
    <t xml:space="preserve">33. § (1) A nemzeti kiberbiztonsági hatóság az ellenőrzés elrendeléséről az érintett szervezet vezetőjét elektronikus úton az ellenőrzés megkezdése előtt legalább tíz nappal értesíti. Az értesítésnek tartalmaznia kell az ellenőrzés célját, tárgyát, az elrendelésre okot adó körülményeket, az elrendelést megalapozó jogszabályhelyek megjelölését, az ellenőrzés várható időtartamát és az ellenőrzés módját.</t>
  </si>
  <si>
    <t xml:space="preserve">VHR-S0322</t>
  </si>
  <si>
    <t xml:space="preserve">(2) Az (1) bekezdés szerinti értesítés mellőzhető, ha</t>
  </si>
  <si>
    <t xml:space="preserve">VHR-S0323</t>
  </si>
  <si>
    <t xml:space="preserve">33. § (2) a)</t>
  </si>
  <si>
    <t xml:space="preserve">a) súlyos fenyegetettség áll fenn,</t>
  </si>
  <si>
    <t xml:space="preserve">VHR-S0324</t>
  </si>
  <si>
    <t xml:space="preserve">33. § (2) b)</t>
  </si>
  <si>
    <t xml:space="preserve">b) jelentős kiberbiztonsági incidens történt,</t>
  </si>
  <si>
    <t xml:space="preserve">VHR-S0325</t>
  </si>
  <si>
    <t xml:space="preserve">33. § (2) c)</t>
  </si>
  <si>
    <t xml:space="preserve">c) az a) vagy b) pont szerinti körülmény bekövetkezése valószínűsíthető, vagy</t>
  </si>
  <si>
    <t xml:space="preserve">VHR-S0326</t>
  </si>
  <si>
    <t xml:space="preserve">33. § (2) d)</t>
  </si>
  <si>
    <t xml:space="preserve">d) az érintett szervezet a rendelkezésre álló adatok alapján az ellenőrzés eredményes lefolytatását feltehetően meghiúsítaná.</t>
  </si>
  <si>
    <t xml:space="preserve">VHR-S0327</t>
  </si>
  <si>
    <t xml:space="preserve">(3) A nemzeti kiberbiztonsági hatóság az ellenőrzést ellátó munkatársa részére megbízólevelet állít ki.</t>
  </si>
  <si>
    <t xml:space="preserve">VHR-S0328</t>
  </si>
  <si>
    <t xml:space="preserve">34. § (1) A nemzeti kiberbiztonsági hatóság az eljárása során, feladatai ellátása érdekében – az intézkedéssel érintett szervezet működésének és ügyvitelének lehető legkisebb mértékű zavarása mellett – az ellenőrzés keretében jogosult önállóan vagy más hatósággal együtt</t>
  </si>
  <si>
    <t xml:space="preserve">VHR-S0329</t>
  </si>
  <si>
    <t xml:space="preserve">34. § (1) a)</t>
  </si>
  <si>
    <t xml:space="preserve">a) az érintett szervezet információtechnológiai tevékenységével összefüggő helyiségeibe belépni,</t>
  </si>
  <si>
    <t xml:space="preserve">VHR-S0330</t>
  </si>
  <si>
    <t xml:space="preserve">34. § (1) b)</t>
  </si>
  <si>
    <t xml:space="preserve">b) az érintett szervezet számára adatkezelést biztosító, adatfeldolgozást végző vagy információtechnológiai szempontból érintett helyszínein ellenőrzést tartani,</t>
  </si>
  <si>
    <t xml:space="preserve">VHR-S0331</t>
  </si>
  <si>
    <t xml:space="preserve">34. § (1) c)</t>
  </si>
  <si>
    <t xml:space="preserve">c) az ellenőrzés során bármely, az elektronikus információbiztonsággal kapcsolatos okiratot, dokumentumot, szerződést, aktív vagy passzív eszközt, információs rendszert, biztonsági intézkedést megismerni, ellenőrizni, az elektronikus információbiztonsággal kapcsolatos okiratokról, dokumentumokról, szerződésekről másolatot készíteni, valamint</t>
  </si>
  <si>
    <t xml:space="preserve">VHR-S0332</t>
  </si>
  <si>
    <t xml:space="preserve">34. § (1) d)</t>
  </si>
  <si>
    <t xml:space="preserve">d) információtechnológiai műszaki vizsgálatokat végezni, az információtechnológiai rendszerhez egyedileg biztosított belépési jogosultsággal.</t>
  </si>
  <si>
    <t xml:space="preserve">VHR-S0333</t>
  </si>
  <si>
    <t xml:space="preserve">(2) A nemzeti kiberbiztonsági hatóság az elektronikus információs rendszerek, és az azokban kezelt adatok biztonsága érdekében jogosult ellenőrizni minden olyan, az elektronikus információs rendszer védelmére vonatkozó intézkedést, amellyel az érintett elektronikus információs rendszert veszélyeztető fenyegetések kezelhetőek.</t>
  </si>
  <si>
    <t xml:space="preserve">VHR-S0334</t>
  </si>
  <si>
    <t xml:space="preserve">34. § (3)</t>
  </si>
  <si>
    <t xml:space="preserve">(3) Az ellenőrzés nem eredményezheti a titkos információgyűjtő munkára, a leplezett eszköz alkalmazására és az abban együttműködő személyekre, továbbá a titkos információgyűjtés és leplezett eszköz alkalmazásának eszközeire és módszereire vonatkozó adat megismerését.</t>
  </si>
  <si>
    <t xml:space="preserve">VHR-S0335</t>
  </si>
  <si>
    <t xml:space="preserve">35. § (1) Az ellenőrzéssel érintett szervezet vezetője, munkatársa, alkalmazottja, illetve szerződéses jogviszony alapján az elektronikus információbiztonság tekintetében érintett egyéb közreműködő és az elektronikus információs rendszer biztonságáért felelős személy köteles a nemzeti kiberbiztonsági hatósággal együttműködni.</t>
  </si>
  <si>
    <t xml:space="preserve">VHR-S0336</t>
  </si>
  <si>
    <t xml:space="preserve">(2) Az elektronikus információs rendszer biztonságáért felelős személy köteles az ellenőrzésen részt venni.</t>
  </si>
  <si>
    <t xml:space="preserve">VHR-S0337</t>
  </si>
  <si>
    <t xml:space="preserve">35. § (3)</t>
  </si>
  <si>
    <t xml:space="preserve">(3) A szervezet köteles a nemzeti kiberbiztonsági hatóság által benyújtani kért dokumentumokat rendezett, átlátható formában átadni.</t>
  </si>
  <si>
    <t xml:space="preserve">VHR-S0338</t>
  </si>
  <si>
    <t xml:space="preserve">36. § Az ellenőrzésről a nemzeti kiberbiztonsági hatóság jegyzőkönyvet készít, amelyet az ellenőrzés lezárását követő 15 napon belül írásban észrevételezésre megküld a szervezetnek. A szervezet azzal kapcsolatban 15 napon belül írásban tehet – a hatóságot nem kötelező – észrevételeket. Az észrevételek tisztázása érdekében a nemzeti kiberbiztonsági hatóság egyeztetést kezdeményezhet a szervezettel.</t>
  </si>
  <si>
    <t xml:space="preserve">VHR-S0339</t>
  </si>
  <si>
    <t xml:space="preserve">VHR-S0340</t>
  </si>
  <si>
    <t xml:space="preserve">37. § (1)</t>
  </si>
  <si>
    <t xml:space="preserve">37. § (1) A nemzeti kiberbiztonsági hatóság az információbiztonsági követelmények teljesülése érdekében – megfelelő határidő kitűzése mellett – felszólítja a szervezet vezetőjét az elektronikus információbiztonságot veszélyeztető hiányosság, mulasztás, a biztonsági követelmény megsértése megszüntetésére, jogszabályban meghatározott kötelezettség teljesítésére, valamint az elvárt intézkedés megtételére.</t>
  </si>
  <si>
    <t xml:space="preserve">VHR-S0341</t>
  </si>
  <si>
    <t xml:space="preserve">37. § (2)</t>
  </si>
  <si>
    <t xml:space="preserve">(2) A nemzeti kiberbiztonsági hatóság azonnali intézkedések megtételére kötelezi az érintett szervezetet, ha az elektronikus információbiztonságot veszélyeztető hiányosság, mulasztás, a megsértett biztonsági követelmény súlyos kiberbiztonsági incidens bekövetkeztével fenyeget. Ezzel összefüggésben fegyelmi felelősség megállapítására tehet javaslatot a munkáltatói jogkör gyakorlója felé.</t>
  </si>
  <si>
    <t xml:space="preserve">VHR-S0342</t>
  </si>
  <si>
    <t xml:space="preserve">37. § (3)</t>
  </si>
  <si>
    <t xml:space="preserve">(3) A nemzeti kiberbiztonsági hatóság az incidenskezelő központ értesítése esetén megfelelő határidő tűzése mellett felszólítja a szervezetet vagy a közvetítő szolgáltatót a jogszabálysértő tevékenység, vagy a jogsértő állapot megszüntetésére, ennek keretében bejelentési, adatszolgáltatási, együttműködési kötelezettségének teljesítésére.</t>
  </si>
  <si>
    <t xml:space="preserve">VHR-S0343</t>
  </si>
  <si>
    <t xml:space="preserve">37. § (4)</t>
  </si>
  <si>
    <t xml:space="preserve">(4) A hatósági döntés megtámadására nyitva álló keresetindítási határidő lejártáig, illetve közigazgatási per indítása esetén a bíróság jogerős határozatáig a vitatott jogszabálysértésekkel érintett adatok nem törölhetőek, illetve nem semmisíthetőek meg.</t>
  </si>
  <si>
    <t xml:space="preserve">VHR-S0344</t>
  </si>
  <si>
    <t xml:space="preserve">38. § (1)</t>
  </si>
  <si>
    <t xml:space="preserve">38. § (1) A nemzeti kiberbiztonsági hatóság a jogkövetkezmények alkalmazása során az alábbi szempontokat veszi figyelembe:</t>
  </si>
  <si>
    <t xml:space="preserve">VHR-S0345</t>
  </si>
  <si>
    <t xml:space="preserve">38. § (1) a)</t>
  </si>
  <si>
    <t xml:space="preserve">a) az elektronikus információbiztonságot veszélyeztető hiányosság, mulasztás, a megsértett védelmi követelmény súlyát,</t>
  </si>
  <si>
    <t xml:space="preserve">VHR-S0346</t>
  </si>
  <si>
    <t xml:space="preserve">38. § (1) b)</t>
  </si>
  <si>
    <t xml:space="preserve">b) a jogsértés időtartamát,</t>
  </si>
  <si>
    <t xml:space="preserve">VHR-S0347</t>
  </si>
  <si>
    <t xml:space="preserve">38. § (1) c)</t>
  </si>
  <si>
    <t xml:space="preserve">c) történt-e jelentős kiberbiztonsági incidens vagy nagyszabású kiberbiztonsági incidens, vagy fennállt-e ilyen esemény bekövetkeztének veszélye,</t>
  </si>
  <si>
    <t xml:space="preserve">VHR-S0348</t>
  </si>
  <si>
    <t xml:space="preserve">38. § (1) d)</t>
  </si>
  <si>
    <t xml:space="preserve">d) az incidens hatását, vagy lehetséges hatását az érintett szervezetre, vagy más szervezetekre,</t>
  </si>
  <si>
    <t xml:space="preserve">VHR-S0349</t>
  </si>
  <si>
    <t xml:space="preserve">38. § (1) e)</t>
  </si>
  <si>
    <t xml:space="preserve">e) az okozott bármely vagyoni vagy nem vagyoni kárt, beleértve bármely pénzügyi vagy gazdasági veszteséget, az egyéb szolgáltatásokra gyakorolt hatásokat és az érintett felhasználók számát,</t>
  </si>
  <si>
    <t xml:space="preserve">VHR-S0350</t>
  </si>
  <si>
    <t xml:space="preserve">38. § (1) f)</t>
  </si>
  <si>
    <t xml:space="preserve">f) az esemény egyedi, vagy ismételt jellegét,</t>
  </si>
  <si>
    <t xml:space="preserve">VHR-S0351</t>
  </si>
  <si>
    <t xml:space="preserve">38. § (1) g)</t>
  </si>
  <si>
    <t xml:space="preserve">g) az érintett szervezet által korábban elkövetett releváns jogsértéseket,</t>
  </si>
  <si>
    <t xml:space="preserve">VHR-S0352</t>
  </si>
  <si>
    <t xml:space="preserve">38. § (1) h)</t>
  </si>
  <si>
    <t xml:space="preserve">h) a jogsértés elkövetőjének bármely szándékosságát vagy gondatlanságát,</t>
  </si>
  <si>
    <t xml:space="preserve">VHR-S0353</t>
  </si>
  <si>
    <t xml:space="preserve">38. § (1) i)</t>
  </si>
  <si>
    <t xml:space="preserve">i) az érintett szervezet magatartását, a szervezet által a vagyoni vagy nem vagyoni kár megelőzésére vagy mérséklésére tett bármely intézkedést,</t>
  </si>
  <si>
    <t xml:space="preserve">VHR-S0354</t>
  </si>
  <si>
    <t xml:space="preserve">38. § (1) j)</t>
  </si>
  <si>
    <t xml:space="preserve">j) a jóváhagyott magatartási kódexek vagy jóváhagyott tanúsítási mechanizmusok betartásra kerültek-e,</t>
  </si>
  <si>
    <t xml:space="preserve">VHR-S0355</t>
  </si>
  <si>
    <t xml:space="preserve">38. § (1) k)</t>
  </si>
  <si>
    <t xml:space="preserve">k) a felelősnek tartott természetes vagy jogi személyek illetékes hatóságokkal való együttműködésének szintjét, valamint</t>
  </si>
  <si>
    <t xml:space="preserve">VHR-S0356</t>
  </si>
  <si>
    <t xml:space="preserve">38. § (1) l)</t>
  </si>
  <si>
    <t xml:space="preserve">l) az alkalmazni tervezett jogkövetkezmény hatékonyságát, arányosságát és visszatartó erejét.</t>
  </si>
  <si>
    <t xml:space="preserve">VHR-S0357</t>
  </si>
  <si>
    <t xml:space="preserve">38. § (2)</t>
  </si>
  <si>
    <t xml:space="preserve">(2) Súlyos jogsértésnek minősülnek:</t>
  </si>
  <si>
    <t xml:space="preserve">VHR-S0358</t>
  </si>
  <si>
    <t xml:space="preserve">38. § (2) a)</t>
  </si>
  <si>
    <t xml:space="preserve">a) az ismételt jogsértések;</t>
  </si>
  <si>
    <t xml:space="preserve">VHR-S0359</t>
  </si>
  <si>
    <t xml:space="preserve">38. § (2) b)</t>
  </si>
  <si>
    <t xml:space="preserve">b) a jelentős kiberbiztonsági incidensek bejelentésének vagy orvoslásának elmaradása;</t>
  </si>
  <si>
    <t xml:space="preserve">VHR-S0360</t>
  </si>
  <si>
    <t xml:space="preserve">38. § (2) c)</t>
  </si>
  <si>
    <t xml:space="preserve">c) a hiányosságok orvoslásának elmaradása az illetékes hatóságok kötelező erejű utasításait követően;</t>
  </si>
  <si>
    <t xml:space="preserve">VHR-S0361</t>
  </si>
  <si>
    <t xml:space="preserve">38. § (2) d)</t>
  </si>
  <si>
    <t xml:space="preserve">d) a jogsértés megállapítását követően az illetékes hatóság által elrendelt ellenőrzések vagy ellenőrzési tevékenységek akadályozása;</t>
  </si>
  <si>
    <t xml:space="preserve">VHR-S0362</t>
  </si>
  <si>
    <t xml:space="preserve">38. § (2) e)</t>
  </si>
  <si>
    <t xml:space="preserve">e) a hamis vagy súlyosan pontatlan információk közlése.</t>
  </si>
  <si>
    <t xml:space="preserve">VHR-S0363</t>
  </si>
  <si>
    <t xml:space="preserve">39. § (1) A Kiberbiztonsági tv. 1. § (1) bekezdés b) pontja hatálya alá tartozó, és egyidejűleg a Kiberbiztonsági tv. 2. és 3. melléklete szerinti szervezetnek minősülő szervezet esetében a Kiberbiztonsági tv. 7. §-a, 8. § (5) bekezdése és 16. §-a szerinti rendelkezések nemteljesítése vagy nem határidőben történő teljesítése esetén az SZTFH megkeresheti a nemzeti kiberbiztonsági hatóságot a felügyeleti intézkedések megtétele érdekében.</t>
  </si>
  <si>
    <t xml:space="preserve">VHR-S0364</t>
  </si>
  <si>
    <t xml:space="preserve">(2) A nemzeti kiberbiztonsági hatóság tájékoztatja</t>
  </si>
  <si>
    <t xml:space="preserve">VHR-S0365</t>
  </si>
  <si>
    <t xml:space="preserve">39. § (2) a)</t>
  </si>
  <si>
    <t xml:space="preserve">a) a Kszetv. szerinti kijelölő hatóságot vagy</t>
  </si>
  <si>
    <t xml:space="preserve">VHR-S0366</t>
  </si>
  <si>
    <t xml:space="preserve">39. § (2) b)</t>
  </si>
  <si>
    <t xml:space="preserve">b) a Vbö. szerinti kijelölő hatóságot,</t>
  </si>
  <si>
    <t xml:space="preserve">VHR-S0367</t>
  </si>
  <si>
    <t xml:space="preserve">ha a felügyeleti jogkörükbe tartozó szervezetet érintő intézkedések megtételére, illetve jogkövetkezmények alkalmazására kerül sor.</t>
  </si>
  <si>
    <t xml:space="preserve">VHR-S0368</t>
  </si>
  <si>
    <t xml:space="preserve">(3) A nemzeti kiberbiztonsági hatóság indokolatlan késedelem nélkül tájékoztatja a Nemzeti Adatvédelmi és Információszabadság Hatóságot, amennyiben a feladatellátása során a szervezet általi olyan jogsértésről szerez tudomást, amely személyes adatok sérelmével járt, illetve járhat a természetes személyeknek a személyes adatok kezelése tekintetében történő védelméről és az ilyen adatok szabad áramlásáról, valamint a 95/46/EK irányelv hatályon kívül helyezéséről (általános adatvédelmi rendelet) szóló, 2016. április 27-i (EU) 2016/679 európai parlamenti és tanácsi rendelet [a továbbiakban: (EU) 2016/679 európai parlamenti és tanácsi rendelet] 4. cikk 12. pontjában meghatározottak szerint és az adatvédelmi incidenst a szervezet nem jelentette be a Nemzeti Adatvédelmi és Információszabadság Hatóságnak.</t>
  </si>
  <si>
    <t xml:space="preserve">VHR-S0369</t>
  </si>
  <si>
    <t xml:space="preserve">39. § (4)</t>
  </si>
  <si>
    <t xml:space="preserve">(4) Ha az (EU) 2016/679 európai parlamenti és tanácsi rendelet alapján illetékes felügyeleti hatóság más uniós tagállamban található, a nemzeti kiberbiztonsági hatóság tájékoztatja a Nemzeti Adatvédelmi és Információszabadság Hatóságot a személyes adatok (3) bekezdésben említett potenciális sérelméről.</t>
  </si>
  <si>
    <t xml:space="preserve">VHR-S0370</t>
  </si>
  <si>
    <t xml:space="preserve">39. § (5)</t>
  </si>
  <si>
    <t xml:space="preserve">(5) Ha a Nemzeti Adatvédelmi és Információszabadság Hatóság a jogsértésért bírságot szab ki, az ugyanazon magatartásból eredő jogsértésért a nemzeti kiberbiztonsági hatóság nem szab ki bírságot, azonban indokolt esetben más jogkövetkezményt alkalmazhat.</t>
  </si>
  <si>
    <t xml:space="preserve">VHR-S0371</t>
  </si>
  <si>
    <t xml:space="preserve">VHR-S0372</t>
  </si>
  <si>
    <t xml:space="preserve">40. § (1) A szervezethez kirendelésre kerülő információbiztonsági felügyelőt a nemzeti kiberbiztonsági hatóság pártatlan, objektív eljárás keretében választja ki.</t>
  </si>
  <si>
    <t xml:space="preserve">VHR-S0373</t>
  </si>
  <si>
    <t xml:space="preserve">(2) Az információbiztonsági felügyelő – ha a kirendelés indokai ezt lehetővé teszik – egyidejűleg több érintett szervezethez is kirendelhető.</t>
  </si>
  <si>
    <t xml:space="preserve">VHR-S0374</t>
  </si>
  <si>
    <t xml:space="preserve">(3) Határozott időtartamú kirendelés esetén a kirendelés meghosszabbítására a kirendelés idejének lejárta előtt, legfeljebb egy alkalommal kerülhet sor, a folyamatban lévő intézkedések lezárásáig. A kirendelés időtartamának meghatározásakor figyelemmel kell lenni az érintett szervezet kötelezettségszegésének súlyára és a fenyegetés elhárításához szükséges védelmi intézkedésekre.</t>
  </si>
  <si>
    <t xml:space="preserve">VHR-S0375</t>
  </si>
  <si>
    <t xml:space="preserve">(4) A kirendelésről szóló határozat tartalmazza a kirendelés célját, tárgyát, az információbiztonsági felügyelő személyazonosításához szükséges adatokat, a kirendelésre okot adó körülményeket, a jogszabályi hivatkozást, a kirendelés időtartamát, a tevékenység ellátásának módjára és rendszerességére vonatkozó adatokat, az információbiztonsági felügyelő díjának mértékét.</t>
  </si>
  <si>
    <t xml:space="preserve">VHR-S0376</t>
  </si>
  <si>
    <t xml:space="preserve">40. § (5)</t>
  </si>
  <si>
    <t xml:space="preserve">(5) Az információbiztonsági felügyelő a nemzeti kiberbiztonsági hatóság és az érintett szervezet bevonásával a nemzeti kiberbiztonsági hatóság által meghatározott határidőn belül intézkedési tervet készít a nemzeti kiberbiztonsági hatóság által megjelölt hiányosságok felszámolása érdekében. Az információbiztonsági felügyelő a hatóság által jóváhagyott intézkedési terv alapján jár el.</t>
  </si>
  <si>
    <t xml:space="preserve">VHR-S0377</t>
  </si>
  <si>
    <t xml:space="preserve">40. § (6)</t>
  </si>
  <si>
    <t xml:space="preserve">(6) Információbiztonsági felügyelőnek nem rendelhető ki az a személy, aki</t>
  </si>
  <si>
    <t xml:space="preserve">VHR-S0378</t>
  </si>
  <si>
    <t xml:space="preserve">40. § (6) a)</t>
  </si>
  <si>
    <t xml:space="preserve">a) az érintett szervezettel munkavégzésre irányuló jogviszonyban áll,</t>
  </si>
  <si>
    <t xml:space="preserve">VHR-S0379</t>
  </si>
  <si>
    <t xml:space="preserve">40. § (6) b)</t>
  </si>
  <si>
    <t xml:space="preserve">b) a kirendelést megelőző három évben az érintett szervezettel munkavégzésre irányuló jogviszonyban állt,</t>
  </si>
  <si>
    <t xml:space="preserve">VHR-S0380</t>
  </si>
  <si>
    <t xml:space="preserve">40. § (6) c)</t>
  </si>
  <si>
    <t xml:space="preserve">c) a kirendeléskor, vagy a kirendelést megelőző három évben az érintett szervezetnél rendszeres és tartós megbízási vagy vállalkozási jogviszonyban áll vagy állt,</t>
  </si>
  <si>
    <t xml:space="preserve">VHR-S0381</t>
  </si>
  <si>
    <t xml:space="preserve">40. § (6) d)</t>
  </si>
  <si>
    <t xml:space="preserve">d) az érintett szervezet vezetőjének, gazdasági vezetőjének vagy alkalmazottjának hozzátartozója e minőségének fennállása alatt, és annak megszűnésétől számított három évig,</t>
  </si>
  <si>
    <t xml:space="preserve">VHR-S0382</t>
  </si>
  <si>
    <t xml:space="preserve">40. § (6) e)</t>
  </si>
  <si>
    <t xml:space="preserve">e) az érintett szervezet képviselője, e minőségének fennállása alatt és annak megszűnésétől számított három évig, valamint</t>
  </si>
  <si>
    <t xml:space="preserve">VHR-S0383</t>
  </si>
  <si>
    <t xml:space="preserve">40. § (6) f)</t>
  </si>
  <si>
    <t xml:space="preserve">f) az, akitől az adott helyzet tárgyilagos megítélése üzleti érdekeltségből vagy egyéb okból nem elvárható (elfogultság).</t>
  </si>
  <si>
    <t xml:space="preserve">VHR-S0384</t>
  </si>
  <si>
    <t xml:space="preserve">41. § (1) Az információbiztonsági felügyelő jogosult a jogszabályokban foglalt biztonsági követelmények és az ehhez kapcsolódó eljárási szabályok betartásával, teljesítésével összefüggésben</t>
  </si>
  <si>
    <t xml:space="preserve">VHR-S0385</t>
  </si>
  <si>
    <t xml:space="preserve">a) az érintett szervezet vezetőitől és bármely dolgozójától írásbeli és szóbeli tájékoztatást, adatszolgáltatást kérni,</t>
  </si>
  <si>
    <t xml:space="preserve">VHR-S0386</t>
  </si>
  <si>
    <t xml:space="preserve">b) az érintett szervezet információtechnológiával kapcsolatos valamennyi dokumentumába, okiratába betekinteni, arról másolatot, kivonatot készíttetni,</t>
  </si>
  <si>
    <t xml:space="preserve">VHR-S0387</t>
  </si>
  <si>
    <t xml:space="preserve">c) az érintett szervezet valamennyi információtechnológiával kapcsolatos helyiségébe belépni,</t>
  </si>
  <si>
    <t xml:space="preserve">VHR-S0388</t>
  </si>
  <si>
    <t xml:space="preserve">41. § (1) d)</t>
  </si>
  <si>
    <t xml:space="preserve">d) azonnali intézkedést javasolni az érintett szervezet vezetőjének a közvetlen fenyegetés elhárításához (működés korlátozása, leállítása),</t>
  </si>
  <si>
    <t xml:space="preserve">VHR-S0389</t>
  </si>
  <si>
    <t xml:space="preserve">41. § (1) e)</t>
  </si>
  <si>
    <t xml:space="preserve">e) intézkedést javasolni a jogszabályszerű működés kialakításához vagy helyreállításához, ennek keretében az érintett szabályzatok felülvizsgálatát kezdeményezni,</t>
  </si>
  <si>
    <t xml:space="preserve">VHR-S0390</t>
  </si>
  <si>
    <t xml:space="preserve">41. § (1) f)</t>
  </si>
  <si>
    <t xml:space="preserve">f) előzetesen véleményezni a működéssel kapcsolatos elektronikus információbiztonságot is érintő intézkedéseket, valamint</t>
  </si>
  <si>
    <t xml:space="preserve">VHR-S0391</t>
  </si>
  <si>
    <t xml:space="preserve">41. § (1) g)</t>
  </si>
  <si>
    <t xml:space="preserve">g) kifogással élni az érintett szervezet által megtett vagy elmulasztott intézkedései, döntései tekintetében.</t>
  </si>
  <si>
    <t xml:space="preserve">VHR-S0392</t>
  </si>
  <si>
    <t xml:space="preserve">(2) Az információbiztonsági felügyelő pénzügyi kötelezettségvállalásra nem jogosult.</t>
  </si>
  <si>
    <t xml:space="preserve">VHR-S0393</t>
  </si>
  <si>
    <t xml:space="preserve">(3) Az információbiztonsági felügyelő köteles</t>
  </si>
  <si>
    <t xml:space="preserve">VHR-S0394</t>
  </si>
  <si>
    <t xml:space="preserve">41. § (3) a)</t>
  </si>
  <si>
    <t xml:space="preserve">a) az érintett szervezetnél megbízólevelét bemutatni,</t>
  </si>
  <si>
    <t xml:space="preserve">VHR-S0395</t>
  </si>
  <si>
    <t xml:space="preserve">41. § (3) b)</t>
  </si>
  <si>
    <t xml:space="preserve">b) figyelemmel kísérni megbízatásának időpontjától kezdve az érintett szervezetnél a jogszabályokban foglalt biztonsági követelmények és eljárások megvalósulását, a jogszabályokban előírt feladatok ellátását,</t>
  </si>
  <si>
    <t xml:space="preserve">VHR-S0396</t>
  </si>
  <si>
    <t xml:space="preserve">41. § (3) c)</t>
  </si>
  <si>
    <t xml:space="preserve">c) feltárni azokat az okokat, amelyek a kötelezettség nem teljesítéséhez vagy a fenyegetés kialakulásához vezettek,</t>
  </si>
  <si>
    <t xml:space="preserve">VHR-S0397</t>
  </si>
  <si>
    <t xml:space="preserve">41. § (3) d)</t>
  </si>
  <si>
    <t xml:space="preserve">d) a c) pontban foglaltak és az érintett szervezet működésének ismert feltételei alapján a szükséges intézkedések végrehajtására irányuló intézkedési tervet készíteni,</t>
  </si>
  <si>
    <t xml:space="preserve">VHR-S0398</t>
  </si>
  <si>
    <t xml:space="preserve">41. § (3) e)</t>
  </si>
  <si>
    <t xml:space="preserve">e) azonnali intézkedéseket kezdeményezni úgy, hogy azok bevezetése nem lehetetleníti el az alaptevékenység ellátását, valamint azokról haladéktalanul értesíteni a nemzeti kiberbiztonsági hatóságot,</t>
  </si>
  <si>
    <t xml:space="preserve">VHR-S0399</t>
  </si>
  <si>
    <t xml:space="preserve">41. § (3) f)</t>
  </si>
  <si>
    <t xml:space="preserve">f) betartani a titoktartási kötelezettségre vonatkozó szabályokat,</t>
  </si>
  <si>
    <t xml:space="preserve">VHR-S0400</t>
  </si>
  <si>
    <t xml:space="preserve">41. § (3) g)</t>
  </si>
  <si>
    <t xml:space="preserve">g) a hatóságnak – a szervezettel való előzetes konzultációt követően – az intézkedési tervben megjelölt gyakorisággal beszámolni, a beszámolóban számot adni a megtett intézkedésekről, a biztonsági követelmények teljesüléséről, az elektronikus információbiztonság fejlődéséhez szükséges további intézkedésekről, valamint</t>
  </si>
  <si>
    <t xml:space="preserve">VHR-S0401</t>
  </si>
  <si>
    <t xml:space="preserve">41. § (3) h)</t>
  </si>
  <si>
    <t xml:space="preserve">h) a megbízatásának megszűnésekor összefoglaló beszámolót készíteni a működéséről, ideértve a megtett intézkedéseket és azok eredményét, és a javasolt további intézkedéseket, amelynek jóváhagyásáról a nemzeti kiberbiztonsági hatóság dönt.</t>
  </si>
  <si>
    <t xml:space="preserve">VHR-S0402</t>
  </si>
  <si>
    <t xml:space="preserve">41. § (4)</t>
  </si>
  <si>
    <t xml:space="preserve">(4) A szervezet vezetője, az elektronikus információs rendszer biztonságáért felelős személy, valamint a szervezet munkatársai kötelesek az információbiztonsági felügyelővel együttműködni, részére a szükséges információkat megadni, dokumentumokat átadni.</t>
  </si>
  <si>
    <t xml:space="preserve">VHR-S0403</t>
  </si>
  <si>
    <t xml:space="preserve">41. § (5)</t>
  </si>
  <si>
    <t xml:space="preserve">(5) A nemzeti kiberbiztonsági hatóság az információbiztonsági felügyelő alkalmazásának indokoltságát felülvizsgálhatja.</t>
  </si>
  <si>
    <t xml:space="preserve">VHR-S0404</t>
  </si>
  <si>
    <t xml:space="preserve">41. § (6)</t>
  </si>
  <si>
    <t xml:space="preserve">(6) Az információbiztonsági felügyelő kirendelésének megszűnésére a megbízólevélben meghatározott időtartam letelte előtt akkor kerülhet sor, ha</t>
  </si>
  <si>
    <t xml:space="preserve">VHR-S0405</t>
  </si>
  <si>
    <t xml:space="preserve">41. § (6) a)</t>
  </si>
  <si>
    <t xml:space="preserve">a) a kirendelés oka elhárult és az információbiztonsági felügyelő összefoglaló beszámolóját a nemzeti kiberbiztonsági hatóság jóváhagyta, vagy</t>
  </si>
  <si>
    <t xml:space="preserve">VHR-S0406</t>
  </si>
  <si>
    <t xml:space="preserve">41. § (6) b)</t>
  </si>
  <si>
    <t xml:space="preserve">b) az információbiztonsági felügyelőt a nemzeti kiberbiztonsági hatóság visszahívja.</t>
  </si>
  <si>
    <t xml:space="preserve">VHR-S0407</t>
  </si>
  <si>
    <t xml:space="preserve">41. § (7)</t>
  </si>
  <si>
    <t xml:space="preserve">(7) Az információbiztonsági felügyelőt a nemzeti kiberbiztonsági hatóság visszahívja, ha</t>
  </si>
  <si>
    <t xml:space="preserve">VHR-S0408</t>
  </si>
  <si>
    <t xml:space="preserve">41. § (7) a)</t>
  </si>
  <si>
    <t xml:space="preserve">a) megállapítja, hogy az érintett szervezetnél az információbiztonsági felügyelőnek felróhatóan nem érvényesülnek a biztonsági követelmények, vagy</t>
  </si>
  <si>
    <t xml:space="preserve">VHR-S0409</t>
  </si>
  <si>
    <t xml:space="preserve">41. § (7) b)</t>
  </si>
  <si>
    <t xml:space="preserve">b) kizárásra okot adó körülmény merült fel, vagy a kirendeléskor fennálló, kizárásra okot adó körülmény a nemzeti kiberbiztonsági hatóság tudomására jut.</t>
  </si>
  <si>
    <t xml:space="preserve">VHR-S0410</t>
  </si>
  <si>
    <t xml:space="preserve">41. § (8)</t>
  </si>
  <si>
    <t xml:space="preserve">(8) A (7) bekezdésben meghatározott esetben a nemzeti kiberbiztonsági hatóság jogosult új információbiztonsági felügyelőt kirendelni.</t>
  </si>
  <si>
    <t xml:space="preserve">VHR-S0411</t>
  </si>
  <si>
    <t xml:space="preserve">41. § (9)</t>
  </si>
  <si>
    <t xml:space="preserve">(9) Az információbiztonsági felügyelő kirendelésének megszűnéséről a nemzeti kiberbiztonsági hatóság írásban haladéktalanul tájékoztatja az érintett szervezet vezetőjét.</t>
  </si>
  <si>
    <t xml:space="preserve">VHR-S0412</t>
  </si>
  <si>
    <t xml:space="preserve">41. § (10)</t>
  </si>
  <si>
    <t xml:space="preserve">(10) Az információbiztonsági felügyelő tevékenységének ellátásáért – a mindenkori minimálbér hétszerese szerinti havi díjazást alapul véve – a kirendelésben meghatározott időtartammal arányos mértékű díjazásra, valamint igazolt költségeinek megtéríttetésére jogosult.</t>
  </si>
  <si>
    <t xml:space="preserve">VHR-S0413</t>
  </si>
  <si>
    <t xml:space="preserve">41. § (11)</t>
  </si>
  <si>
    <t xml:space="preserve">(11) Az információbiztonsági felügyelő díját és igazolt költségeit az érintett szervezet viseli.</t>
  </si>
  <si>
    <t xml:space="preserve">VHR-S0414</t>
  </si>
  <si>
    <t xml:space="preserve">VHR-S0415</t>
  </si>
  <si>
    <t xml:space="preserve">42. § (1) A Kiberbiztonsági tv. 30. § (2) bekezdése alapján</t>
  </si>
  <si>
    <t xml:space="preserve">VHR-S0416</t>
  </si>
  <si>
    <t xml:space="preserve">42. § (1) a)</t>
  </si>
  <si>
    <t xml:space="preserve">a) a nemzeti kiberbiztonsági hatóság a Kiberbiztonsági tv. 1. § (1) bekezdés a)–c) és f) pontja, valamint 1. § (2a) bekezdése szerinti szervezettel szemben a 2. mellékletben,</t>
  </si>
  <si>
    <t xml:space="preserve">VHR-S0417</t>
  </si>
  <si>
    <t xml:space="preserve">42. § (1) b)</t>
  </si>
  <si>
    <t xml:space="preserve">b) a Szabályozott Tevékenységek Felügyeleti Hatósága (a továbbiakban: SZTFH) a Kiberbiztonsági tv. 1. § (1) bekezdés d) és e) pontja szerinti szervezettel szemben a 3. mellékletben</t>
  </si>
  <si>
    <t xml:space="preserve">VHR-S0418</t>
  </si>
  <si>
    <t xml:space="preserve">meghatározott mértékű kiberbiztonsági bírságot szabhat ki.</t>
  </si>
  <si>
    <t xml:space="preserve">VHR-S0419</t>
  </si>
  <si>
    <t xml:space="preserve">(2) Az (1) bekezdés alapján kiszabható bírság legmagasabb összege:</t>
  </si>
  <si>
    <t xml:space="preserve">VHR-S0420</t>
  </si>
  <si>
    <t xml:space="preserve">42. § (2) a)</t>
  </si>
  <si>
    <t xml:space="preserve">a) ha a szervezet alapvető szervezetnek minősül 10 millió eurónak megfelelő forintösszeg vagy, ha ez magasabb a szervezet előző pénzügyi évi globális éves forgalma teljes összege 2%-ának megfelelő összeg,</t>
  </si>
  <si>
    <t xml:space="preserve">VHR-S0421</t>
  </si>
  <si>
    <t xml:space="preserve">42. § (2) b)</t>
  </si>
  <si>
    <t xml:space="preserve">b) ha a szervezet fontos szervezetnek minősül 7 millió eurónak megfelelő forintösszeg vagy, ha ez magasabb a szervezet előző pénzügyi évi globális éves forgalma teljes összege 1,4%-ának megfelelő összeg.</t>
  </si>
  <si>
    <t xml:space="preserve">VHR-S0422</t>
  </si>
  <si>
    <t xml:space="preserve">42. § (3)</t>
  </si>
  <si>
    <t xml:space="preserve">(3) Az (1) és (2) bekezdés alapján kiszabható legmagasabb bírság forintösszegének meghatározásánál a bírság kiszabásáról szóló határozat meghozatala napján a Magyar Nemzeti Bank által közzétett euró-árfolyamot kell alapul venni.</t>
  </si>
  <si>
    <t xml:space="preserve">VHR-S0423</t>
  </si>
  <si>
    <t xml:space="preserve">42. § (4)</t>
  </si>
  <si>
    <t xml:space="preserve">(4) Ha a szervezet vezetője a jogszabályban előírt kötelezettségének nem tesz eleget, a nemzeti kiberbiztonsági hatóság 15 millió forintig terjedő bírsággal sújthatja, illetve ismételt jogsértés esetén sújtja.</t>
  </si>
  <si>
    <t xml:space="preserve">VHR-S0424</t>
  </si>
  <si>
    <t xml:space="preserve">43. § Az Ekertv. 15/B. § (4) bekezdése alapján a közvetítő szolgáltatóval szemben a kiberbiztonsági incidensek kezelésével és kivizsgálásával kapcsolatosan az e rendeletben meghatározott feladatainak nem teljesítése esetén a nemzeti kiberbiztonsági hatóság 15 millió forintig terjedő kiberbiztonsági bírságot szabhat ki.</t>
  </si>
  <si>
    <t xml:space="preserve">VHR-S0425</t>
  </si>
  <si>
    <t xml:space="preserve">44. § (1) A bírságot a kiberbiztonsági hatóság határozatának véglegessé válását követő 8 napon belül kell befizetni a kiberbiztonsági hatóság határozatban megjelölt, Magyar Államkincstárnál vezetett számlájára.</t>
  </si>
  <si>
    <t xml:space="preserve">VHR-S0426</t>
  </si>
  <si>
    <t xml:space="preserve">(2) A befizetés során az átutalás közlemény rovatában fel kell tüntetni a „kiberbiztonsági bírság” szöveget és a bírságot megállapító határozat számát.</t>
  </si>
  <si>
    <t xml:space="preserve">VHR-S0427</t>
  </si>
  <si>
    <t xml:space="preserve">(3) Több jogszabálysértés együttes fennállása esetén a bírság kiszabható legnagyobb mértéke az egyes jogszabálysértésekért kiszabható bírságok legnagyobb mértékének összege.</t>
  </si>
  <si>
    <t xml:space="preserve">VHR-S0428</t>
  </si>
  <si>
    <t xml:space="preserve">44. § (4)</t>
  </si>
  <si>
    <t xml:space="preserve">(4) A bírság megfizetése nem mentesít a büntetőjogi, valamint a polgári jogi felelősség, valamint a bírság kiszabására okot adó körülmény megszüntetésének kötelezettsége alól.</t>
  </si>
  <si>
    <t xml:space="preserve">VHR-S0429</t>
  </si>
  <si>
    <t xml:space="preserve">44. § (5)</t>
  </si>
  <si>
    <t xml:space="preserve">(5) A bírság ugyanazon tényállás mellett – az azonnal megszüntethető jogszabálysértések kivételével – a bírságot kiszabó végleges határozat közlését követő két hónap elteltével szabható ki ismételten.</t>
  </si>
  <si>
    <t xml:space="preserve">VHR-S0430</t>
  </si>
  <si>
    <t xml:space="preserve">VHR-S0431</t>
  </si>
  <si>
    <t xml:space="preserve">KIBERBIZTONSÁGI TANÚSÍTÁS</t>
  </si>
  <si>
    <t xml:space="preserve">VHR-S0432</t>
  </si>
  <si>
    <t xml:space="preserve">VHR-S0433</t>
  </si>
  <si>
    <t xml:space="preserve">45. § A Kormány a hadiipari kutatással, fejlesztéssel, gyártással és kereskedelemmel összefüggő kiberbiztonsági tanúsító hatósági feladatok tekintetében a Kiberbiztonsági tv. 45. § (1) bekezdés b) pontja szerinti tanúsító hatóságként a honvédelemért felelős minisztert jelöli ki.</t>
  </si>
  <si>
    <t xml:space="preserve">VHR-S0434</t>
  </si>
  <si>
    <t xml:space="preserve">46. § (1) A kiberbiztonsági tanúsító hatóság feladatait a Kiberbiztonsági tv. 45. § (1) bekezdés a) pontja alapján ellátó SZTFH, valamint a hadiipari kutatással, fejlesztéssel, gyártással és kereskedelemmel összefüggő kiberbiztonsági tanúsító hatósági feladatok tekintetében a Kiberbiztonsági tv. 45. § (1) bekezdés b) pontja szerint kijelölt hatóság (a továbbiakban együtt: tanúsító hatóság) a Kiberbiztonsági tv. 49. § (2) bekezdése alapján az európai uniós jogi aktusok és a magyar jogszabályok megsértése (a továbbiakban: szabálytalanság) miatt a 4. mellékletben meghatározott mértékű bírságot szab ki.</t>
  </si>
  <si>
    <t xml:space="preserve">VHR-S0435</t>
  </si>
  <si>
    <t xml:space="preserve">(2) A kiszabott bírságot a tanúsító hatóság határozatának véglegessé válását követő 8 napon belül kell megfizetni a tanúsító hatóság határozatban megjelölt, Magyar Államkincstárnál vezetett számlájára.</t>
  </si>
  <si>
    <t xml:space="preserve">VHR-S0436</t>
  </si>
  <si>
    <t xml:space="preserve">(3) Több szabálytalanság együttes fennállása esetén a bírság kiszabható legnagyobb mértéke az egyes szabálytalanságokért kiszabható bírságok legnagyobb mértékének összege.</t>
  </si>
  <si>
    <t xml:space="preserve">VHR-S0437</t>
  </si>
  <si>
    <t xml:space="preserve">46. § (4)</t>
  </si>
  <si>
    <t xml:space="preserve">(4) A tanúsító hatóság a bírságot ugyanazon tényállás mellett a Kiberbiztonsági tv. 49. § (1) bekezdése alapján meghatározott határidő eredménytelen elteltét követően ismételten kiszabhatja.</t>
  </si>
  <si>
    <t xml:space="preserve">VHR-S0438</t>
  </si>
  <si>
    <t xml:space="preserve">47. § Az IKT-termék biztonságát érintő sebezhetőségről vagy rendellenességről szóló tájékoztatást a tanúsító hatóság továbbítja a Központ részére.</t>
  </si>
  <si>
    <t xml:space="preserve">VHR-S0439</t>
  </si>
  <si>
    <t xml:space="preserve">VHR-S0440</t>
  </si>
  <si>
    <t xml:space="preserve">VHR-S0441</t>
  </si>
  <si>
    <t xml:space="preserve">VHR-S0442</t>
  </si>
  <si>
    <t xml:space="preserve">48. § (1) A Kormány a Kiberbiztonsági tv. 57. § (1) bekezdés a) pontja szerinti állami szervként a Nemzetbiztonsági Szakszolgálatot jelöli ki (a továbbiakban: sérülékenységvizsgálat végzésére jogosult állami szerv).</t>
  </si>
  <si>
    <t xml:space="preserve">VHR-S0443</t>
  </si>
  <si>
    <t xml:space="preserve">(2) A honvédelmi célú elektronikus információs rendszerek vonatkozásában a sérülékenységvizsgálat lefolytatására a Katonai Nemzetbiztonsági Szolgálat jogosult.</t>
  </si>
  <si>
    <t xml:space="preserve">VHR-S0444</t>
  </si>
  <si>
    <t xml:space="preserve">(3) A Katonai Nemzetbiztonsági Szolgálat sérülékenységvizsgálati tevékenységére a sérülékenységvizsgálat végzésére jogosult állami szervre vonatkozó rendelkezéseket kell alkalmazni.</t>
  </si>
  <si>
    <t xml:space="preserve">VHR-S0445</t>
  </si>
  <si>
    <t xml:space="preserve">(4) A Kiberbiztonsági tv. 57. § (1) bekezdés c) pontja szerinti gazdálkodó szervezet által végzett sérülékenységvizsgálat során az e fejezetben foglaltak alkalmazandók.</t>
  </si>
  <si>
    <t xml:space="preserve">VHR-S0446</t>
  </si>
  <si>
    <t xml:space="preserve">49. § (1) A sérülékenységvizsgálat célja a szervezet elektronikus információs rendszere, rendszerelemei gyenge pontjainak feltárása, valamint a feltárt sérülékenységek elhárítására vonatkozó megoldási javaslatok kidolgozása az elektronikus információs rendszerek, rendszerelemek védelmének és biztonságának megerősítése érdekében.</t>
  </si>
  <si>
    <t xml:space="preserve">VHR-S0447</t>
  </si>
  <si>
    <t xml:space="preserve">(2) A sérülékenységvizsgálat tárgya az adatok, információk kezelésére használt elektronikus információs rendszerek, rendszerelemek, eszközök, eljárások és kapcsolódó folyamatok vizsgálata, valamint az ezeket kezelő személyek és a szervezet általános informatikai felkészültségének vizsgálata.</t>
  </si>
  <si>
    <t xml:space="preserve">VHR-S0448</t>
  </si>
  <si>
    <t xml:space="preserve">VHR-S0449</t>
  </si>
  <si>
    <t xml:space="preserve">50. § (1) Teljeskörű sérülékenységvizsgálat során a sérülékenységvizsgálati eljárást megalapozó alapdokumentumban meghatározottak szerint az alábbi vizsgálatok elvégzésére kerül sor:</t>
  </si>
  <si>
    <t xml:space="preserve">VHR-S0450</t>
  </si>
  <si>
    <t xml:space="preserve">50. § (1) a)</t>
  </si>
  <si>
    <t xml:space="preserve">a) külső informatikai biztonsági vizsgálat,</t>
  </si>
  <si>
    <t xml:space="preserve">VHR-S0451</t>
  </si>
  <si>
    <t xml:space="preserve">50. § (1) b)</t>
  </si>
  <si>
    <t xml:space="preserve">b) belső informatikai biztonsági vizsgálat,</t>
  </si>
  <si>
    <t xml:space="preserve">VHR-S0452</t>
  </si>
  <si>
    <t xml:space="preserve">50. § (1) c)</t>
  </si>
  <si>
    <t xml:space="preserve">c) alkalmazásvizsgálat,</t>
  </si>
  <si>
    <t xml:space="preserve">VHR-S0453</t>
  </si>
  <si>
    <t xml:space="preserve">50. § (1) d)</t>
  </si>
  <si>
    <t xml:space="preserve">d) vezeték nélküli hálózat informatikai biztonsági vizsgálata, vagy</t>
  </si>
  <si>
    <t xml:space="preserve">VHR-S0454</t>
  </si>
  <si>
    <t xml:space="preserve">50. § (1) e)</t>
  </si>
  <si>
    <t xml:space="preserve">e) kiber-fizikai rendszerek biztonsági vizsgálata.</t>
  </si>
  <si>
    <t xml:space="preserve">VHR-S0455</t>
  </si>
  <si>
    <t xml:space="preserve">(2) A sérülékenységvizsgálat az (1) bekezdésben meghatározott irányultságok tekintetében három típusú jogosultsági fázist tartalmazhat:</t>
  </si>
  <si>
    <t xml:space="preserve">VHR-S0456</t>
  </si>
  <si>
    <t xml:space="preserve">50. § (2) a)</t>
  </si>
  <si>
    <t xml:space="preserve">a) regisztrált felhasználói jogosultság nélküli vizsgálat,</t>
  </si>
  <si>
    <t xml:space="preserve">VHR-S0457</t>
  </si>
  <si>
    <t xml:space="preserve">50. § (2) b)</t>
  </si>
  <si>
    <t xml:space="preserve">b) regisztrált felhasználói jogosultsággal rendelkező vizsgálat és</t>
  </si>
  <si>
    <t xml:space="preserve">VHR-S0458</t>
  </si>
  <si>
    <t xml:space="preserve">50. § (2) c)</t>
  </si>
  <si>
    <t xml:space="preserve">c) adminisztrátori jogosultsággal rendelkező vizsgálat.</t>
  </si>
  <si>
    <t xml:space="preserve">VHR-S0459</t>
  </si>
  <si>
    <t xml:space="preserve">51. § (1)</t>
  </si>
  <si>
    <t xml:space="preserve">51. § (1) Teljeskörűnek nem minősülő sérülékenységvizsgálati módszerek:</t>
  </si>
  <si>
    <t xml:space="preserve">VHR-S0460</t>
  </si>
  <si>
    <t xml:space="preserve">51. § (1) a)</t>
  </si>
  <si>
    <t xml:space="preserve">a) automatizált sérülékenységfelderítés és -elemzés,</t>
  </si>
  <si>
    <t xml:space="preserve">VHR-S0461</t>
  </si>
  <si>
    <t xml:space="preserve">51. § (1) b)</t>
  </si>
  <si>
    <t xml:space="preserve">b) pszichológiai manipulációs vizsgálat,</t>
  </si>
  <si>
    <t xml:space="preserve">VHR-S0462</t>
  </si>
  <si>
    <t xml:space="preserve">51. § (1) c)</t>
  </si>
  <si>
    <t xml:space="preserve">c) behatolásvizsgálat,</t>
  </si>
  <si>
    <t xml:space="preserve">VHR-S0463</t>
  </si>
  <si>
    <t xml:space="preserve">51. § (1) d)</t>
  </si>
  <si>
    <t xml:space="preserve">d) kriptográfiai megfelelőségvizsgálat és</t>
  </si>
  <si>
    <t xml:space="preserve">VHR-S0464</t>
  </si>
  <si>
    <t xml:space="preserve">51. § (1) e)</t>
  </si>
  <si>
    <t xml:space="preserve">e) forráskódvizsgálat.</t>
  </si>
  <si>
    <t xml:space="preserve">VHR-S0465</t>
  </si>
  <si>
    <t xml:space="preserve">51. § (2)</t>
  </si>
  <si>
    <t xml:space="preserve">(2) Az (1) bekezdés szerinti sérülékenységvizsgálati módszerek a teljeskörű sérülékenységvizsgálat részét képezhetik, alkalmazásuk azonban nem váltja ki a teljeskörű sérülékenységvizsgálatot.</t>
  </si>
  <si>
    <t xml:space="preserve">VHR-S0466</t>
  </si>
  <si>
    <t xml:space="preserve">52. § (1)</t>
  </si>
  <si>
    <t xml:space="preserve">52. § (1) A sérülékenységvizsgálat végzésére jogosult állami szerv által elvégzett sérülékenységvizsgálat határideje a sérülékenységvizsgálati alapdokumentumban vagy a nemzeti kiberbiztonsági hatóság határozatában meghatározott időponttól számítva legfeljebb 90 nap.</t>
  </si>
  <si>
    <t xml:space="preserve">VHR-S0467</t>
  </si>
  <si>
    <t xml:space="preserve">52. § (2)</t>
  </si>
  <si>
    <t xml:space="preserve">(2) Ha a szervezet elektronikus információs rendszere, rendszereleme az átlagostól jelentősen eltér, és emiatt egyedi sérülékenységvizsgálati eljárás szükséges, a sérülékenységvizsgálati határidő legfeljebb 120 nap lehet.</t>
  </si>
  <si>
    <t xml:space="preserve">VHR-S0468</t>
  </si>
  <si>
    <t xml:space="preserve">52. § (3)</t>
  </si>
  <si>
    <t xml:space="preserve">(3) A sérülékenységvizsgálat végzésére jogosult állami szerv a sérülékenységvizsgálatra irányadó határidőt, annak letelte előtt egy alkalommal legfeljebb 30 nappal meghosszabbíthatja, és erről értesíti a szervezetet, valamint a nemzeti kiberbiztonsági hatóságot.</t>
  </si>
  <si>
    <t xml:space="preserve">VHR-S0469</t>
  </si>
  <si>
    <t xml:space="preserve">52. § (4)</t>
  </si>
  <si>
    <t xml:space="preserve">(4) A szervezet elektronikus információs rendszere az átlagostól jelentősen eltér, ha</t>
  </si>
  <si>
    <t xml:space="preserve">VHR-S0470</t>
  </si>
  <si>
    <t xml:space="preserve">52. § (4) a)</t>
  </si>
  <si>
    <t xml:space="preserve">a) az elektronikus információs rendszer</t>
  </si>
  <si>
    <t xml:space="preserve">VHR-S0471</t>
  </si>
  <si>
    <t xml:space="preserve">52. § (4) a) aa)</t>
  </si>
  <si>
    <t xml:space="preserve">aa) a külső internetes tartományban több mint 10 IP címmel,</t>
  </si>
  <si>
    <t xml:space="preserve">VHR-S0472</t>
  </si>
  <si>
    <t xml:space="preserve">52. § (4) a) ab)</t>
  </si>
  <si>
    <t xml:space="preserve">ab) több mint 10 webszolgáltatással, vagy</t>
  </si>
  <si>
    <t xml:space="preserve">VHR-S0473</t>
  </si>
  <si>
    <t xml:space="preserve">52. § (4) a) ac)</t>
  </si>
  <si>
    <t xml:space="preserve">ac) a belső hálózat tekintetében több mint 50 szerverrel, vagy</t>
  </si>
  <si>
    <t xml:space="preserve">VHR-S0474</t>
  </si>
  <si>
    <t xml:space="preserve">52. § (4) a) ad)</t>
  </si>
  <si>
    <t xml:space="preserve">ad) több mint 500 munkaállomással, vagy</t>
  </si>
  <si>
    <t xml:space="preserve">VHR-S0475</t>
  </si>
  <si>
    <t xml:space="preserve">52. § (4) a) ae)</t>
  </si>
  <si>
    <t xml:space="preserve">ae) több mint 5 vezeték nélküli hálózattal vagy</t>
  </si>
  <si>
    <t xml:space="preserve">VHR-S0476</t>
  </si>
  <si>
    <t xml:space="preserve">52. § (4) a) af)</t>
  </si>
  <si>
    <t xml:space="preserve">af) több mint 500 fős felhasználói létszámmal</t>
  </si>
  <si>
    <t xml:space="preserve">VHR-S0477</t>
  </si>
  <si>
    <t xml:space="preserve">rendelkezik,</t>
  </si>
  <si>
    <t xml:space="preserve">VHR-S0478</t>
  </si>
  <si>
    <t xml:space="preserve">52. § (4) b)</t>
  </si>
  <si>
    <t xml:space="preserve">b) a szervezet több, mint három telephelyen rendelkezik a vizsgálattal érintett elektronikus információs rendszerrel, vagy</t>
  </si>
  <si>
    <t xml:space="preserve">VHR-S0479</t>
  </si>
  <si>
    <t xml:space="preserve">52. § (4) c)</t>
  </si>
  <si>
    <t xml:space="preserve">c) a szervezet a sérülékenységvizsgálatot indító alapdokumentumban erre vonatkozóan nyilatkozik és ezzel a sérülékenységvizsgálat végzésére jogosult állami szerv egyetért.</t>
  </si>
  <si>
    <t xml:space="preserve">VHR-S0480</t>
  </si>
  <si>
    <t xml:space="preserve">VHR-S0481</t>
  </si>
  <si>
    <t xml:space="preserve">53. § (1) A sérülékenységvizsgálat előkészítése során a sérülékenységvizsgálat végzésére jogosult állami szerv, valamint a Kiberbiztonsági tv. 57. § (1) bekezdés c) pontja szerinti, sérülékenységvizsgálat lefolytatására jogosult gazdálkodó szervezet (a továbbiakban együtt: sérülékenységvizsgálatot végző szerv) sérülékenységvizsgálati alapdokumentumot készít.</t>
  </si>
  <si>
    <t xml:space="preserve">VHR-S0482</t>
  </si>
  <si>
    <t xml:space="preserve">(2) A sérülékenységvizsgálati alapdokumentumban rögzíteni kell legalább</t>
  </si>
  <si>
    <t xml:space="preserve">VHR-S0483</t>
  </si>
  <si>
    <t xml:space="preserve">53. § (2) 1.</t>
  </si>
  <si>
    <t xml:space="preserve">1. a sérülékenységvizsgálatot végző szervezet megnevezését,</t>
  </si>
  <si>
    <t xml:space="preserve">VHR-S0484</t>
  </si>
  <si>
    <t xml:space="preserve">53. § (2) 2.</t>
  </si>
  <si>
    <t xml:space="preserve">2. gazdálkodó szervezet esetében a sérülékenységvizsgálatot végző személy nevét,</t>
  </si>
  <si>
    <t xml:space="preserve">VHR-S0485</t>
  </si>
  <si>
    <t xml:space="preserve">53. § (2) 3.</t>
  </si>
  <si>
    <t xml:space="preserve">3. az érintett elektronikus információs rendszer felett rendelkezési joggal rendelkező szervezetet,</t>
  </si>
  <si>
    <t xml:space="preserve">VHR-S0486</t>
  </si>
  <si>
    <t xml:space="preserve">53. § (2) 4.</t>
  </si>
  <si>
    <t xml:space="preserve">4. az érintett elektronikus információs rendszer megnevezését, továbbá az érintett rendszerelemeket és alkalmazásokat,</t>
  </si>
  <si>
    <t xml:space="preserve">VHR-S0487</t>
  </si>
  <si>
    <t xml:space="preserve">53. § (2) 5.</t>
  </si>
  <si>
    <t xml:space="preserve">5. az elektronikus információs rendszer adatkezelőjét,</t>
  </si>
  <si>
    <t xml:space="preserve">VHR-S0488</t>
  </si>
  <si>
    <t xml:space="preserve">53. § (2) 6.</t>
  </si>
  <si>
    <t xml:space="preserve">6. a vizsgálat tárgyát,</t>
  </si>
  <si>
    <t xml:space="preserve">VHR-S0489</t>
  </si>
  <si>
    <t xml:space="preserve">53. § (2) 7.</t>
  </si>
  <si>
    <t xml:space="preserve">7. a vizsgálati feladatokat, célokat,</t>
  </si>
  <si>
    <t xml:space="preserve">VHR-S0490</t>
  </si>
  <si>
    <t xml:space="preserve">53. § (2) 8.</t>
  </si>
  <si>
    <t xml:space="preserve">8. a sérülékenységvizsgálati módszert,</t>
  </si>
  <si>
    <t xml:space="preserve">VHR-S0491</t>
  </si>
  <si>
    <t xml:space="preserve">53. § (2) 9.</t>
  </si>
  <si>
    <t xml:space="preserve">9. a sérülékenységvizsgálat jogosultsági fázisát,</t>
  </si>
  <si>
    <t xml:space="preserve">VHR-S0492</t>
  </si>
  <si>
    <t xml:space="preserve">53. § (2) 10.</t>
  </si>
  <si>
    <t xml:space="preserve">10. a sérülékenységvizsgálati és kockázatértékelési módszertant,</t>
  </si>
  <si>
    <t xml:space="preserve">VHR-S0493</t>
  </si>
  <si>
    <t xml:space="preserve">53. § (2) 11.</t>
  </si>
  <si>
    <t xml:space="preserve">11. a sérülékenységvizsgálat lefolytatásához szükséges feltételeket és azok biztosításának módját,</t>
  </si>
  <si>
    <t xml:space="preserve">VHR-S0494</t>
  </si>
  <si>
    <t xml:space="preserve">53. § (2) 11a.</t>
  </si>
  <si>
    <t xml:space="preserve">11a. gazdálkodó szervezet esetében – „jelentős” vagy „magas” biztonsági osztályba sorolt elektronikus információs rendszerre kiterjedő sérülékenységvizsgálat esetén – az SZTFH elnökének az információs és kommunikációs technológiák kiberbiztonsági tanúsításáról szóló rendelete szerinti „jelentős” vagy „magas” megbízhatósági szintre nyilvántartásba vett vizsgáló laboratórium megnevezését és a vizsgáló laboratórium által a sérülékenységvizsgálat során elvégzendő tevékenységek körét,</t>
  </si>
  <si>
    <t xml:space="preserve">VHR-S0495</t>
  </si>
  <si>
    <t xml:space="preserve">53. § (2) 12.</t>
  </si>
  <si>
    <t xml:space="preserve">12. a sérülékenységvizsgálat időtartamát, végrehajtásának ütemtervét,</t>
  </si>
  <si>
    <t xml:space="preserve">VHR-S0496</t>
  </si>
  <si>
    <t xml:space="preserve">53. § (2) 13.</t>
  </si>
  <si>
    <t xml:space="preserve">13. a sérülékenységvizsgálat szüneteltetésére, megszüntetésére okot adó körülményeket, valamint</t>
  </si>
  <si>
    <t xml:space="preserve">VHR-S0497</t>
  </si>
  <si>
    <t xml:space="preserve">53. § (2) 14.</t>
  </si>
  <si>
    <t xml:space="preserve">14. a szervezet vezetőjének vagy az általa meghatalmazott, a szervezet vezetőjének szervezetszerű helyettesítésére jogosult vezető aláírását.</t>
  </si>
  <si>
    <t xml:space="preserve">VHR-S0498</t>
  </si>
  <si>
    <t xml:space="preserve">(3) Ha a sérülékenységvizsgálatot a nemzeti kiberbiztonsági hatóság rendeli el, a sérülékenységvizsgálati alapdokumentumban a hatósági döntésben rögzített vizsgálati feladatokat is rögzíteni kell, valamint nem kell feltüntetni a (2) bekezdés 14. pontjában foglaltakat.</t>
  </si>
  <si>
    <t xml:space="preserve">VHR-S0499</t>
  </si>
  <si>
    <t xml:space="preserve">53. § (4)</t>
  </si>
  <si>
    <t xml:space="preserve">(4) Ha a sérülékenységvizsgálatot a sérülékenységvizsgálat végzésére jogosult állami szerv indítja, nem kell feltüntetni a (2) bekezdés 14. pontjában foglaltakat.</t>
  </si>
  <si>
    <t xml:space="preserve">VHR-S0500</t>
  </si>
  <si>
    <t xml:space="preserve">54. § (1) A sérülékenységvizsgálat szervezet általi kezdeményezése esetén a vizsgálati feladatokra a szervezet javaslatot tehet, amelyről a sérülékenységvizsgálatot végző szerv dönt.</t>
  </si>
  <si>
    <t xml:space="preserve">VHR-S0501</t>
  </si>
  <si>
    <t xml:space="preserve">(2) A sérülékenységvizsgálati alapdokumentumot a sérülékenységvizsgálatot végző szerv – legalább a sérülékenységvizsgálat megkezdését megelőzően 8 nappal – megküldi az érintett szervezet részére. Az érintett szervezet a sérülékenységvizsgálati alapdokumentum tartalmára a kézhezvételtől számított 5 napon belül észrevételt tehet. Az észrevétel nem érintheti a nemzeti kiberbiztonsági hatóság által elrendelt vizsgálatokat. Az észrevételekről a sérülékenységvizsgálatot végző szerv dönt.</t>
  </si>
  <si>
    <t xml:space="preserve">VHR-S0502</t>
  </si>
  <si>
    <t xml:space="preserve">55. § (1) Ha a sérülékenységvizsgálati alapdokumentum aláírását követően a sérülékenységvizsgálati alapdokumentumban rögzítettekben változás következik be, a sérülékenységvizsgálatot végző szerv – a változás jelentőségének, súlyának figyelembevételével – az érintett elektronikus információs rendszer felett rendelkezési joggal rendelkező szervezettel folytatott egyeztetés alapján</t>
  </si>
  <si>
    <t xml:space="preserve">VHR-S0503</t>
  </si>
  <si>
    <t xml:space="preserve">55. § (1) a)</t>
  </si>
  <si>
    <t xml:space="preserve">a) kezdeményezheti a sérülékenységvizsgálati alapdokumentum módosítását,</t>
  </si>
  <si>
    <t xml:space="preserve">VHR-S0504</t>
  </si>
  <si>
    <t xml:space="preserve">55. § (1) b)</t>
  </si>
  <si>
    <t xml:space="preserve">b) módosíthatja a sérülékenységvizsgálat záró dátumát,</t>
  </si>
  <si>
    <t xml:space="preserve">VHR-S0505</t>
  </si>
  <si>
    <t xml:space="preserve">55. § (1) c)</t>
  </si>
  <si>
    <t xml:space="preserve">c) szüneteltetheti a sérülékenységvizsgálat végrehajtását,</t>
  </si>
  <si>
    <t xml:space="preserve">VHR-S0506</t>
  </si>
  <si>
    <t xml:space="preserve">55. § (1) d)</t>
  </si>
  <si>
    <t xml:space="preserve">d) megszüntetheti a sérülékenységvizsgálatot vagy</t>
  </si>
  <si>
    <t xml:space="preserve">VHR-S0507</t>
  </si>
  <si>
    <t xml:space="preserve">55. § (1) e)</t>
  </si>
  <si>
    <t xml:space="preserve">e) állásfoglalás kiadásával lezárhatja a sérülékenységvizsgálatot.</t>
  </si>
  <si>
    <t xml:space="preserve">VHR-S0508</t>
  </si>
  <si>
    <t xml:space="preserve">(2) A sérülékenységvizsgálati alapdokumentum aláírását követően a sérülékenységvizsgálati módszerben vagy módszertanban történő módosítási igény esetén a sérülékenységvizsgálatot végző szerv megszünteti vagy az aláírt sérülékenységvizsgálati alapdokumentumban foglaltak szerint lezárja a sérülékenységvizsgálatot.</t>
  </si>
  <si>
    <t xml:space="preserve">VHR-S0509</t>
  </si>
  <si>
    <t xml:space="preserve">(3) Ha a sérülékenységvizsgálati alapdokumentumban, valamint az e rendeletben foglalt feltételek hiánytalanul nem állnak rendelkezésre, a sérülékenységvizsgálat nem hajtható végre vagy a végrehajtását fel kell függeszteni.</t>
  </si>
  <si>
    <t xml:space="preserve">VHR-S0510</t>
  </si>
  <si>
    <t xml:space="preserve">56. § (1) A sérülékenységvizsgálatot végző szerv a sérülékenységvizsgálat során kellő gondossággal eljárva köteles a vizsgált elektronikus információs rendszer által nyújtott szolgáltatásoknak a feltétlenül szükségesnél nem nagyobb mértékű korlátozására, a sérülékenységvizsgálatnak a szolgáltatás szempontjából nem kritikus időszakban történő elvégzésére. A sérülékenységvizsgálatot végző szerv köteles a korlátozás várható mértékéről és időtartalmáról az érintett szervezetet előzetesen tájékoztatni.</t>
  </si>
  <si>
    <t xml:space="preserve">VHR-S0511</t>
  </si>
  <si>
    <t xml:space="preserve">(2) A sérülékenységvizsgálatot végző szerv tájékoztatja a sérülékenységvizsgálattal érintett szervezetet az általa a vizsgálathoz használt IP címről vagy más egyedi technikai azonosítóról, amelyet a szervezet a vizsgálat időtartama alatt nem tilthat ki a szolgáltatás eléréséből, illetve gondoskodnia kell a szolgáltatásnak a sérülékenységvizsgálatot végző szerv általi eléréséről.</t>
  </si>
  <si>
    <t xml:space="preserve">VHR-S0512</t>
  </si>
  <si>
    <t xml:space="preserve">(3) A sérülékenységvizsgálatot végző szerv a polgári hírszerző tevékenységet végző nemzetbiztonsági szolgálat elektronikus információs rendszerei vonatkozásában lehetőség szerint gondoskodik arról, hogy az azokon tárolt adatok megismerése nélkül hajtsa végre a sérülékenységvizsgálatot.</t>
  </si>
  <si>
    <t xml:space="preserve">VHR-S0513</t>
  </si>
  <si>
    <t xml:space="preserve">57. § A gazdálkodó szervezet által végzendő sérülékenységvizsgálat megkezdését a szervezet bejelenti a sérülékenységvizsgálat végzésére jogosult állami szerv részére.</t>
  </si>
  <si>
    <t xml:space="preserve">VHR-S0514</t>
  </si>
  <si>
    <t xml:space="preserve">58. § (1) A szervezet köteles – a sérülékenységvizsgálati alapdokumentumban vagy a sérülékenységvizsgálat végzésére jogosult állami szerv általi elrendelés esetén az elrendelésben foglaltak szerint – a sérülékenységvizsgálat lefolytatásához szükséges adatokat, dokumentumokat, eszközöket és egyéb információkat a sérülékenységvizsgálatot végző szerv rendelkezésére bocsátani, valamint tűrni a sérülékenységvizsgálatból fakadó, a vizsgált elektronikus információs rendszeren bekövetkezett szolgáltatáscsökkenést, illetve -kiesést.</t>
  </si>
  <si>
    <t xml:space="preserve">VHR-S0515</t>
  </si>
  <si>
    <t xml:space="preserve">(2) Regisztrált felhasználói jogosultság nélküli vizsgálat esetén az érintett szervezet</t>
  </si>
  <si>
    <t xml:space="preserve">VHR-S0516</t>
  </si>
  <si>
    <t xml:space="preserve">58. § (2) a)</t>
  </si>
  <si>
    <t xml:space="preserve">a) megküldi a sérülékenységvizsgálatot végző szerv részére a vizsgálandó elektronikus információs rendszer, illetve szolgáltatás hozzáférési pontjaihoz tartozó adatokat, biztosítja – korlátozott hozzáférésű rendszer esetében is – a hozzáférési pontok fizikai és logikai elérésének lehetőségét,</t>
  </si>
  <si>
    <t xml:space="preserve">VHR-S0517</t>
  </si>
  <si>
    <t xml:space="preserve">58. § (2) b)</t>
  </si>
  <si>
    <t xml:space="preserve">b) biztosítja a sérülékenységvizsgálatot végző szerv számára a vizsgálandó elektronikus információs rendszer, illetve szolgáltatás monitorozását.</t>
  </si>
  <si>
    <t xml:space="preserve">VHR-S0518</t>
  </si>
  <si>
    <t xml:space="preserve">(3) Regisztrált felhasználói jogosultsággal rendelkező vizsgálat esetén az (1) bekezdésben meghatározottakon túl az érintett szervezet a sérülékenységvizsgálatot végző szerv részére megküldi</t>
  </si>
  <si>
    <t xml:space="preserve">VHR-S0519</t>
  </si>
  <si>
    <t xml:space="preserve">58. § (3) a)</t>
  </si>
  <si>
    <t xml:space="preserve">a) a felhasználói jogosultság mátrixot, valamint</t>
  </si>
  <si>
    <t xml:space="preserve">VHR-S0520</t>
  </si>
  <si>
    <t xml:space="preserve">58. § (3) b)</t>
  </si>
  <si>
    <t xml:space="preserve">b) a felhasználói dokumentációt.</t>
  </si>
  <si>
    <t xml:space="preserve">VHR-S0521</t>
  </si>
  <si>
    <t xml:space="preserve">58. § (4)</t>
  </si>
  <si>
    <t xml:space="preserve">(4) Adminisztrátori jogosultsággal rendelkező vizsgálat esetén a szervezet megküldi a sérülékenységvizsgálatot végző szerv részére a (2) és (3) bekezdésben foglaltakon túl a rendszertervet is.</t>
  </si>
  <si>
    <t xml:space="preserve">VHR-S0522</t>
  </si>
  <si>
    <t xml:space="preserve">58. § (5)</t>
  </si>
  <si>
    <t xml:space="preserve">(5) A szervezet a sérülékenységvizsgálati alapdokumentum elkészítését megelőzően legalább 8 nappal a sérülékenységvizsgálatot végző szerv részére jelzi azon időszakokat, amelyek a szervezet által nyújtott szolgáltatások vagy működése szempontjából nem megfelelőek a sérülékenységvizsgálat elvégzésére. A megjelölt időszakok nem tartoznak bele a sérülékenységvizsgálat e rendeletben meghatározott időtartamába.</t>
  </si>
  <si>
    <t xml:space="preserve">VHR-S0523</t>
  </si>
  <si>
    <t xml:space="preserve">58. § (6)</t>
  </si>
  <si>
    <t xml:space="preserve">(6) A sérülékenységvizsgálat alatt a szolgáltatások elérhetőségében bekövetkező változás esetén a bejelentést haladéktalanul, legkésőbb 3 napon belül meg kell tenni.</t>
  </si>
  <si>
    <t xml:space="preserve">VHR-S0524</t>
  </si>
  <si>
    <t xml:space="preserve">58. § (7)</t>
  </si>
  <si>
    <t xml:space="preserve">(7) Ha a szervezet nem vagy hibásan adja meg a sérülékenységvizsgálat elvégzéséhez szükséges adatokat, a sérülékenységvizsgálat végzésére jogosult állami szerv nem végzi el vizsgálatot vagy – a sérülékenységvizsgálat végzésére jogosult állami szerv vagy a nemzeti kiberbiztonsági hatóság által elrendelt sérülékenységvizsgálat esetén – kezdeményezi a nemzeti kiberbiztonsági hatóságnál a szervezet kötelezését az együttműködésre és az adatszolgáltatásra.</t>
  </si>
  <si>
    <t xml:space="preserve">VHR-S0525</t>
  </si>
  <si>
    <t xml:space="preserve">58. § (8)</t>
  </si>
  <si>
    <t xml:space="preserve">(8) A honvédelmi célú elektronikus információs rendszerek esetén a (2)–(6) bekezdésben meghatározott adatokat a honvédelmi kiberbiztonsági incidenskezelő központnak kell bejelenteni.</t>
  </si>
  <si>
    <t xml:space="preserve">VHR-S0526</t>
  </si>
  <si>
    <t xml:space="preserve">59. § (1)</t>
  </si>
  <si>
    <t xml:space="preserve">59. § (1) A szervezet köteles a sérülékenységvizsgálattal érintett elektronikus információs rendszer működésében érintett valamennyi szervezetet írásban tájékoztatni a tervezett sérülékenységvizsgálatról, valamint a tájékoztatásban foglaltakban bekövetkezett változásokról.</t>
  </si>
  <si>
    <t xml:space="preserve">VHR-S0527</t>
  </si>
  <si>
    <t xml:space="preserve">59. § (2)</t>
  </si>
  <si>
    <t xml:space="preserve">(2) A tájékoztatásnak tartalmaznia kell</t>
  </si>
  <si>
    <t xml:space="preserve">VHR-S0528</t>
  </si>
  <si>
    <t xml:space="preserve">59. § (2) a)</t>
  </si>
  <si>
    <t xml:space="preserve">a) a sérülékenységvizsgálat végzésének tényét,</t>
  </si>
  <si>
    <t xml:space="preserve">VHR-S0529</t>
  </si>
  <si>
    <t xml:space="preserve">59. § (2) b)</t>
  </si>
  <si>
    <t xml:space="preserve">b) az érintett elektronikus információs rendszert,</t>
  </si>
  <si>
    <t xml:space="preserve">VHR-S0530</t>
  </si>
  <si>
    <t xml:space="preserve">59. § (2) c)</t>
  </si>
  <si>
    <t xml:space="preserve">c) amennyiben ismert, a sérülékenységvizsgálat tervezett kezdetét, időtartamát,</t>
  </si>
  <si>
    <t xml:space="preserve">VHR-S0531</t>
  </si>
  <si>
    <t xml:space="preserve">59. § (2) d)</t>
  </si>
  <si>
    <t xml:space="preserve">d) annak tényét, hogy az érintett elektronikus információs rendszer által nyújtott szolgáltatásban szolgáltatáskiesés, -csökkenés várható,</t>
  </si>
  <si>
    <t xml:space="preserve">VHR-S0532</t>
  </si>
  <si>
    <t xml:space="preserve">59. § (2) e)</t>
  </si>
  <si>
    <t xml:space="preserve">e) az elektronikus információs rendszer adatkezelője vonatkozásában az érintett elektronikus információs rendszerben tárolt vagy kezelt adatok megismerhetőségéhez és a sérülékenységvizsgálat elvégzéséhez való hozzájárulásra irányuló kérést, illetve</t>
  </si>
  <si>
    <t xml:space="preserve">VHR-S0533</t>
  </si>
  <si>
    <t xml:space="preserve">59. § (2) f)</t>
  </si>
  <si>
    <t xml:space="preserve">f) az elektronikus információs rendszer üzemeltetésében érintett szervezet vonatkozásában a sérülékenységvizsgálat elvégzésének tudomásul vételére irányuló kérést.</t>
  </si>
  <si>
    <t xml:space="preserve">VHR-S0534</t>
  </si>
  <si>
    <t xml:space="preserve">59. § (3)</t>
  </si>
  <si>
    <t xml:space="preserve">(3) A sérülékenységvizsgálattal érintett elektronikus információs rendszer</t>
  </si>
  <si>
    <t xml:space="preserve">VHR-S0535</t>
  </si>
  <si>
    <t xml:space="preserve">59. § (3) a)</t>
  </si>
  <si>
    <t xml:space="preserve">a) adatkezelője a sérülékenységvizsgálathoz való hozzájárulásról,</t>
  </si>
  <si>
    <t xml:space="preserve">VHR-S0536</t>
  </si>
  <si>
    <t xml:space="preserve">59. § (3) b)</t>
  </si>
  <si>
    <t xml:space="preserve">b) üzemeltetésében érintett szervezet a tájékoztatás tudomásul vételéről</t>
  </si>
  <si>
    <t xml:space="preserve">VHR-S0537</t>
  </si>
  <si>
    <t xml:space="preserve">írásban nyilatkozik.</t>
  </si>
  <si>
    <t xml:space="preserve">VHR-S0538</t>
  </si>
  <si>
    <t xml:space="preserve">59. § (4)</t>
  </si>
  <si>
    <t xml:space="preserve">(4) A nemzeti kiberbiztonsági hatóság kérésére a szervezet bemutatja a tájékoztatást, valamint a hozzájárulásról vagy a tudomásul vételről szóló nyilatkozatot.</t>
  </si>
  <si>
    <t xml:space="preserve">VHR-S0539</t>
  </si>
  <si>
    <t xml:space="preserve">60. § (1) A sérülékenységvizsgálattal érintett elektronikus információs rendszer üzemeltetésében érintett szervezet a sérülékenységvizsgálatot nem akadályozhatja és köteles a sérülékenységvizsgálat lefolytatásához szükséges megfelelő hozzáféréseket biztosítani.</t>
  </si>
  <si>
    <t xml:space="preserve">VHR-S0540</t>
  </si>
  <si>
    <t xml:space="preserve">(2) Ha a sérülékenységvizsgálattal érintett elektronikus információs rendszer működésében érintett szervezet a sérülékenységvizsgálat elvégzését akadályozza, a sérülékenységvizsgálattal érintett elektronikus információs rendszer felett rendelkezési jogot gyakorló szervezet értesíti a nemzeti kiberbiztonsági hatóságot – honvédelmi célú elektronikus információs rendszer vonatkozásában a honvédelmi kiberbiztonsági hatóságot –, amely indokolt esetben kötelezheti az akadályozó szervezetet a sérülékenységvizsgálat tudomásul vételére és az akadályozó körülmény megszüntetésére. Hatáskör hiányában a nemzeti kiberbiztonsági hatóság kezdeményezheti az arra jogosult hatóság intézkedését a kötelezés érdekében.</t>
  </si>
  <si>
    <t xml:space="preserve">VHR-S0541</t>
  </si>
  <si>
    <t xml:space="preserve">61. § A sérülékenységvizsgálat nemzetközileg elfogadott sérülékenységvizsgálati és kockázatértékelési módszertanok mentén folytatható. A sérülékenységvizsgálat során kizárólag olyan kockázatértékelési módszertan alkalmazható, amely figyelembe veszi legalább a sérülékenység hatásának mértékét, valamint a kihasználásának komplexitását.</t>
  </si>
  <si>
    <t xml:space="preserve">VHR-S0542</t>
  </si>
  <si>
    <t xml:space="preserve">62. § (1) A sérülékenységvizsgálat lezárásakor a sérülékenységvizsgálatot végző szerv az általa készített állásfoglalást 8 napon belül – amennyiben az érintett szervezet elektronikus információs rendszere az átlagostól jelentősen eltér, úgy 21 napon belül – megküldi az érintett szervezet és a nemzeti kiberbiztonsági hatóság – honvédelmi célú elektronikus információs rendszer vonatkozásában a honvédelmi kiberbiztonsági hatóság – részére.</t>
  </si>
  <si>
    <t xml:space="preserve">VHR-S0543</t>
  </si>
  <si>
    <t xml:space="preserve">(2) Az állásfoglalásban fel kell tüntetni legalább az alábbiakat:</t>
  </si>
  <si>
    <t xml:space="preserve">VHR-S0544</t>
  </si>
  <si>
    <t xml:space="preserve">62. § (2) 1.</t>
  </si>
  <si>
    <t xml:space="preserve">1. a sérülékenységvizsgálatot végző szerv megnevezését,</t>
  </si>
  <si>
    <t xml:space="preserve">VHR-S0545</t>
  </si>
  <si>
    <t xml:space="preserve">62. § (2) 2.</t>
  </si>
  <si>
    <t xml:space="preserve">2. az érintett elektronikus információs rendszer felett rendelkezési joggal rendelkező szervezet megnevezését,</t>
  </si>
  <si>
    <t xml:space="preserve">VHR-S0546</t>
  </si>
  <si>
    <t xml:space="preserve">62. § (2) 3.</t>
  </si>
  <si>
    <t xml:space="preserve">3. az érintett elektronikus információs rendszer megnevezését, továbbá az érintett rendszerelemeket és alkalmazásokat,</t>
  </si>
  <si>
    <t xml:space="preserve">VHR-S0547</t>
  </si>
  <si>
    <t xml:space="preserve">62. § (2) 4.</t>
  </si>
  <si>
    <t xml:space="preserve">4. a sérülékenységvizsgálat időpontját, időtartamát,</t>
  </si>
  <si>
    <t xml:space="preserve">VHR-S0548</t>
  </si>
  <si>
    <t xml:space="preserve">62. § (2) 5.</t>
  </si>
  <si>
    <t xml:space="preserve">5. a sérülékenységvizsgálat tárgyát,</t>
  </si>
  <si>
    <t xml:space="preserve">VHR-S0549</t>
  </si>
  <si>
    <t xml:space="preserve">62. § (2) 6.</t>
  </si>
  <si>
    <t xml:space="preserve">6. a vizsgálati feladatokat, célokat,</t>
  </si>
  <si>
    <t xml:space="preserve">VHR-S0550</t>
  </si>
  <si>
    <t xml:space="preserve">62. § (2) 7.</t>
  </si>
  <si>
    <t xml:space="preserve">7. az alkalmazott sérülékenységvizsgálati módszert,</t>
  </si>
  <si>
    <t xml:space="preserve">VHR-S0551</t>
  </si>
  <si>
    <t xml:space="preserve">62. § (2) 8.</t>
  </si>
  <si>
    <t xml:space="preserve">8. a felhasznált sérülékenységvizsgálati és kockázatértékelési módszertant,</t>
  </si>
  <si>
    <t xml:space="preserve">VHR-S0552</t>
  </si>
  <si>
    <t xml:space="preserve">62. § (2) 9.</t>
  </si>
  <si>
    <t xml:space="preserve">9. a vizsgálati eredmények leírását,</t>
  </si>
  <si>
    <t xml:space="preserve">VHR-S0553</t>
  </si>
  <si>
    <t xml:space="preserve">62. § (2) 10.</t>
  </si>
  <si>
    <t xml:space="preserve">10. amennyiben az alkalmazott sérülékenységvizsgálati módszertan esetében értelmezhető, valamennyi vizsgált kockázatot, függetlenül attól, hogy adott rendszer a sérülékenységet tartalmazza-e vagy nem,</t>
  </si>
  <si>
    <t xml:space="preserve">VHR-S0554</t>
  </si>
  <si>
    <t xml:space="preserve">62. § (2) 11.</t>
  </si>
  <si>
    <t xml:space="preserve">11. a sérülékenység megnevezését,</t>
  </si>
  <si>
    <t xml:space="preserve">VHR-S0555</t>
  </si>
  <si>
    <t xml:space="preserve">62. § (2) 12.</t>
  </si>
  <si>
    <t xml:space="preserve">12. a sérülékenység leírását,</t>
  </si>
  <si>
    <t xml:space="preserve">VHR-S0556</t>
  </si>
  <si>
    <t xml:space="preserve">62. § (2) 13.</t>
  </si>
  <si>
    <t xml:space="preserve">13. a sérülékenység kockázati besorolását,</t>
  </si>
  <si>
    <t xml:space="preserve">VHR-S0557</t>
  </si>
  <si>
    <t xml:space="preserve">62. § (2) 14.</t>
  </si>
  <si>
    <t xml:space="preserve">14. a hatás besorolását és leírását,</t>
  </si>
  <si>
    <t xml:space="preserve">VHR-S0558</t>
  </si>
  <si>
    <t xml:space="preserve">62. § (2) 15.</t>
  </si>
  <si>
    <t xml:space="preserve">15. a sérülékenység kihasználása komplexitásának besorolását és leírását,</t>
  </si>
  <si>
    <t xml:space="preserve">VHR-S0559</t>
  </si>
  <si>
    <t xml:space="preserve">62. § (2) 16.</t>
  </si>
  <si>
    <t xml:space="preserve">16. lehetőség szerint a sérülékenység feltárásának részletes leírását,</t>
  </si>
  <si>
    <t xml:space="preserve">VHR-S0560</t>
  </si>
  <si>
    <t xml:space="preserve">62. § (2) 17.</t>
  </si>
  <si>
    <t xml:space="preserve">17. a sérülékenység javítására tett javaslatot,</t>
  </si>
  <si>
    <t xml:space="preserve">VHR-S0561</t>
  </si>
  <si>
    <t xml:space="preserve">62. § (2) 18.</t>
  </si>
  <si>
    <t xml:space="preserve">18. a rövid, közép- és hosszú távú intézkedésekre vonatkozó intézkedési javaslatokat,</t>
  </si>
  <si>
    <t xml:space="preserve">VHR-S0562</t>
  </si>
  <si>
    <t xml:space="preserve">62. § (2) 19.</t>
  </si>
  <si>
    <t xml:space="preserve">19. utóvizsgálat lefolytatásának szükségességére irányuló javaslatot,</t>
  </si>
  <si>
    <t xml:space="preserve">VHR-S0563</t>
  </si>
  <si>
    <t xml:space="preserve">62. § (2) 20.</t>
  </si>
  <si>
    <t xml:space="preserve">20. gazdálkodó szervezet esetében a sérülékenységvizsgálatot végző személy nevét, valamint</t>
  </si>
  <si>
    <t xml:space="preserve">VHR-S0564</t>
  </si>
  <si>
    <t xml:space="preserve">62. § (2) 21.</t>
  </si>
  <si>
    <t xml:space="preserve">21. a sérülékenységvizsgálatot végző szerv aláírását.</t>
  </si>
  <si>
    <t xml:space="preserve">VHR-S0565</t>
  </si>
  <si>
    <t xml:space="preserve">(3) A sérülékenységvizsgálati alapdokumentum eltérő rendelkezése hiányában az állásfoglalás tervezetét a sérülékenységvizsgálatot végző szerv megküldi a szervezet részére véleményezésre, amelyre a szervezet vezetője egy alkalommal, 8 napon belül észrevételt tehet. Ebben javaslatot tehet a kockázat felülvizsgálatára, és legfeljebb egy szintet módosíthat a kockázati besoroláson. A vélemény elfogadásáról a sérülékenységvizsgálatot végző szerv dönt.</t>
  </si>
  <si>
    <t xml:space="preserve">VHR-S0566</t>
  </si>
  <si>
    <t xml:space="preserve">(4) A kiberbiztonsági auditjelentésben foglaltakat a nemzeti kiberbiztonsági hatóság abban az esetben fogadja el a (2) bekezdés szerinti sérülékenységvizsgálati állásfoglalással azonos értékűnek, ha az tartalmazza (2) bekezdésben meghatározott szempontokat és információkat.</t>
  </si>
  <si>
    <t xml:space="preserve">VHR-S0567</t>
  </si>
  <si>
    <t xml:space="preserve">62. § (5)</t>
  </si>
  <si>
    <t xml:space="preserve">(5) A honvédelmi célú elektronikus információs rendszerek vonatkozásában lefolytatott sérülékenységvizsgálat állásfoglalás tervezetét az érintett szervezet a szakmai irányítását ellátó szervvel vagy a tulajdonosi joggyakorlóval is megosztja.</t>
  </si>
  <si>
    <t xml:space="preserve">VHR-S0568</t>
  </si>
  <si>
    <t xml:space="preserve">63. § (1) Ha a sérülékenységvizsgálat során alkalmazott módszertan szerint kritikus vagy magas besorolásúnak minősülő sérülékenység kerül feltárásra, a szervezet köteles intézkedni a feltárt sérülékenységek kijavítása, kezelése vagy kockázatcsökkentő intézkedések megtétele érdekében</t>
  </si>
  <si>
    <t xml:space="preserve">VHR-S0569</t>
  </si>
  <si>
    <t xml:space="preserve">63. § (1) a)</t>
  </si>
  <si>
    <t xml:space="preserve">a) új elektronikus információs rendszer esetében a rendszer használatba vételéig,</t>
  </si>
  <si>
    <t xml:space="preserve">VHR-S0570</t>
  </si>
  <si>
    <t xml:space="preserve">63. § (1) b)</t>
  </si>
  <si>
    <t xml:space="preserve">b) egyéb esetben az állásfoglalás kézhezvételét követően haladéktalanul, de legkésőbb 30 napon belül.</t>
  </si>
  <si>
    <t xml:space="preserve">VHR-S0571</t>
  </si>
  <si>
    <t xml:space="preserve">(2) Az (1) bekezdés b) pontja esetében a szervezet – a sérülékenységvizsgálatot végző szervezettel, valamint a nemzeti kiberbiztonsági hatósággal való egyeztetést követően – mérlegeli az elektronikus információs rendszer használata felfüggesztésének szükségességét.</t>
  </si>
  <si>
    <t xml:space="preserve">VHR-S0572</t>
  </si>
  <si>
    <t xml:space="preserve">(3) A sérülékenységvizsgálat során alkalmazott módszertan szerint alacsony besorolásúnak minősülő sérülékenységek indokolási kötelezettség nélkül felvállalhatók.</t>
  </si>
  <si>
    <t xml:space="preserve">VHR-S0573</t>
  </si>
  <si>
    <t xml:space="preserve">63. § (4)</t>
  </si>
  <si>
    <t xml:space="preserve">(4) Az érintett szervezet az állásfoglalás kézhezvételét követő 30 napon belül sérülékenységkezelési tervet készít és megküldi a nemzeti kiberbiztonsági hatóság részére, amely továbbítja a sérülékenységvizsgálat végzésére jogosult állami szerv részére.</t>
  </si>
  <si>
    <t xml:space="preserve">VHR-S0574</t>
  </si>
  <si>
    <t xml:space="preserve">63. § (5)</t>
  </si>
  <si>
    <t xml:space="preserve">(5) A sérülékenységkezelési terv tartalmazza a sérülékenységvizsgálat során feltárt sérülékenységet, a sérülékenységkezelési intézkedéseket és feladatokat, a feladatok teljesítésének mérföldköveit, a kapcsolódó végrehajtási határidőket, a javítás technikai részleteit és azok rendszerre gyakorolt hatását, valamint az ehhez szükséges erőforrásokat.</t>
  </si>
  <si>
    <t xml:space="preserve">VHR-S0575</t>
  </si>
  <si>
    <t xml:space="preserve">VHR-S0576</t>
  </si>
  <si>
    <t xml:space="preserve">64. § (1) Ha a sérülékenységvizsgálatot végző szerv az állásfoglalásban javaslatot tesz utóvizsgálat lefolytatására, a sérülékenységek megszüntetésére vonatkozó sérülékenységkezelési tervre irányuló döntésében a nemzeti kiberbiztonsági hatóság nyilatkozik, kötelezi-e utóvizsgálat elvégzésére a szervezetet.</t>
  </si>
  <si>
    <t xml:space="preserve">VHR-S0577</t>
  </si>
  <si>
    <t xml:space="preserve">(2) Ha az állásfoglalás kritikus vagy magas besorolású sérülékenységet állapít meg, utóvizsgálat lefolytatása kötelező.</t>
  </si>
  <si>
    <t xml:space="preserve">VHR-S0578</t>
  </si>
  <si>
    <t xml:space="preserve">(3) Kötelezően elvégzendő utóvizsgálat esetén a szervezet a nemzeti kiberbiztonsági hatóság által jóváhagyott sérülékenységkezelési tervben szereplő, utolsóként teljesítendő határidő leteltét követően kezdeményezi az utóvizsgálatot.</t>
  </si>
  <si>
    <t xml:space="preserve">VHR-S0579</t>
  </si>
  <si>
    <t xml:space="preserve">(4) A szervezet az utóvizsgálatot saját maga is kezdeményezheti, ez esetben a kezdeményezéssel egyidejűleg – amennyiben erre még a kezdeményezést megelőzően nem került sor – megküldi a sérülékenységkezelési tervet a nemzeti kiberbiztonsági hatóság részére.</t>
  </si>
  <si>
    <t xml:space="preserve">VHR-S0580</t>
  </si>
  <si>
    <t xml:space="preserve">(5) Utóvizsgálat lefolytatására a sérülékenységkezelési terv kiberbiztonsági hatóság általi jóváhagyását követően vagy indokolt esetben a nemzeti kiberbiztonsági hatóság engedélyét követően kerülhet sor.</t>
  </si>
  <si>
    <t xml:space="preserve">VHR-S0581</t>
  </si>
  <si>
    <t xml:space="preserve">(6) Az utóvizsgálatról az utóvizsgálatot végző szerv utóvizsgálati állásfoglalást készít, amelyről tájékoztatja az érintett szervezetet és a nemzeti kiberbiztonsági hatóságot.</t>
  </si>
  <si>
    <t xml:space="preserve">VHR-S0582</t>
  </si>
  <si>
    <t xml:space="preserve">(7) Az utóvizsgálatra a sérülékenységvizsgálatra vonatkozó általános rendelkezések az irányadók.</t>
  </si>
  <si>
    <t xml:space="preserve">VHR-S0583</t>
  </si>
  <si>
    <t xml:space="preserve">64. § (8)</t>
  </si>
  <si>
    <t xml:space="preserve">(8) A honvédelmi célú elektronikus információs rendszerek vonatkozásában lefolytatott utóvizsgálati állásfoglalást az érintett szervezet a szakmai irányítását ellátó szervvel vagy a tulajdonosi joggyakorlóval is megosztja.</t>
  </si>
  <si>
    <t xml:space="preserve">VHR-S0584</t>
  </si>
  <si>
    <t xml:space="preserve">VHR-S0585</t>
  </si>
  <si>
    <t xml:space="preserve">VHR-S0586</t>
  </si>
  <si>
    <t xml:space="preserve">VHR-S0587</t>
  </si>
  <si>
    <t xml:space="preserve">65. § (1) A Kormány a Kiberbiztonsági tv. 63. § (1) bekezdése szerinti nemzeti kiberbiztonsági incidenskezelő központként a Nemzetbiztonsági Szakszolgálatot jelöli ki.</t>
  </si>
  <si>
    <t xml:space="preserve">VHR-S0588</t>
  </si>
  <si>
    <t xml:space="preserve">(2) A Kormány a Kiberbiztonsági tv. 63. § (2) bekezdése szerinti honvédelmi kiberbiztonsági incidenskezelő központként a Katonai Nemzetbiztonsági Szolgálatot jelöli ki. A Katonai Nemzetbiztonsági Szolgálat a kiberbiztonsági incidensek és fenyegetések kezelését a szakmai irányítása és koordinálása alatt álló, szakfeladat szerint elkülönülő – a honvédelemért felelős miniszter irányítása, vezetése alatt álló szervnél, szervezetnél működő – incidenskezelő központokkal együtt látja el.</t>
  </si>
  <si>
    <t xml:space="preserve">VHR-S0589</t>
  </si>
  <si>
    <t xml:space="preserve">66. § (1) Ágazaton belüli kiberbiztonsági incidenskezelő központként működhet az a szervezet, amely a Központ vagy más független szervezet vizsgálata és a Központ jóváhagyása alapján megfelel a Központ által meghatározott nemzetközi vagy európai uniós szabványokon alapuló feltételeknek.</t>
  </si>
  <si>
    <t xml:space="preserve">VHR-S0590</t>
  </si>
  <si>
    <t xml:space="preserve">(2) A vizsgálat alapján az ágazaton belüli kiberbiztonsági incidenskezelő központ, valamint a Központ együttműködési megállapodást köt, amelyben rögzítésre kerülnek az ágazaton belüli kiberbiztonsági incidenskezelő központ incidenskezelést érintő képességei, valamint a két szervezet közötti feladatelhatárolás és együttműködés szabályai.</t>
  </si>
  <si>
    <t xml:space="preserve">VHR-S0591</t>
  </si>
  <si>
    <t xml:space="preserve">(3) Az ágazaton belüli kiberbiztonsági incidenskezelő központot a Központtal kötött együttműködési megállapodásban meghatározott feladatai ellátása során – jogszabály vagy az együttműködési megállapodás eltérő rendelkezése hiányában – az adott feladat vonatkozásában a Központot megillető jogosultságok illetik meg.</t>
  </si>
  <si>
    <t xml:space="preserve">VHR-S0592</t>
  </si>
  <si>
    <t xml:space="preserve">67. § (1) A Központ ellátja a következő feladatokat:</t>
  </si>
  <si>
    <t xml:space="preserve">VHR-S0593</t>
  </si>
  <si>
    <t xml:space="preserve">67. § (1) 1.</t>
  </si>
  <si>
    <t xml:space="preserve">1. a kiberteret érintő fenyegetésekkel és a kiberbiztonsági incidensek megelőzésével kapcsolatos feladatkörében:</t>
  </si>
  <si>
    <t xml:space="preserve">VHR-S0594</t>
  </si>
  <si>
    <t xml:space="preserve">67. § (1) 1. a)</t>
  </si>
  <si>
    <t xml:space="preserve">a) folyamatos adatgyűjtés mellett végzi a magyar kibertér rendszeres biztonsági helyzetértékelését, továbbá egységes módszertan szerint dinamikus kockázat- és eseményelemzést készít,</t>
  </si>
  <si>
    <t xml:space="preserve">VHR-S0595</t>
  </si>
  <si>
    <t xml:space="preserve">67. § (1) 1. b)</t>
  </si>
  <si>
    <t xml:space="preserve">b) nyomon követi és elemzi a kiberfenyegetéseket, sérülékenységeket, kockázatokat és kiberbiztonsági incidenseket,</t>
  </si>
  <si>
    <t xml:space="preserve">VHR-S0596</t>
  </si>
  <si>
    <t xml:space="preserve">67. § (1) 1. c)</t>
  </si>
  <si>
    <t xml:space="preserve">c) fogadja a kiberfenyegetettségekre és a kiberbiztonsági incidensekre vonatkozó hazai és nemzetközi bejelentéseket, feldolgozza a saját és a rendelkezésre álló egyéb forrásokból érkező fenyegetettségre és kiberbiztonsági incidensekre vonatkozó adatokat és értesíti az ügyfélkörébe tartozó érintetteket vagy értesíti és átadja az adatokat a hatáskörrel rendelkező incidenskezelő központnak,</t>
  </si>
  <si>
    <t xml:space="preserve">VHR-S0597</t>
  </si>
  <si>
    <t xml:space="preserve">67. § (1) 1. d)</t>
  </si>
  <si>
    <t xml:space="preserve">d) folyamatosan működteti a kiberbiztonsággal kapcsolatos szolgáltatásait,</t>
  </si>
  <si>
    <t xml:space="preserve">VHR-S0598</t>
  </si>
  <si>
    <t xml:space="preserve">67. § (1) 1. e)</t>
  </si>
  <si>
    <t xml:space="preserve">e) végzi a kormányrendelet szerinti korai figyelmeztető rendszer működtetését,</t>
  </si>
  <si>
    <t xml:space="preserve">VHR-S0599</t>
  </si>
  <si>
    <t xml:space="preserve">67. § (1) 1. f)</t>
  </si>
  <si>
    <t xml:space="preserve">f) végzi az elosztott kormányzati csapdarendszer működtetését,</t>
  </si>
  <si>
    <t xml:space="preserve">VHR-S0600</t>
  </si>
  <si>
    <t xml:space="preserve">67. § (1) 1. g)</t>
  </si>
  <si>
    <t xml:space="preserve">g) azonnali figyelmeztetéseket tesz közzé a kritikus hálózatbiztonsági fenyegetettségekről, gondoskodik ezek magyar nyelvű megjelenítéséről,</t>
  </si>
  <si>
    <t xml:space="preserve">VHR-S0601</t>
  </si>
  <si>
    <t xml:space="preserve">67. § (1) 1. h)</t>
  </si>
  <si>
    <t xml:space="preserve">h) információkat cserélhetnek az alapvető és fontos szervezetekkel, valamint azok ágazati vagy ágazatközi csoportjaival;</t>
  </si>
  <si>
    <t xml:space="preserve">VHR-S0602</t>
  </si>
  <si>
    <t xml:space="preserve">67. § (1) 2.</t>
  </si>
  <si>
    <t xml:space="preserve">2. a kiberbiztonsági incidenskezeléshez kapcsolódó feladatkörében:</t>
  </si>
  <si>
    <t xml:space="preserve">VHR-S0603</t>
  </si>
  <si>
    <t xml:space="preserve">67. § (1) 2. a)</t>
  </si>
  <si>
    <t xml:space="preserve">a) fogadja, kezeli és koordinálja az elektronikus információs rendszereket érintő kiberbiztonsági incidensekre, fenyegetésekre, kiberbiztonsági incidens közeli helyzetekre vonatkozó bejelentéseket, tájékoztatásokat, riasztásokat,</t>
  </si>
  <si>
    <t xml:space="preserve">VHR-S0604</t>
  </si>
  <si>
    <t xml:space="preserve">67. § (1) 2. b)</t>
  </si>
  <si>
    <t xml:space="preserve">b) fogadja és kezeli a magyar kiberteret érintő nemzetközi bejelentéseket,</t>
  </si>
  <si>
    <t xml:space="preserve">VHR-S0605</t>
  </si>
  <si>
    <t xml:space="preserve">67. § (1) 2. c)</t>
  </si>
  <si>
    <t xml:space="preserve">c) végzi a kiberbiztonsági incidensek nemzeti szintű nyomon követését,</t>
  </si>
  <si>
    <t xml:space="preserve">VHR-S0606</t>
  </si>
  <si>
    <t xml:space="preserve">67. § (1) 2. d)</t>
  </si>
  <si>
    <t xml:space="preserve">d) figyelemfelhívást, riasztást ad, figyelmeztetést ad ki, információt nyújt az érdekeltek számára kockázatokkal és a kiberbiztonsági incidensekkel kapcsolatosan,</t>
  </si>
  <si>
    <t xml:space="preserve">VHR-S0607</t>
  </si>
  <si>
    <t xml:space="preserve">67. § (1) 2. e)</t>
  </si>
  <si>
    <t xml:space="preserve">e) figyelmeztetést adhat ki a felhasználók, a kiberbiztonsági incidenskezelő központok, a hatóságok, az elektronikus információs rendszerek biztonsági felügyeletét ellátó hatóságok, az egyedüli kapcsolattartó pont felé,</t>
  </si>
  <si>
    <t xml:space="preserve">VHR-S0608</t>
  </si>
  <si>
    <t xml:space="preserve">67. § (1) 2. f)</t>
  </si>
  <si>
    <t xml:space="preserve">f) kapcsolatot tart a szervezetekkel, szolgáltatókkal a bejelentett kiberbiztonsági incidensek kezelése érdekében, valamint megteszi és koordinálja az azok kezeléséhez szükséges intézkedéseket,</t>
  </si>
  <si>
    <t xml:space="preserve">VHR-S0609</t>
  </si>
  <si>
    <t xml:space="preserve">67. § (1) 2. g)</t>
  </si>
  <si>
    <t xml:space="preserve">g) haladéktalanul értesíti a tudomására jutott kiberbiztonsági incidensekről az érintetteket, valamint az illetékes hatóságot,</t>
  </si>
  <si>
    <t xml:space="preserve">VHR-S0610</t>
  </si>
  <si>
    <t xml:space="preserve">67. § (1) 2. h)</t>
  </si>
  <si>
    <t xml:space="preserve">h) segítséget nyújt az érintett szervezetek számára a kiberbiztonsági incidensek kezelése során,</t>
  </si>
  <si>
    <t xml:space="preserve">VHR-S0611</t>
  </si>
  <si>
    <t xml:space="preserve">67. § (1) 2. i)</t>
  </si>
  <si>
    <t xml:space="preserve">i) nyilvántartja a hozzá beérkezett bejelentéseket, a megtett intézkedéseket és azok eredményét,</t>
  </si>
  <si>
    <t xml:space="preserve">VHR-S0612</t>
  </si>
  <si>
    <t xml:space="preserve">67. § (1) 2. j)</t>
  </si>
  <si>
    <t xml:space="preserve">j) kivizsgálja, illetve támogatja a kiberbiztonsági incidensek, fenyegetések, kiberbiztonsági incidens közeli helyzetek kivizsgálását,</t>
  </si>
  <si>
    <t xml:space="preserve">VHR-S0613</t>
  </si>
  <si>
    <t xml:space="preserve">67. § (1) 2. k)</t>
  </si>
  <si>
    <t xml:space="preserve">k) meghatározza a kiberbiztonsági incidensek és kockázatok kezelésére vonatkozó eljárásokat, valamint a kiberbiztonsági incidensek, kockázatok és információk osztályozására szolgáló eljárásokat és szabályokat,</t>
  </si>
  <si>
    <t xml:space="preserve">VHR-S0614</t>
  </si>
  <si>
    <t xml:space="preserve">67. § (1) 2. l)</t>
  </si>
  <si>
    <t xml:space="preserve">l) jóváhagyja az ágazaton belüli incidenskezelő központ működését és működési rendjét,</t>
  </si>
  <si>
    <t xml:space="preserve">VHR-S0615</t>
  </si>
  <si>
    <t xml:space="preserve">67. § (1) 2. m)</t>
  </si>
  <si>
    <t xml:space="preserve">m) biztosítja a folyamatos rendelkezésre állást;</t>
  </si>
  <si>
    <t xml:space="preserve">VHR-S0616</t>
  </si>
  <si>
    <t xml:space="preserve">67. § (1) 3.</t>
  </si>
  <si>
    <t xml:space="preserve">3. kiberbiztonsági válsághelyzetek kezelését érintő feladatkörében:</t>
  </si>
  <si>
    <t xml:space="preserve">VHR-S0617</t>
  </si>
  <si>
    <t xml:space="preserve">67. § (1) 3. a)</t>
  </si>
  <si>
    <t xml:space="preserve">a) ellátja – ha jogszabály eltérően nem rendelkezik – a kiberbiztonsági válsághelyzetek kezelése során az elektronikus információs rendszerek kiberbiztonságával és helyreállításával kapcsolatos feladatok koordinációját,</t>
  </si>
  <si>
    <t xml:space="preserve">VHR-S0618</t>
  </si>
  <si>
    <t xml:space="preserve">67. § (1) 3. b)</t>
  </si>
  <si>
    <t xml:space="preserve">b) a 106. §-ban meghatározottak szerint képviseli Magyarországot az Európai Kiberválságügyi Kapcsolattartó Szervezetek Hálózatában (a továbbiakban: EU–CyCLONe) szervezetben,</t>
  </si>
  <si>
    <t xml:space="preserve">VHR-S0619</t>
  </si>
  <si>
    <t xml:space="preserve">67. § (1) 3. c)</t>
  </si>
  <si>
    <t xml:space="preserve">c) részt vesz Magyarország Kiberválságkezelési Tervének kidolgozásában,</t>
  </si>
  <si>
    <t xml:space="preserve">VHR-S0620</t>
  </si>
  <si>
    <t xml:space="preserve">67. § (1) 3. d)</t>
  </si>
  <si>
    <t xml:space="preserve">d) részt vesz az EU politikai szintű integrált válságelhárítási mechanizmus (a továbbiakban: IPCR) rendszerben;</t>
  </si>
  <si>
    <t xml:space="preserve">VHR-S0621</t>
  </si>
  <si>
    <t xml:space="preserve">67. § (1) 3. e)</t>
  </si>
  <si>
    <t xml:space="preserve">e) a kiberbiztonsági válsághelyzet hatékony kezelése érdekében folyamatos kapcsolatot tart a nemzeti eseménykezelő központtal;</t>
  </si>
  <si>
    <t xml:space="preserve">VHR-S0622</t>
  </si>
  <si>
    <t xml:space="preserve">67. § (1) 4.</t>
  </si>
  <si>
    <t xml:space="preserve">4. a sérülékenységeket, sebezhetőségeket érintő feladatkörében:</t>
  </si>
  <si>
    <t xml:space="preserve">VHR-S0623</t>
  </si>
  <si>
    <t xml:space="preserve">67. § (1) 4. a)</t>
  </si>
  <si>
    <t xml:space="preserve">a) fogadja és koordinálja az elektronikus információs rendszereket érintő sérülékenységekkel, IKT-terméket érintő sebezhetőségekkel kapcsolatos bejelentéseket, tájékoztatásokat, korai előrejelzéseket, riasztásokat és tájékoztatást nyújt az érdekeltek számára,</t>
  </si>
  <si>
    <t xml:space="preserve">VHR-S0624</t>
  </si>
  <si>
    <t xml:space="preserve">67. § (1) 4. b)</t>
  </si>
  <si>
    <t xml:space="preserve">b) honlapján közzéteszi a nemzetközileg publikált sérülékenységeket,</t>
  </si>
  <si>
    <t xml:space="preserve">VHR-S0625</t>
  </si>
  <si>
    <t xml:space="preserve">67. § (1) 4. c)</t>
  </si>
  <si>
    <t xml:space="preserve">c) ellátja az európai uniós jogi aktusban meghatározott koordinátor CSIRT-feladatokat,</t>
  </si>
  <si>
    <t xml:space="preserve">VHR-S0626</t>
  </si>
  <si>
    <t xml:space="preserve">67. § (1) 4. d)</t>
  </si>
  <si>
    <t xml:space="preserve">d) tájékoztatja az érdekelteket a sérülékenységekkel kapcsolatos információkról,</t>
  </si>
  <si>
    <t xml:space="preserve">VHR-S0627</t>
  </si>
  <si>
    <t xml:space="preserve">67. § (1) 4. e)</t>
  </si>
  <si>
    <t xml:space="preserve">e) nyilvántartja a bejelentett sérülékenységeket, azokról szükség szerint tájékoztatja az ENISA-t,</t>
  </si>
  <si>
    <t xml:space="preserve">VHR-S0628</t>
  </si>
  <si>
    <t xml:space="preserve">67. § (1) 4. f)</t>
  </si>
  <si>
    <t xml:space="preserve">f) részt vesz az (EU) 2019/881 európai parlamenti és tanácsi rendelet szerinti sebezhetőséggel kapcsolatos feladatok végrehajtásában,</t>
  </si>
  <si>
    <t xml:space="preserve">VHR-S0629</t>
  </si>
  <si>
    <t xml:space="preserve">67. § (1) 4. g)</t>
  </si>
  <si>
    <t xml:space="preserve">g) ellátja az (EU) 2024/2847 európai parlamenti és tanácsi rendelet 14. cikke szerinti koordinátor CSIRT feladatokat;</t>
  </si>
  <si>
    <t xml:space="preserve">VHR-S0630</t>
  </si>
  <si>
    <t xml:space="preserve">67. § (1) 5.</t>
  </si>
  <si>
    <t xml:space="preserve">5. tájékoztatási, tudatosító tevékenysége keretében:</t>
  </si>
  <si>
    <t xml:space="preserve">VHR-S0631</t>
  </si>
  <si>
    <t xml:space="preserve">67. § (1) 5. a)</t>
  </si>
  <si>
    <t xml:space="preserve">a) elemzéseket, jelentéseket készít a hazai és nemzetközi információbiztonsági irányokról,</t>
  </si>
  <si>
    <t xml:space="preserve">VHR-S0632</t>
  </si>
  <si>
    <t xml:space="preserve">67. § (1) 5. b)</t>
  </si>
  <si>
    <t xml:space="preserve">b) évente jelentést készít a tevékenységéről az informatikáért felelős miniszter, valamint kivonatolt formában a nyilvánosság részére,</t>
  </si>
  <si>
    <t xml:space="preserve">VHR-S0633</t>
  </si>
  <si>
    <t xml:space="preserve">67. § (1) 5. c)</t>
  </si>
  <si>
    <t xml:space="preserve">c) a biztonságtudatos felhasználói magatartás elősegítése céljából oktatási anyagokat dolgoz ki és tréningeket tart, továbbá mind a hatáskörébe tartozó szervezetek, mind az állampolgárok részére felvilágosító, szemléletformáló kampányokat szervez,</t>
  </si>
  <si>
    <t xml:space="preserve">VHR-S0634</t>
  </si>
  <si>
    <t xml:space="preserve">67. § (1) 5. d)</t>
  </si>
  <si>
    <t xml:space="preserve">d) részt vesz hazai és nemzetközi információbiztonsági és kibervédelmi gyakorlatokon, valamint ilyen gyakorlatokat tervezhet, szervezhet, és kötelezheti a szervezetet a gyakorlaton való részvételre,</t>
  </si>
  <si>
    <t xml:space="preserve">VHR-S0635</t>
  </si>
  <si>
    <t xml:space="preserve">67. § (1) 5. e)</t>
  </si>
  <si>
    <t xml:space="preserve">e) az elektronikus információs rendszereket veszélyeztető sérülékenységekkel és fenyegető kockázatokkal összefüggésben tájékoztatja az elektronikus információs rendszerek biztonságáért felelős személyeket, az illetékes hatóságokat és a kiberbiztonsági incidenskezelő központokat,</t>
  </si>
  <si>
    <t xml:space="preserve">VHR-S0636</t>
  </si>
  <si>
    <t xml:space="preserve">67. § (1) 5. f)</t>
  </si>
  <si>
    <t xml:space="preserve">f) rendszeres tájékoztatást nyújt a honlapján a sérülékenységekről és fenyegetésekről, valamint a javasolt biztonsági intézkedésekről,</t>
  </si>
  <si>
    <t xml:space="preserve">VHR-S0637</t>
  </si>
  <si>
    <t xml:space="preserve">67. § (1) 5. g)</t>
  </si>
  <si>
    <t xml:space="preserve">g) részt vesz az információbiztonság tudatosításáért felelős intézmények tudatosítási programjában, szakértői-oktatói tevékenységet végezhet;</t>
  </si>
  <si>
    <t xml:space="preserve">VHR-S0638</t>
  </si>
  <si>
    <t xml:space="preserve">67. § (1) 6.</t>
  </si>
  <si>
    <t xml:space="preserve">6. az európai uniós és nemzetközi együttműködés keretében:</t>
  </si>
  <si>
    <t xml:space="preserve">VHR-S0639</t>
  </si>
  <si>
    <t xml:space="preserve">67. § (1) 6. a)</t>
  </si>
  <si>
    <t xml:space="preserve">a) fogadja és kezeli a magyar kiberteret érintő nemzetközi bejelentéseket,</t>
  </si>
  <si>
    <t xml:space="preserve">VHR-S0640</t>
  </si>
  <si>
    <t xml:space="preserve">67. § (1) 6. b)</t>
  </si>
  <si>
    <t xml:space="preserve">b) képviseli Magyarországot a nemzetközi incidenskezelési együttműködésben,</t>
  </si>
  <si>
    <t xml:space="preserve">VHR-S0641</t>
  </si>
  <si>
    <t xml:space="preserve">67. § (1) 6. c)</t>
  </si>
  <si>
    <t xml:space="preserve">c) részt vesz a CSIRT-hálózat tevékenységében,</t>
  </si>
  <si>
    <t xml:space="preserve">VHR-S0642</t>
  </si>
  <si>
    <t xml:space="preserve">67. § (1) 6. d)</t>
  </si>
  <si>
    <t xml:space="preserve">d) kapacitásaiknak és hatásköreiknek megfelelően segítséget nyújt az (EU) 2022/2555 európai parlamenti és tanácsi irányelv 11. cikk (3) bekezdés f) pontja szerinti kölcsönös segítségnyújtás keretében a CSIRT-hálózat többi tagjának azok kérésére,</t>
  </si>
  <si>
    <t xml:space="preserve">VHR-S0643</t>
  </si>
  <si>
    <t xml:space="preserve">67. § (1) 6. e)</t>
  </si>
  <si>
    <t xml:space="preserve">e) együttműködik harmadik országok nemzeti, számítógép-biztonsági incidensekre reagáló csoportjaival vagy azokkal egyenértékű harmadik országbeli szervekkel,</t>
  </si>
  <si>
    <t xml:space="preserve">VHR-S0644</t>
  </si>
  <si>
    <t xml:space="preserve">67. § (1) 6. f)</t>
  </si>
  <si>
    <t xml:space="preserve">f) kapacitásainak és hatáskörének megfelelően részt vesz a CSIRT-hálózat többi tagja részére nyújtandó kölcsönös segítségnyújtásban, azok kérése esetén,</t>
  </si>
  <si>
    <t xml:space="preserve">VHR-S0645</t>
  </si>
  <si>
    <t xml:space="preserve">67. § (1) 6. g)</t>
  </si>
  <si>
    <t xml:space="preserve">g) csereprogramot működtet más uniós tagállamok CSIRT-tisztviselőinek bevonásával,</t>
  </si>
  <si>
    <t xml:space="preserve">VHR-S0646</t>
  </si>
  <si>
    <t xml:space="preserve">67. § (1) 6. h)</t>
  </si>
  <si>
    <t xml:space="preserve">h) részt vesz az (EU) 2022/2555 európai parlamenti és tanácsi irányelv 19. cikke szerinti szakértői értékelésben, és szakértői értékelést kezdeményezhet,</t>
  </si>
  <si>
    <t xml:space="preserve">VHR-S0647</t>
  </si>
  <si>
    <t xml:space="preserve">67. § (1) 6. i)</t>
  </si>
  <si>
    <t xml:space="preserve">i) csatlakozhat a kibervédelemmel kapcsolatos európai uniós és nemzetközi együttműködésekhez, együttműködési megállapodásokat köthet,</t>
  </si>
  <si>
    <t xml:space="preserve">VHR-S0648</t>
  </si>
  <si>
    <t xml:space="preserve">67. § (1) 6. j)</t>
  </si>
  <si>
    <t xml:space="preserve">j) az (EU) 2025/38 európai parlamenti és tanácsi rendelet 4. cikke szerinti nemzeti kiberközpontként jár el;</t>
  </si>
  <si>
    <t xml:space="preserve">VHR-S0649</t>
  </si>
  <si>
    <t xml:space="preserve">67. § (1) 7.</t>
  </si>
  <si>
    <t xml:space="preserve">7. további feladatkörében:</t>
  </si>
  <si>
    <t xml:space="preserve">VHR-S0650</t>
  </si>
  <si>
    <t xml:space="preserve">67. § (1) 7. a)</t>
  </si>
  <si>
    <t xml:space="preserve">a) a magyar kiberbiztonsági helyzetkép készítése céljából – a szervezetek szolgáltatásainak működését nem sértő módon – elvégzi a nyílt internet irányából elérhető elektronikus információs rendszerek proaktív, behatolásmentes átvizsgálását sérülékenységek vagy nem biztonságosan konfigurált elektronikus információs rendszerek felderítése céljából,</t>
  </si>
  <si>
    <t xml:space="preserve">VHR-S0651</t>
  </si>
  <si>
    <t xml:space="preserve">67. § (1) 7. b)</t>
  </si>
  <si>
    <t xml:space="preserve">b) az a) pont szerinti tevékenységet a szervezet kérésére is elvégezheti a szervezet elektronikus információs rendszerei vonatkozásában,</t>
  </si>
  <si>
    <t xml:space="preserve">VHR-S0652</t>
  </si>
  <si>
    <t xml:space="preserve">67. § (1) 7. c)</t>
  </si>
  <si>
    <t xml:space="preserve">c) meghatározza a kiberbiztonsági incidensek és kockázatok kezelésére vonatkozó eljárásokat, valamint a kiberbiztonsági incidensek, kockázatok és információk osztályozására szolgáló eljárásokat és szabályokat; ennek során együttműködik az érintett szervezetekkel,</t>
  </si>
  <si>
    <t xml:space="preserve">VHR-S0653</t>
  </si>
  <si>
    <t xml:space="preserve">67. § (1) 7. d)</t>
  </si>
  <si>
    <t xml:space="preserve">d) kormányzati információtechnológiai és kiberbiztonsági incidenskezelési együttműködési fórumot működtethet,</t>
  </si>
  <si>
    <t xml:space="preserve">VHR-S0654</t>
  </si>
  <si>
    <t xml:space="preserve">67. § (1) 7. e)</t>
  </si>
  <si>
    <t xml:space="preserve">e) részt vesz az kiberbiztonságra vonatkozó stratégiák és szabályozások előkészítésében,</t>
  </si>
  <si>
    <t xml:space="preserve">VHR-S0655</t>
  </si>
  <si>
    <t xml:space="preserve">67. § (1) 7. f)</t>
  </si>
  <si>
    <t xml:space="preserve">f) előírhatja közös vagy szabványosított gyakorlatok, osztályozási rendszerek és rendszertanok elfogadását és alkalmazását, kötelező és nem kötelező érvényű állásfoglalásokat, ajánlásokat adhat ki a kiberbiztonsági incidensek megelőzésére és kezelésre vonatkozó eljárások, a kiberbiztonsági válsághelyzet kezelése, valamint a sérülékenységeknek összehangolt közzététele tekintetében.</t>
  </si>
  <si>
    <t xml:space="preserve">VHR-S0656</t>
  </si>
  <si>
    <t xml:space="preserve">(2) A Központ a kiberbiztonsági incidensek és fenyegetések kezelése céljából együttműködik</t>
  </si>
  <si>
    <t xml:space="preserve">VHR-S0657</t>
  </si>
  <si>
    <t xml:space="preserve">67. § (2) a)</t>
  </si>
  <si>
    <t xml:space="preserve">a) a kiberbiztonsági hatóságokkal,</t>
  </si>
  <si>
    <t xml:space="preserve">VHR-S0658</t>
  </si>
  <si>
    <t xml:space="preserve">67. § (2) b)</t>
  </si>
  <si>
    <t xml:space="preserve">b) a honvédelmi kiberbiztonsági incidenskezelő központtal,</t>
  </si>
  <si>
    <t xml:space="preserve">VHR-S0659</t>
  </si>
  <si>
    <t xml:space="preserve">67. § (2) c)</t>
  </si>
  <si>
    <t xml:space="preserve">c) az ágazaton belüli kiberbiztonsági incidenskezelő központokkal,</t>
  </si>
  <si>
    <t xml:space="preserve">VHR-S0660</t>
  </si>
  <si>
    <t xml:space="preserve">67. § (2) d)</t>
  </si>
  <si>
    <t xml:space="preserve">d) az alapvető és fontos szervezetekkel, valamint azok ágazati vagy ágazatközi csoportjaival,</t>
  </si>
  <si>
    <t xml:space="preserve">VHR-S0661</t>
  </si>
  <si>
    <t xml:space="preserve">67. § (2) e)</t>
  </si>
  <si>
    <t xml:space="preserve">e) a kiberbiztonsági incidensek kezelése tekintetében érintett szervezetekkel,</t>
  </si>
  <si>
    <t xml:space="preserve">VHR-S0662</t>
  </si>
  <si>
    <t xml:space="preserve">67. § (2) f)</t>
  </si>
  <si>
    <t xml:space="preserve">VHR-S0663</t>
  </si>
  <si>
    <t xml:space="preserve">67. § (2) g)</t>
  </si>
  <si>
    <t xml:space="preserve">VHR-S0664</t>
  </si>
  <si>
    <t xml:space="preserve">67. § (2) h)</t>
  </si>
  <si>
    <t xml:space="preserve">h) a Nemzeti Média- és Hírközlési Hatósággal és az általa működtetett Országos Informatikai és Hírközlési Főügyelettel,</t>
  </si>
  <si>
    <t xml:space="preserve">VHR-S0665</t>
  </si>
  <si>
    <t xml:space="preserve">67. § (2) i)</t>
  </si>
  <si>
    <t xml:space="preserve">i) az elektronikus hírközlési szolgáltatókkal, a központosított informatikai és elektronikus hírközlési szolgáltatókkal,</t>
  </si>
  <si>
    <t xml:space="preserve">VHR-S0666</t>
  </si>
  <si>
    <t xml:space="preserve">67. § (2) j)</t>
  </si>
  <si>
    <t xml:space="preserve">j) a Kszetv. szerinti kritikus szervezetekkel, hatóságokkal, továbbá a Vbö. szerinti, az ország védelme és biztonsága szempontjából jelentős szervezetekkel, hatóságokkal,</t>
  </si>
  <si>
    <t xml:space="preserve">VHR-S0667</t>
  </si>
  <si>
    <t xml:space="preserve">67. § (2) k)</t>
  </si>
  <si>
    <t xml:space="preserve">k) a Nemzeti Adatvédelmi és Információszabadság Hatósággal, valamint</t>
  </si>
  <si>
    <t xml:space="preserve">VHR-S0668</t>
  </si>
  <si>
    <t xml:space="preserve">67. § (2) l)</t>
  </si>
  <si>
    <t xml:space="preserve">l) a katonai kibertér műveleti erőkkel.</t>
  </si>
  <si>
    <t xml:space="preserve">VHR-S0669</t>
  </si>
  <si>
    <t xml:space="preserve">(3) A Központ erőforrásai függvényében kockázatalapú megközelítés alapján rangsorolhatja a feladatai végrehajtását.</t>
  </si>
  <si>
    <t xml:space="preserve">VHR-S0670</t>
  </si>
  <si>
    <t xml:space="preserve">68. § (1) A honvédelmi kiberbiztonsági incidenskezelő központ a hatáskörébe tartozó elektronikus információs rendszerek tekintetében – a 67. § (1) bekezdés 1. pont f) alpontja, 67. § (1) bekezdés 2. pont l) alpontja, 67. § (1) bekezdés 3. pont a) alpontja, 67. § (1) bekezdés 4. pont b), c), f) és g) alpontja, 67. § (1) bekezdés 5. pont f) alpontja és 67. § (1) bekezdés 6. pont a)–j) alpontja kivételével – ellátja a 67. § szerinti feladatokat.</t>
  </si>
  <si>
    <t xml:space="preserve">VHR-S0671</t>
  </si>
  <si>
    <t xml:space="preserve">(2) A honvédelmi kiberbiztonsági incidenskezelő központ a 67. § (1) bekezdés 5. pont b) alpontja szerinti jelentést a honvédelemért felelős miniszternek küldi meg.</t>
  </si>
  <si>
    <t xml:space="preserve">VHR-S0672</t>
  </si>
  <si>
    <t xml:space="preserve">68. § (3)</t>
  </si>
  <si>
    <t xml:space="preserve">(3) A honvédelmi kiberbiztonsági incidenskezelő központ a hatáskörébe tartozó elektronikus információs rendszerek tekintetében nyilvántartást vezet a hatáskörébe tartozó szervekkel való kapcsolattartáshoz szükséges elérhetőségekről.</t>
  </si>
  <si>
    <t xml:space="preserve">VHR-S0673</t>
  </si>
  <si>
    <t xml:space="preserve">68. § (4)</t>
  </si>
  <si>
    <t xml:space="preserve">(4) A honvédelmi kiberbiztonsági incidenskezelő központ a Központ kérésére átadja a Kiberbiztonsági tv. 66. § (5) bekezdése szerint továbbított fenyegetések, kiberbiztonsági incidensközeli helyzetek és kiberbiztonsági incidensek kezelésével és kivizsgálásával kapcsolatos adatokat.</t>
  </si>
  <si>
    <t xml:space="preserve">VHR-S0674</t>
  </si>
  <si>
    <t xml:space="preserve">68. § (5)</t>
  </si>
  <si>
    <t xml:space="preserve">(5) A honvédelmi kiberbiztonsági incidenskezelő központ tevékenységére – az (1) bekezdésben, a 81. §-ban és a 89. §-ban foglaltak kivételével – a Központra vonatkozó rendelkezéseket kell alkalmazni.</t>
  </si>
  <si>
    <t xml:space="preserve">VHR-S0675</t>
  </si>
  <si>
    <t xml:space="preserve">69. § A Központnak meg kell felelnie a következő követelményeknek:</t>
  </si>
  <si>
    <t xml:space="preserve">VHR-S0676</t>
  </si>
  <si>
    <t xml:space="preserve">69. § a)</t>
  </si>
  <si>
    <t xml:space="preserve">a) honlapján közzé kell tennie a Központhoz való bejelentésre alkalmas elérhetőségeket, és biztosítania kell a folyamatos elérhetőséget,</t>
  </si>
  <si>
    <t xml:space="preserve">VHR-S0677</t>
  </si>
  <si>
    <t xml:space="preserve">69. § b)</t>
  </si>
  <si>
    <t xml:space="preserve">b) hivatali helyiségeit és a támogató információs rendszereit biztonságos helyszínen kell elhelyezni,</t>
  </si>
  <si>
    <t xml:space="preserve">VHR-S0678</t>
  </si>
  <si>
    <t xml:space="preserve">69. § c)</t>
  </si>
  <si>
    <t xml:space="preserve">c) megfelelő rendszerrel kell rendelkeznie a bejelentések kezelésére és továbbítására,</t>
  </si>
  <si>
    <t xml:space="preserve">VHR-S0679</t>
  </si>
  <si>
    <t xml:space="preserve">69. § d)</t>
  </si>
  <si>
    <t xml:space="preserve">d) biztosítania kell tevékenysége bizalmas jellegét és megbízhatóságát,</t>
  </si>
  <si>
    <t xml:space="preserve">VHR-S0680</t>
  </si>
  <si>
    <t xml:space="preserve">69. § e)</t>
  </si>
  <si>
    <t xml:space="preserve">e) a feladatellátása megfelelő végrehajtásához elegendő és szakképzett humánerőforrással kell rendelkeznie,</t>
  </si>
  <si>
    <t xml:space="preserve">VHR-S0681</t>
  </si>
  <si>
    <t xml:space="preserve">69. § f)</t>
  </si>
  <si>
    <t xml:space="preserve">f) redundáns rendszerekkel és tartalék munkaterülettel kell rendelkeznie a szolgáltatásai folyamatosságának biztosítása érdekében,</t>
  </si>
  <si>
    <t xml:space="preserve">VHR-S0682</t>
  </si>
  <si>
    <t xml:space="preserve">69. § g)</t>
  </si>
  <si>
    <t xml:space="preserve">g) együttműködési kapcsolatokat alakít ki a magánszektor érintett szereplőivel.</t>
  </si>
  <si>
    <t xml:space="preserve">VHR-S0683</t>
  </si>
  <si>
    <t xml:space="preserve">VHR-S0684</t>
  </si>
  <si>
    <t xml:space="preserve">70. § (1) A Központ a hatáskörébe tartozó elektronikus információs rendszert működtető szervektől és a kiberbiztonsági incidenskezelő központoktól kért és kötelezően átadott információk és adatok alapján, az elektronikus információs rendszereket érintő, kiberbiztonsági incidensre vagy fenyegetésre utaló jeleket elemezi, értékeli. A kiberbiztonsági incidens bekövetkezésének veszélyéről vagy fennállásáról, valamint a javasolt intézkedésekről értesíti az elektronikus információs rendszer felett rendelkezési jogot gyakorló szervezetnek az elektronikus információs rendszer biztonságáért felelős személyét.</t>
  </si>
  <si>
    <t xml:space="preserve">VHR-S0685</t>
  </si>
  <si>
    <t xml:space="preserve">(2) A Központ a központosított informatikai és elektronikus hírközlési szolgáltatótól átvett műszaki adatok és információk folyamatos figyelésével értékelést végezhet, valamint keresheti a hálózatok, illetve szolgáltatások működését érintő kiberbiztonsági incidensre vagy fenyegetésre utaló jeleket.</t>
  </si>
  <si>
    <t xml:space="preserve">VHR-S0686</t>
  </si>
  <si>
    <t xml:space="preserve">(3) A Központ a kiberbiztonsági incidensre vagy fenyegetésre utaló tevékenységeket kivizsgálja, és figyelmeztetést adhat ki a szervezetek, a felhasználók, a kiberbiztonsági incidenskezelő központok, az illetékes hatóságok, valamint az egyedüli kapcsolattartó pont, valamint az érintett szervek felé.</t>
  </si>
  <si>
    <t xml:space="preserve">VHR-S0687</t>
  </si>
  <si>
    <t xml:space="preserve">71. § (1) A Központ által működtetett, fenyegetettségi információkat megosztó rendszer keretében az információgyűjtés kizárólag a szervezet elektronikus rendszereinek nyílt internet irányából elérhető portok és szolgáltatások típusára, és alapvető metaadataira vonatkozhat.</t>
  </si>
  <si>
    <t xml:space="preserve">VHR-S0688</t>
  </si>
  <si>
    <t xml:space="preserve">(2) A Kiberbiztonsági tv. 65. § (6) bekezdése szerinti tevékenységre internetes címenként kizárólag napi egy alkalommal kerülhet sor. A keletkezett adatokat a Központ öt évig őrzi meg.</t>
  </si>
  <si>
    <t xml:space="preserve">VHR-S0689</t>
  </si>
  <si>
    <t xml:space="preserve">72. § (1) A prevenciós célú eszközök alkalmazása és ezirányú szolgáltatások nyújtása (a továbbiakban: prevenciós eszközök) során a Központ kellő gondossággal eljárva köteles az érintett elektronikus információs rendszer által nyújtott szolgáltatásoknak a feltétlenül szükségesnél nem nagyobb mértékű korlátozására, és a prevenciós eszközöknek a szolgáltatás szempontjából nem kritikus időszakban történő alkalmazására.</t>
  </si>
  <si>
    <t xml:space="preserve">VHR-S0690</t>
  </si>
  <si>
    <t xml:space="preserve">(2) Az érintett szervezet köteles a prevenciós eszközök alkalmazásához szükséges adatokat, dokumentumokat, eszközöket és egyéb információkat a Központ rendelkezésére bocsátani, valamint tűrni a prevenciós eszközök alkalmazásából fakadó, az érintett elektronikus információs rendszeren bekövetkezett szolgáltatáscsökkenést, illetve -kiesést.</t>
  </si>
  <si>
    <t xml:space="preserve">VHR-S0691</t>
  </si>
  <si>
    <t xml:space="preserve">VHR-S0692</t>
  </si>
  <si>
    <t xml:space="preserve">73. § (1) Ha valamely európai kiberbiztonsági tanúsítási rendszert kiadó európai uniós jogi aktus tartalmaz az IKT-termék vonatkozásában észlelt kiberbiztonsági sebezhetőségek bejelentésének és kezelésének módjára vonatkozó szabályokat, úgy az abban foglaltak szerint kell eljárni.</t>
  </si>
  <si>
    <t xml:space="preserve">VHR-S0693</t>
  </si>
  <si>
    <t xml:space="preserve">(2) A sebezhetőséget bejelentő személy (a továbbiakban: bejelentő) vagy a felfedezett sebezhetőséggel érintett IKT-termék gyártója vagy szolgáltatója (a továbbiakban együtt: gyártó) az (1) bekezdés szerinti esetben is köteles tájékoztatni a Központot a felfedezett sebezhetőségről és az érintett IKT-termékről, valamint a Központ által kért információkról.</t>
  </si>
  <si>
    <t xml:space="preserve">VHR-S0694</t>
  </si>
  <si>
    <t xml:space="preserve">74. § (1) Európai kiberbiztonsági tanúsítási rendszer hiányában az IKT-termék vonatkozásában a gyártó által a sebezhetőségekre vonatkozó információk harmadik felektől történő fogadására, kezelésére, a bejelentett sebezhetőség kijavítására és összehangolt közzétételére bevezetett eljárásrend az irányadó.</t>
  </si>
  <si>
    <t xml:space="preserve">VHR-S0695</t>
  </si>
  <si>
    <t xml:space="preserve">(2) A bejelentő vagy a felfedezett sebezhetőséggel érintett IKT-termékek gyártója az (1) bekezdés szerinti esetben is köteles tájékoztatni a Központot a felfedezett sebezhetőségről és az érintett IKT-termékről, valamint a Központ által kért információkról.</t>
  </si>
  <si>
    <t xml:space="preserve">VHR-S0696</t>
  </si>
  <si>
    <t xml:space="preserve">75. § (1) A honvédelmi célú elektronikus információs rendszer kivételével az elektronikus információs rendszer felett rendelkezési joggal bíró szervezet, valamint az IKT-termék gyártója, lehetőséget biztosíthat arra, hogy – az általa meghatározott eljárásrend betartásával – bárki felkutathassa az elektronikus információs rendszereinek, rendszerelemeinek sérülékenységére, illetve IKT-terméke sebezhetőségére vonatkozó információkat.</t>
  </si>
  <si>
    <t xml:space="preserve">VHR-S0697</t>
  </si>
  <si>
    <t xml:space="preserve">(2) Az a szervezet vagy gyártó, amely élni kíván az (1) bekezdésben foglalt lehetőséggel, kidolgozza és a honlapján közzéteszi az általa meghatározott elektronikus információs rendszerei, rendszerelem, IKT-termék sebezhetőségeinek felkutatására, a bejelentésének fogadására, a bejelentő és a szervezet egyeztetésére, a feltárt sebezhetőségek kijavítására, megosztására irányuló eljárásrendet és erről tájékoztatja a Központot.</t>
  </si>
  <si>
    <t xml:space="preserve">VHR-S0698</t>
  </si>
  <si>
    <t xml:space="preserve">(3) A szervezet vagy a gyártó – döntésétől függően – a bejelentő részére anyagi ellenszolgáltatást nyújthat.</t>
  </si>
  <si>
    <t xml:space="preserve">VHR-S0699</t>
  </si>
  <si>
    <t xml:space="preserve">(4) A szervezet által kidolgozásra kerülő eljárásrendben meg kell határozni legalább az alábbiakat:</t>
  </si>
  <si>
    <t xml:space="preserve">VHR-S0700</t>
  </si>
  <si>
    <t xml:space="preserve">75. § (4) a)</t>
  </si>
  <si>
    <t xml:space="preserve">a) mely elektronikus információs rendszerek, rendszerelemek, IKT-termék tartoznak a sebezhetőség-feltárási lehetőséggel érintett körbe, illetve milyen technikák használata engedélyezett vagy tiltott,</t>
  </si>
  <si>
    <t xml:space="preserve">VHR-S0701</t>
  </si>
  <si>
    <t xml:space="preserve">75. § (4) b)</t>
  </si>
  <si>
    <t xml:space="preserve">b) a szervezet mely kommunikációs csatornán várja a sebezhetőségre vonatkozó bejelentéseket,</t>
  </si>
  <si>
    <t xml:space="preserve">VHR-S0702</t>
  </si>
  <si>
    <t xml:space="preserve">75. § (4) c)</t>
  </si>
  <si>
    <t xml:space="preserve">c) a szervezet elfogadja-e az anonim bejelentéseket,</t>
  </si>
  <si>
    <t xml:space="preserve">VHR-S0703</t>
  </si>
  <si>
    <t xml:space="preserve">75. § (4) d)</t>
  </si>
  <si>
    <t xml:space="preserve">d) a bejelentések fogadásáért felelős szervezeti egység, vagy személy elérhetősége,</t>
  </si>
  <si>
    <t xml:space="preserve">VHR-S0704</t>
  </si>
  <si>
    <t xml:space="preserve">75. § (4) e)</t>
  </si>
  <si>
    <t xml:space="preserve">e) a bejelentővel történő egyeztetés folyamata, valamint a hibajavítás folyamatáról, aktuális helyzetéről való tájékoztatás módja,</t>
  </si>
  <si>
    <t xml:space="preserve">VHR-S0705</t>
  </si>
  <si>
    <t xml:space="preserve">75. § (4) f)</t>
  </si>
  <si>
    <t xml:space="preserve">f) a bejelentések eredményeként elvégzendő hibajavítások végrehajtására irányuló eljárásrend,</t>
  </si>
  <si>
    <t xml:space="preserve">VHR-S0706</t>
  </si>
  <si>
    <t xml:space="preserve">75. § (4) g)</t>
  </si>
  <si>
    <t xml:space="preserve">g) azon időkeret, amelyen belül a sebezhetőség javítását elvégzi.</t>
  </si>
  <si>
    <t xml:space="preserve">VHR-S0707</t>
  </si>
  <si>
    <t xml:space="preserve">(5) A sebezhetőség felkutatására vállalkozó személy a szervezet honlapján közzétett feltételek elfogadásával, illetve a szervezet és a személy közötti megállapodás alapján járhat el.</t>
  </si>
  <si>
    <t xml:space="preserve">VHR-S0708</t>
  </si>
  <si>
    <t xml:space="preserve">75. § (6)</t>
  </si>
  <si>
    <t xml:space="preserve">(6) Az (5) bekezdés szerinti megállapodásban a felek legalább az alábbi elemeket rögzítik:</t>
  </si>
  <si>
    <t xml:space="preserve">VHR-S0709</t>
  </si>
  <si>
    <t xml:space="preserve">75. § (6) a)</t>
  </si>
  <si>
    <t xml:space="preserve">a) a szervezet által biztosított felületet, amelyen a sebezhetőség felkutatására vállalkozó személy a sebezhetőségek felkutatását végezheti,</t>
  </si>
  <si>
    <t xml:space="preserve">VHR-S0710</t>
  </si>
  <si>
    <t xml:space="preserve">75. § (6) b)</t>
  </si>
  <si>
    <t xml:space="preserve">b) a bejelentés megtételének módját,</t>
  </si>
  <si>
    <t xml:space="preserve">VHR-S0711</t>
  </si>
  <si>
    <t xml:space="preserve">75. § (6) c)</t>
  </si>
  <si>
    <t xml:space="preserve">c) a bejelentő által átadandó információkat,</t>
  </si>
  <si>
    <t xml:space="preserve">VHR-S0712</t>
  </si>
  <si>
    <t xml:space="preserve">75. § (6) d)</t>
  </si>
  <si>
    <t xml:space="preserve">d) a bejelentő kéri-e névtelenségének megőrzését,</t>
  </si>
  <si>
    <t xml:space="preserve">VHR-S0713</t>
  </si>
  <si>
    <t xml:space="preserve">75. § (6) e)</t>
  </si>
  <si>
    <t xml:space="preserve">e) amennyiben a szervezet anyagi ellenszolgáltatást ad a bejelentésért, annak mértékét, feltételeit,</t>
  </si>
  <si>
    <t xml:space="preserve">VHR-S0714</t>
  </si>
  <si>
    <t xml:space="preserve">75. § (6) f)</t>
  </si>
  <si>
    <t xml:space="preserve">f) a szervezet rendelkezésére álló időtartamot a bejelentett sebezhetőség kivizsgálására, valamint kijavítására,</t>
  </si>
  <si>
    <t xml:space="preserve">VHR-S0715</t>
  </si>
  <si>
    <t xml:space="preserve">75. § (6) g)</t>
  </si>
  <si>
    <t xml:space="preserve">g) amennyiben a szervezet a kivizsgálást, illetve hibajavítást a megállapodásban foglalt határidőn belül elmulasztja, a bejelentő által a Központ értesítésének lehetőségét,</t>
  </si>
  <si>
    <t xml:space="preserve">VHR-S0716</t>
  </si>
  <si>
    <t xml:space="preserve">75. § (6) h)</t>
  </si>
  <si>
    <t xml:space="preserve">h) annak tényét, hogy a sérülékenységre vonatozó információkról más, érintett szervezet részére történő tájékoztatás nyújtására a Központ jogosult.</t>
  </si>
  <si>
    <t xml:space="preserve">VHR-S0717</t>
  </si>
  <si>
    <t xml:space="preserve">75. § (7)</t>
  </si>
  <si>
    <t xml:space="preserve">(7) Az (1) bekezdést alkalmazó szervezet, amennyiben az elektronikus információs rendszerét, rendszerelemét, IKT-termékét érintően sebezhetőséget jelentenek be, köteles</t>
  </si>
  <si>
    <t xml:space="preserve">VHR-S0718</t>
  </si>
  <si>
    <t xml:space="preserve">75. § (7) a)</t>
  </si>
  <si>
    <t xml:space="preserve">a) a bejelentett sebezhetőséget a megállapodásban foglalt, illetve a honlapján közzétett határidőn belül, ennek hiányában a lehető legrövidebb időn belül, de legfeljebb 30 napon belül megvizsgálni és a sebezhetőség megszüntetésére vonatkozó intézkedési tervet készíteni,</t>
  </si>
  <si>
    <t xml:space="preserve">VHR-S0719</t>
  </si>
  <si>
    <t xml:space="preserve">75. § (7) b)</t>
  </si>
  <si>
    <t xml:space="preserve">b) a bejelentő részére visszajelzést küldeni, a feltárt sebezhetőség vonatkozásában a bejelentővel egyeztetni,</t>
  </si>
  <si>
    <t xml:space="preserve">VHR-S0720</t>
  </si>
  <si>
    <t xml:space="preserve">75. § (7) c)</t>
  </si>
  <si>
    <t xml:space="preserve">c) a feltárt sebezhetőség kijavítására a megállapodásban foglalt határidőn belül, ennek hiányában a lehető legrövidebb időn belül, de a sebezhetőség súlyosságától függően a bejelentéstől számított legfeljebb 90 napon belül intézkedni,</t>
  </si>
  <si>
    <t xml:space="preserve">VHR-S0721</t>
  </si>
  <si>
    <t xml:space="preserve">75. § (7) d)</t>
  </si>
  <si>
    <t xml:space="preserve">d) a bejelentőt az intézkedések megtételéről értesíteni,</t>
  </si>
  <si>
    <t xml:space="preserve">VHR-S0722</t>
  </si>
  <si>
    <t xml:space="preserve">75. § (7) e)</t>
  </si>
  <si>
    <t xml:space="preserve">e) a sebezhetőség megszüntetésére vonatkozó intézkedési tervről, valamint a megtett intézkedésekről a Központot tájékoztatni,</t>
  </si>
  <si>
    <t xml:space="preserve">VHR-S0723</t>
  </si>
  <si>
    <t xml:space="preserve">75. § (8)</t>
  </si>
  <si>
    <t xml:space="preserve">(8) Ha az érintett szervezet a bejelentést követően – a megállapodásban vagy az általa kiadott eljárásrendben, illetve ezek hiányában 30 napon belül – nem tesz intézkedést a sebezhetőség kijavítása érdekében, a bejelentő jogosult értesíteni a Központot.</t>
  </si>
  <si>
    <t xml:space="preserve">VHR-S0724</t>
  </si>
  <si>
    <t xml:space="preserve">75. § (9)</t>
  </si>
  <si>
    <t xml:space="preserve">(9) Ha a bejelentő által felfedezett sebezhetőség más szervezet elektronikus információs rendszerét, rendszerelemét, IKT-termékét is érinti, úgy a szervezet bejelentése alapján a Központ a sebezhetőségről az érintett szervezetet tájékoztatja.</t>
  </si>
  <si>
    <t xml:space="preserve">VHR-S0725</t>
  </si>
  <si>
    <t xml:space="preserve">75. § (10)</t>
  </si>
  <si>
    <t xml:space="preserve">(10) A bejelentő köteles</t>
  </si>
  <si>
    <t xml:space="preserve">VHR-S0726</t>
  </si>
  <si>
    <t xml:space="preserve">75. § (10) a)</t>
  </si>
  <si>
    <t xml:space="preserve">a) a sebezhetőség feltárása érdekében kötött megállapodásban, illetve a jogszabályban meghatározottak szerint eljárni,</t>
  </si>
  <si>
    <t xml:space="preserve">VHR-S0727</t>
  </si>
  <si>
    <t xml:space="preserve">75. § (10) b)</t>
  </si>
  <si>
    <t xml:space="preserve">b) a feltárt hiányosságról, sérülékenységről az érintett szervezetet a szervezet által meghatározott csatornán keresztül a megállapodásban foglalt határidőn belül, erre irányuló megállapodás hiányában haladéktalanul értesíteni, részére a sebezhetőség azonosításához, a hibajavításhoz szükséges információkat, esetleges megoldási javaslatait megadni,</t>
  </si>
  <si>
    <t xml:space="preserve">VHR-S0728</t>
  </si>
  <si>
    <t xml:space="preserve">75. § (11)</t>
  </si>
  <si>
    <t xml:space="preserve">(11) A Központ</t>
  </si>
  <si>
    <t xml:space="preserve">VHR-S0729</t>
  </si>
  <si>
    <t xml:space="preserve">75. § (11) a)</t>
  </si>
  <si>
    <t xml:space="preserve">a) a bejelentett sebezhetőséget értékeli,</t>
  </si>
  <si>
    <t xml:space="preserve">VHR-S0730</t>
  </si>
  <si>
    <t xml:space="preserve">75. § (11) b)</t>
  </si>
  <si>
    <t xml:space="preserve">b) azonosítja az esetlegesen érintett további szervezeteket,</t>
  </si>
  <si>
    <t xml:space="preserve">VHR-S0731</t>
  </si>
  <si>
    <t xml:space="preserve">75. § (11) c)</t>
  </si>
  <si>
    <t xml:space="preserve">c) intézkedik az érintettekkel történő kapcsolatfelvétel érdekében,</t>
  </si>
  <si>
    <t xml:space="preserve">VHR-S0732</t>
  </si>
  <si>
    <t xml:space="preserve">75. § (11) d)</t>
  </si>
  <si>
    <t xml:space="preserve">d) a bejelentési, tájékoztatási, illetve együttműködési kötelezettségnek eleget nem tevő szervezetről tájékoztathatja az illetékes kiberbiztonsági hatóságot.</t>
  </si>
  <si>
    <t xml:space="preserve">VHR-S0733</t>
  </si>
  <si>
    <t xml:space="preserve">76. § (1) Ha a 73–75. §-ban foglalt feltételek nem állnak fenn, a természetes vagy jogi személy által valamely elektronikus információs rendszer, IKT-termék vonatkozásában feltárt sebezhetőséget a Központ részére jelenti be. A bejelentést a Központ honlapján meghatározott módon kell megtenni.</t>
  </si>
  <si>
    <t xml:space="preserve">VHR-S0734</t>
  </si>
  <si>
    <t xml:space="preserve">(2) A Központ ajánlást adhat ki a sebezhetőségek jogszerű felderítési kereteinek, feltételeinek meghatározása érdekében.</t>
  </si>
  <si>
    <t xml:space="preserve">VHR-S0735</t>
  </si>
  <si>
    <t xml:space="preserve">(3) A bejelentő az (1) bekezdés szerinti bejelentés során</t>
  </si>
  <si>
    <t xml:space="preserve">VHR-S0736</t>
  </si>
  <si>
    <t xml:space="preserve">76. § (3) a)</t>
  </si>
  <si>
    <t xml:space="preserve">a) kérheti névtelenségének megőrzését,</t>
  </si>
  <si>
    <t xml:space="preserve">VHR-S0737</t>
  </si>
  <si>
    <t xml:space="preserve">76. § (3) b)</t>
  </si>
  <si>
    <t xml:space="preserve">b) köteles elérhetőségét megadni, amennyiben nem kéri névtelenségének megőrzését,</t>
  </si>
  <si>
    <t xml:space="preserve">VHR-S0738</t>
  </si>
  <si>
    <t xml:space="preserve">76. § (3) c)</t>
  </si>
  <si>
    <t xml:space="preserve">c) köteles megőrizni a bejelentés bizalmasságát,</t>
  </si>
  <si>
    <t xml:space="preserve">VHR-S0739</t>
  </si>
  <si>
    <t xml:space="preserve">76. § (3) d)</t>
  </si>
  <si>
    <t xml:space="preserve">d) köteles a rendelkezésére álló információkat, esetleges megoldási javaslatait a Központ rendelkezésére bocsátani,</t>
  </si>
  <si>
    <t xml:space="preserve">VHR-S0740</t>
  </si>
  <si>
    <t xml:space="preserve">76. § (3) e)</t>
  </si>
  <si>
    <t xml:space="preserve">e) köteles a sebezhetőségre vonatkozó információkat titokban tartani, arról kizárólag a Központot és az érintett szervezetet értesítheti,</t>
  </si>
  <si>
    <t xml:space="preserve">VHR-S0741</t>
  </si>
  <si>
    <t xml:space="preserve">76. § (3) f)</t>
  </si>
  <si>
    <t xml:space="preserve">f) a sebezhetőségről szóló értesítést és a kapcsolódó információknak az érintett szervezet részére történő átadását nem teheti ellenszolgáltatás nyújtásától függővé,</t>
  </si>
  <si>
    <t xml:space="preserve">VHR-S0742</t>
  </si>
  <si>
    <t xml:space="preserve">76. § (3) g)</t>
  </si>
  <si>
    <t xml:space="preserve">g) kizárólag a sebezhetőség bizonyításához szükséges intézkedések megtételére jogosult,</t>
  </si>
  <si>
    <t xml:space="preserve">VHR-S0743</t>
  </si>
  <si>
    <t xml:space="preserve">76. § (3) h)</t>
  </si>
  <si>
    <t xml:space="preserve">h) köteles tartózkodni az alábbi káros magatartásoktól:</t>
  </si>
  <si>
    <t xml:space="preserve">VHR-S0744</t>
  </si>
  <si>
    <t xml:space="preserve">76. § (3) h) ha)</t>
  </si>
  <si>
    <t xml:space="preserve">ha) kártékony kód telepítése,</t>
  </si>
  <si>
    <t xml:space="preserve">VHR-S0745</t>
  </si>
  <si>
    <t xml:space="preserve">76. § (3) h) hb)</t>
  </si>
  <si>
    <t xml:space="preserve">hb) adatok másolása, törlése, megváltoztatása,</t>
  </si>
  <si>
    <t xml:space="preserve">VHR-S0746</t>
  </si>
  <si>
    <t xml:space="preserve">76. § (3) h) hc)</t>
  </si>
  <si>
    <t xml:space="preserve">hc) a rendszerben történő módosítások,</t>
  </si>
  <si>
    <t xml:space="preserve">VHR-S0747</t>
  </si>
  <si>
    <t xml:space="preserve">76. § (3) h) hd)</t>
  </si>
  <si>
    <t xml:space="preserve">hd) ismételt bejelentkezések a rendszerbe,</t>
  </si>
  <si>
    <t xml:space="preserve">VHR-S0748</t>
  </si>
  <si>
    <t xml:space="preserve">76. § (3) h) he)</t>
  </si>
  <si>
    <t xml:space="preserve">he) a sebezhetőség és az azzal kapcsolatban megszerzett tudás harmadik féllel történő megosztása,</t>
  </si>
  <si>
    <t xml:space="preserve">VHR-S0749</t>
  </si>
  <si>
    <t xml:space="preserve">76. § (3) h) hf)</t>
  </si>
  <si>
    <t xml:space="preserve">hf) egyéb módszerekkel történő mélyebb behatolás, illetve behatolási kísérlet.</t>
  </si>
  <si>
    <t xml:space="preserve">VHR-S0750</t>
  </si>
  <si>
    <t xml:space="preserve">(4) A bejelentés alapján a Központ</t>
  </si>
  <si>
    <t xml:space="preserve">VHR-S0751</t>
  </si>
  <si>
    <t xml:space="preserve">76. § (4) a)</t>
  </si>
  <si>
    <t xml:space="preserve">a) intézkedik az érintett szervezetek azonosítása és a velük való kapcsolatfelvétel érdekében,</t>
  </si>
  <si>
    <t xml:space="preserve">VHR-S0752</t>
  </si>
  <si>
    <t xml:space="preserve">76. § (4) b)</t>
  </si>
  <si>
    <t xml:space="preserve">b) segítséget nyújt a sérülékenységet bejelentőnek,</t>
  </si>
  <si>
    <t xml:space="preserve">VHR-S0753</t>
  </si>
  <si>
    <t xml:space="preserve">76. § (4) c)</t>
  </si>
  <si>
    <t xml:space="preserve">c) közvetítőként jár el a bejelentő, az elektronikus információs rendszer felett rendelkezési joggal bíró szervezet vagy az IKT-termék gyártója és egyéb érdekeltek között a sebezhetőség közzétételére vonatkozó egyeztetések lefolytatása és a sérülékenységek kezelése érdekében,</t>
  </si>
  <si>
    <t xml:space="preserve">VHR-S0754</t>
  </si>
  <si>
    <t xml:space="preserve">76. § (4) d)</t>
  </si>
  <si>
    <t xml:space="preserve">d) koordinálja a sebezhetőség közzétételének összehangolását,</t>
  </si>
  <si>
    <t xml:space="preserve">VHR-S0755</t>
  </si>
  <si>
    <t xml:space="preserve">76. § (4) e)</t>
  </si>
  <si>
    <t xml:space="preserve">e) gondoskodik a bejelentett sebezhetőséggel kapcsolatos intézkedések nyomon követéséről, és</t>
  </si>
  <si>
    <t xml:space="preserve">VHR-S0756</t>
  </si>
  <si>
    <t xml:space="preserve">76. § (4) f)</t>
  </si>
  <si>
    <t xml:space="preserve">f) kapcsolatot tart az ENISA-val a bejelentéseknek az európai sebezhetőség-adatbázisba történő bejelentése, illetve az adatbázisból történő lekérdezés érdekében.</t>
  </si>
  <si>
    <t xml:space="preserve">VHR-S0757</t>
  </si>
  <si>
    <t xml:space="preserve">76. § (5)</t>
  </si>
  <si>
    <t xml:space="preserve">(5) A Központ jelzése alapján a gyártó vagy az elektronikus információs rendszer felett rendelkezési joggal bíró szervezet 10 napon belül nyilatkozik, hogy a bejelentésben foglaltakat sebezhetőségnek tekinti-e, továbbá nyilatkozik a javítás vonatkozásában. A gyártó köteles a sebezhetőséget 30 napon belül kijavítani vagy javíthatatlan sebezhetőség esetén helyettesítő védelmi intézkedést bevezetni. A nyilatkozattételi vagy az intézkedési határidő eredménytelen elteltét követően a Központ intézkedhet a sebezhetőség publikálása iránt.</t>
  </si>
  <si>
    <t xml:space="preserve">VHR-S0758</t>
  </si>
  <si>
    <t xml:space="preserve">76. § (6)</t>
  </si>
  <si>
    <t xml:space="preserve">(6) Ha a bejelentő kihasznált sebezhetőséget jelent be a Központ részére, a Központ szükség szerint intézkedik</t>
  </si>
  <si>
    <t xml:space="preserve">VHR-S0759</t>
  </si>
  <si>
    <t xml:space="preserve">76. § (6) a)</t>
  </si>
  <si>
    <t xml:space="preserve">a) a sebezhetőség kapcsán riasztás kiadására,</t>
  </si>
  <si>
    <t xml:space="preserve">VHR-S0760</t>
  </si>
  <si>
    <t xml:space="preserve">76. § (6) b)</t>
  </si>
  <si>
    <t xml:space="preserve">b) az érintett IKT-termék gyártójával való kapcsolatfelvétel érdekében,</t>
  </si>
  <si>
    <t xml:space="preserve">VHR-S0761</t>
  </si>
  <si>
    <t xml:space="preserve">76. § (6) c)</t>
  </si>
  <si>
    <t xml:space="preserve">c) az érintett IKT-termék gyártójával folytatott egyeztetés alapján az ENISA értesítésére a sebezhetőségnek az európai sebezhetőség-adatbázisba történő felvétele érdekében.</t>
  </si>
  <si>
    <t xml:space="preserve">VHR-S0762</t>
  </si>
  <si>
    <t xml:space="preserve">76. § (7)</t>
  </si>
  <si>
    <t xml:space="preserve">(7) Ha a bejelentett sebezhetőség több európai uniós tagállamban is jelentős hatást gyakorolhat a szervezetekre, a Központ együttműködik az érintett európai uniós tagállamok koordinátorként kijelölt CSIRT-jeivel a CSIRT-hálózaton belül.</t>
  </si>
  <si>
    <t xml:space="preserve">VHR-S0763</t>
  </si>
  <si>
    <t xml:space="preserve">76. § (8)</t>
  </si>
  <si>
    <t xml:space="preserve">(8) A nyilvánosan ismert sebezhetőség az európai sebezhetőség-adatbázisba történő önkéntes bejelentését a gyártó a Központon keresztül teszi meg annak érdekében, hogy lehetővé tegye az IKT-terméket használók számára a megfelelő mérséklési intézkedések megtételét.</t>
  </si>
  <si>
    <t xml:space="preserve">VHR-S0764</t>
  </si>
  <si>
    <t xml:space="preserve">VHR-S0765</t>
  </si>
  <si>
    <t xml:space="preserve">77. § (1) A Kiberbiztonsági tv. 66. §-a szerinti bejelentés keretében a szervezet benyújt a Központ részére:</t>
  </si>
  <si>
    <t xml:space="preserve">VHR-S0766</t>
  </si>
  <si>
    <t xml:space="preserve">77. § (1) 1.</t>
  </si>
  <si>
    <t xml:space="preserve">1. indokolatlan késedelem nélkül és minden esetben a kiberbiztonsági incidensről való tudomásszerzéstől számított 24 órán belül egy első bejelentést, amelyben – amennyiben az információk rendelkezésre állnak – fel kell tüntetni</t>
  </si>
  <si>
    <t xml:space="preserve">VHR-S0767</t>
  </si>
  <si>
    <t xml:space="preserve">77. § (1) 1. a)</t>
  </si>
  <si>
    <t xml:space="preserve">a) az érintett elektronikus információs rendszer megjelölését,</t>
  </si>
  <si>
    <t xml:space="preserve">VHR-S0768</t>
  </si>
  <si>
    <t xml:space="preserve">77. § (1) 1. b)</t>
  </si>
  <si>
    <t xml:space="preserve">b) a kiberbiztonsági incidens rövid leírását, ennek keretében annak jelzését, hogy az incidens üzemeltetési kiberbiztonsági incidensnek minősül-e,</t>
  </si>
  <si>
    <t xml:space="preserve">VHR-S0769</t>
  </si>
  <si>
    <t xml:space="preserve">77. § (1) 1. c)</t>
  </si>
  <si>
    <t xml:space="preserve">c) a kiberbiztonsági incidens státuszát,</t>
  </si>
  <si>
    <t xml:space="preserve">VHR-S0770</t>
  </si>
  <si>
    <t xml:space="preserve">77. § (1) 1. d)</t>
  </si>
  <si>
    <t xml:space="preserve">d) a kiberbiztonsági incidens időtartamát,</t>
  </si>
  <si>
    <t xml:space="preserve">VHR-S0771</t>
  </si>
  <si>
    <t xml:space="preserve">77. § (1) 1. e)</t>
  </si>
  <si>
    <t xml:space="preserve">e) ha becsülhető, a szolgáltatás helyreállításának várható időpontját,</t>
  </si>
  <si>
    <t xml:space="preserve">VHR-S0772</t>
  </si>
  <si>
    <t xml:space="preserve">77. § (1) 1. f)</t>
  </si>
  <si>
    <t xml:space="preserve">f) a kiberbiztonsági incidens által érintett adatok fajtáját, jellegét,</t>
  </si>
  <si>
    <t xml:space="preserve">VHR-S0773</t>
  </si>
  <si>
    <t xml:space="preserve">77. § (1) 1. g)</t>
  </si>
  <si>
    <t xml:space="preserve">g) a kiberbiztonsági incidens által érintett felhasználók számát,</t>
  </si>
  <si>
    <t xml:space="preserve">VHR-S0774</t>
  </si>
  <si>
    <t xml:space="preserve">77. § (1) 1. h)</t>
  </si>
  <si>
    <t xml:space="preserve">h) a szolgáltatás működésében támadt zavar mértékét,</t>
  </si>
  <si>
    <t xml:space="preserve">VHR-S0775</t>
  </si>
  <si>
    <t xml:space="preserve">77. § (1) 1. i)</t>
  </si>
  <si>
    <t xml:space="preserve">i) a kiberbiztonsági incidens kezelésére az üzemeltető által kijelölt kapcsolattartó személy és szervezet elérhetőségeit,</t>
  </si>
  <si>
    <t xml:space="preserve">VHR-S0776</t>
  </si>
  <si>
    <t xml:space="preserve">77. § (1) 1. j)</t>
  </si>
  <si>
    <t xml:space="preserve">j) közvetítő szolgáltató vagy központi szolgáltató igénybevétele esetén a közvetítő szolgáltató vagy központi szolgáltató megnevezését, elérhetőségét,</t>
  </si>
  <si>
    <t xml:space="preserve">VHR-S0777</t>
  </si>
  <si>
    <t xml:space="preserve">77. § (1) 1. k)</t>
  </si>
  <si>
    <t xml:space="preserve">k) a kiberbiztonsági incidens szándékolt incidensnek minősül-e,</t>
  </si>
  <si>
    <t xml:space="preserve">VHR-S0778</t>
  </si>
  <si>
    <t xml:space="preserve">77. § (1) 1. l)</t>
  </si>
  <si>
    <t xml:space="preserve">l) a kiberbiztonsági incidens által érintett terület földrajzi kiterjedését,</t>
  </si>
  <si>
    <t xml:space="preserve">VHR-S0779</t>
  </si>
  <si>
    <t xml:space="preserve">77. § (1) 1. m)</t>
  </si>
  <si>
    <t xml:space="preserve">m) lehet-e a kiberbiztonsági incidensnek határokon átnyúló hatása,</t>
  </si>
  <si>
    <t xml:space="preserve">VHR-S0780</t>
  </si>
  <si>
    <t xml:space="preserve">77. § (1) 1. n)</t>
  </si>
  <si>
    <t xml:space="preserve">n) minden olyan információt, amely lehetővé teszi a Központ számára, hogy meghatározza az esemény határokon átnyúló hatásait;</t>
  </si>
  <si>
    <t xml:space="preserve">VHR-S0781</t>
  </si>
  <si>
    <t xml:space="preserve">77. § (1) 2.</t>
  </si>
  <si>
    <t xml:space="preserve">2. amint rendelkezésre állnak, a fertőzöttségi mutatókat;</t>
  </si>
  <si>
    <t xml:space="preserve">VHR-S0782</t>
  </si>
  <si>
    <t xml:space="preserve">77. § (1) 3.</t>
  </si>
  <si>
    <t xml:space="preserve">3. indokolatlan késedelem nélkül és minden esetben a kiberbiztonsági incidensről való tudomásszerzéstől számított 72 órán belül egy eseménybejelentést, amely adott esetben aktualizálja az 1. pontban említett információkat, és tartalmazza az incidens első értékelését, beleértve annak súlyosságát és hatását;</t>
  </si>
  <si>
    <t xml:space="preserve">VHR-S0783</t>
  </si>
  <si>
    <t xml:space="preserve">77. § (1) 4.</t>
  </si>
  <si>
    <t xml:space="preserve">4. a Központ kérésére közbenső helyzetjelentést;</t>
  </si>
  <si>
    <t xml:space="preserve">VHR-S0784</t>
  </si>
  <si>
    <t xml:space="preserve">77. § (1) 5.</t>
  </si>
  <si>
    <t xml:space="preserve">5. zárójelentést, legkésőbb a 3. pont szerinti eseménybejelentés benyújtását követő egy hónapon belül, amely tartalmazza a következőket:</t>
  </si>
  <si>
    <t xml:space="preserve">VHR-S0785</t>
  </si>
  <si>
    <t xml:space="preserve">77. § (1) 5. a)</t>
  </si>
  <si>
    <t xml:space="preserve">a) a kiberbiztonsági incidens részletes leírása, beleértve annak súlyosságát és hatását,</t>
  </si>
  <si>
    <t xml:space="preserve">VHR-S0786</t>
  </si>
  <si>
    <t xml:space="preserve">77. § (1) 5. b)</t>
  </si>
  <si>
    <t xml:space="preserve">b) a kiberbiztonsági incidenst valószínűleg kiváltó fenyegetés vagy kiváltó ok típusa,</t>
  </si>
  <si>
    <t xml:space="preserve">VHR-S0787</t>
  </si>
  <si>
    <t xml:space="preserve">77. § (1) 5. c)</t>
  </si>
  <si>
    <t xml:space="preserve">c) alkalmazott és folyamatban lévő mérséklési intézkedések,</t>
  </si>
  <si>
    <t xml:space="preserve">VHR-S0788</t>
  </si>
  <si>
    <t xml:space="preserve">77. § (1) 5. d)</t>
  </si>
  <si>
    <t xml:space="preserve">d) adott esetben a kiberbiztonsági incidens határokon átnyúló hatása;</t>
  </si>
  <si>
    <t xml:space="preserve">VHR-S0789</t>
  </si>
  <si>
    <t xml:space="preserve">77. § (1) 6.</t>
  </si>
  <si>
    <t xml:space="preserve">6. ha a zárójelentés benyújtásának időpontjában még folyamatban van a kiberbiztonsági incidens, az addig elért eredményekről szóló jelentést;</t>
  </si>
  <si>
    <t xml:space="preserve">VHR-S0790</t>
  </si>
  <si>
    <t xml:space="preserve">77. § (1) 7.</t>
  </si>
  <si>
    <t xml:space="preserve">7. a 6. pont szerinti esetben a kiberbiztonsági incidens kezelését követő egy hónapon belül egy zárójelentést.</t>
  </si>
  <si>
    <t xml:space="preserve">VHR-S0791</t>
  </si>
  <si>
    <t xml:space="preserve">VHR-S0792</t>
  </si>
  <si>
    <t xml:space="preserve">VHR-S0793</t>
  </si>
  <si>
    <t xml:space="preserve">VHR-S0794</t>
  </si>
  <si>
    <t xml:space="preserve">78. § (1) A kiberfenyegetés, a kiberbiztonsági incidensközeli helyzet és a kiberbiztonsági incidens bejelentése a Központ – honvédelmi célú elektronikus információs rendszer vonatkozásában a honvédelmi kiberbiztonsági incidenskezelő központ – által meghatározott módon, elektronikus úton – amennyiben elérhető, a Központ által meghatározott elektronikus felületen – történik. Ha a szervezet elektronikus információs rendszere oly mértékben sérül, hogy az elektronikus úton történő bejelentés nem lehetséges, a bejelentés bármely más módon is megtehető.</t>
  </si>
  <si>
    <t xml:space="preserve">VHR-S0795</t>
  </si>
  <si>
    <t xml:space="preserve">(2) Jelentős vagy nagykiterjedésű kiberbiztonsági incidens esetén a szervezet a bejelentést a Központ felé haladéktalanul rövid úton, telefonon is megteszi.</t>
  </si>
  <si>
    <t xml:space="preserve">VHR-S0796</t>
  </si>
  <si>
    <t xml:space="preserve">(3) A kiberbiztonsági hatóság a hozzá érkezett bejelentést átteszi a Központhoz.</t>
  </si>
  <si>
    <t xml:space="preserve">VHR-S0797</t>
  </si>
  <si>
    <t xml:space="preserve">VHR-S0798</t>
  </si>
  <si>
    <t xml:space="preserve">79. § (1) A Központ a bejelentésre haladéktalanul és – ha lehetséges – az első bejelentés kézhezvételétől számított 24 órán belül választ ad. Ennek keretében visszajelzést küld az incidensről a bejelentő szervezetnek, valamint – a szervezet kérésére – útmutatást vagy operatív tanácsokat nyújt a lehetséges mérséklési intézkedések végrehajtásáról.</t>
  </si>
  <si>
    <t xml:space="preserve">VHR-S0799</t>
  </si>
  <si>
    <t xml:space="preserve">(2) A Központ technikai támogatást nyújt, ha az érintett szervezet ezt kéri.</t>
  </si>
  <si>
    <t xml:space="preserve">VHR-S0800</t>
  </si>
  <si>
    <t xml:space="preserve">80. § (1) A szervezetek indokolatlan késedelem nélkül és térítésmentesen értesítik a szolgáltatásaikat igénybe vevőket azon kiberbiztonsági incidensekről, amelyek valószínűleg hátrányosan érintik a szolgáltatásnyújtásukat és a szolgáltatásaikat igénybe vevők részéről intézkedés megtétele szükséges.</t>
  </si>
  <si>
    <t xml:space="preserve">VHR-S0801</t>
  </si>
  <si>
    <t xml:space="preserve">(2) A szervezet indokolatlan késedelem nélkül – vagy amint az információ rendelkezésre áll – tájékoztatja a jelentős kiberfenyegetés által potenciálisan érintett szolgáltatásait igénybe vevőit azon intézkedésekről, illetve fenyegetést orvosló lehetőségekről, amelyeket a szolgáltatások igénybe vevői a fenyegetésre válaszul maguk megtehetnek, illetve amelyekkel élhetnek.</t>
  </si>
  <si>
    <t xml:space="preserve">VHR-S0802</t>
  </si>
  <si>
    <t xml:space="preserve">80. § (3)</t>
  </si>
  <si>
    <t xml:space="preserve">(3) Ha a kiberbiztonsági incidens megelőzéséhez vagy egy folyamatban lévő kiberbiztonsági incidens kezeléséhez lakossági figyelemfelkeltés szükséges, vagy ha a kiberbiztonsági incidens nyilvánosságra hozatala egyébként közérdek, a Központ – az érintett szervezettel szükség szerint folytatott konzultációt követően – tájékoztatja az illetékes kiberbiztonsági hatóságot a nyilvánosság tájékoztathatósága érdekében.</t>
  </si>
  <si>
    <t xml:space="preserve">VHR-S0803</t>
  </si>
  <si>
    <t xml:space="preserve">81. § (1) A Központ vizsgálja a kiberbiztonsági incidensek határon átnyúló hatását.</t>
  </si>
  <si>
    <t xml:space="preserve">VHR-S0804</t>
  </si>
  <si>
    <t xml:space="preserve">(2) Ha a jelentős kiberbiztonsági incidens két vagy több tagállamot érint, a Központ haladéktalanul tájékoztatja a jelentős kiberbiztonsági incidensről a többi érintett európai uniós tagállamot és az ENISA-t.</t>
  </si>
  <si>
    <t xml:space="preserve">VHR-S0805</t>
  </si>
  <si>
    <t xml:space="preserve">(3) A Központ vagy az illetékes kiberbiztonsági hatóság kérésére az egyedüli kapcsolattartó pont a 77. § (1) bekezdése alapján kapott bejelentést továbbítja a kiberbiztonsági incidenssel érintett európai uniós tagállam egyedüli kapcsolattartó pontjának.</t>
  </si>
  <si>
    <t xml:space="preserve">VHR-S0806</t>
  </si>
  <si>
    <t xml:space="preserve">(4) A tájékoztatás során a Központ, valamint az egyedüli kapcsolattartó pont az érintett szervezet biztonsági és üzleti érdekeinek védelmére, valamint a benyújtott információk bizalmasságára figyelemmel jár el.</t>
  </si>
  <si>
    <t xml:space="preserve">VHR-S0807</t>
  </si>
  <si>
    <t xml:space="preserve">(5) A Központ feladatellátása során az Európai Unió tagállamai és harmadik országok nemzeti, számítógép-biztonsági incidensekre reagáló csoportjaival való kapcsolattartás, információcsere során a megfelelő információmegosztási protokollok – többek között a jelzőlámpa-protokoll (TLP) – használatával folytat információcserét, az adatvédelmi jogszabályokkal összhangban.</t>
  </si>
  <si>
    <t xml:space="preserve">VHR-S0808</t>
  </si>
  <si>
    <t xml:space="preserve">82. § (1) A kiberbiztonsági incidensekkel összefüggő adatok műszaki vizsgálatának célja, hogy</t>
  </si>
  <si>
    <t xml:space="preserve">VHR-S0809</t>
  </si>
  <si>
    <t xml:space="preserve">82. § (1) a)</t>
  </si>
  <si>
    <t xml:space="preserve">a) feltárja a kiberbiztonsági incidens bekövetkeztének okait, körülményeit, az okozott kár mértékét,</t>
  </si>
  <si>
    <t xml:space="preserve">VHR-S0810</t>
  </si>
  <si>
    <t xml:space="preserve">82. § (1) b)</t>
  </si>
  <si>
    <t xml:space="preserve">b) behatárolja a kiberbiztonsági incidens által érintett elektronikus információs rendszerek, rendszerelemek körét,</t>
  </si>
  <si>
    <t xml:space="preserve">VHR-S0811</t>
  </si>
  <si>
    <t xml:space="preserve">82. § (1) c)</t>
  </si>
  <si>
    <t xml:space="preserve">c) javaslatot tegyen a kiberbiztonsági incidens által okozott kár elhárítására, és</t>
  </si>
  <si>
    <t xml:space="preserve">VHR-S0812</t>
  </si>
  <si>
    <t xml:space="preserve">82. § (1) d)</t>
  </si>
  <si>
    <t xml:space="preserve">d) a bekövetkezett incidensből levonható tanulságokról tájékoztassa a kiberbiztonsági incidenssel érintett más szerveket és az illetékes kiberbiztonsági hatóságot annak érdekében, hogy a jövőben az incidens bekövetkezése megelőzhető legyen.</t>
  </si>
  <si>
    <t xml:space="preserve">VHR-S0813</t>
  </si>
  <si>
    <t xml:space="preserve">(2) A kiberbiztonsági incidens vizsgálatáról készült jelentésben a vizsgálatot végző rögzíti az (1) bekezdés szerinti szempontokat és javaslatokat. A vizsgálatot végző a jelentést a vizsgálatok befejezését követően haladéktalanul megküldi az érintett szervezet, a Központ és az illetékes hatóság részére.</t>
  </si>
  <si>
    <t xml:space="preserve">VHR-S0814</t>
  </si>
  <si>
    <t xml:space="preserve">83. § (1) A kiberbiztonsági incidens kezelése és kivizsgálása során az incidenssel érintett szervezet köteles együttműködni Központtal, amely együttműködés kiterjed</t>
  </si>
  <si>
    <t xml:space="preserve">VHR-S0815</t>
  </si>
  <si>
    <t xml:space="preserve">83. § (1) a)</t>
  </si>
  <si>
    <t xml:space="preserve">a) a bejelentéssel kapcsolatos információk átadására,</t>
  </si>
  <si>
    <t xml:space="preserve">VHR-S0816</t>
  </si>
  <si>
    <t xml:space="preserve">83. § (1) b)</t>
  </si>
  <si>
    <t xml:space="preserve">b) az incidensben érintettek, valamint az incidensért felelős beazonosításához szükséges műszaki, technikai adatok átadására,</t>
  </si>
  <si>
    <t xml:space="preserve">VHR-S0817</t>
  </si>
  <si>
    <t xml:space="preserve">83. § (1) c)</t>
  </si>
  <si>
    <t xml:space="preserve">c) a vizsgálat lefolytatásához szükséges adatok, dokumentumok, eszközök és egyéb információk, valamint az ezeket tartalmazó hiteles bitazonos másolatok rendelkezésre bocsátására,</t>
  </si>
  <si>
    <t xml:space="preserve">VHR-S0818</t>
  </si>
  <si>
    <t xml:space="preserve">83. § (1) d)</t>
  </si>
  <si>
    <t xml:space="preserve">d) az incidensben érintett infrastruktúrával kapcsolatos, speciális, ágazati sajátosságok megosztására,</t>
  </si>
  <si>
    <t xml:space="preserve">VHR-S0819</t>
  </si>
  <si>
    <t xml:space="preserve">83. § (1) e)</t>
  </si>
  <si>
    <t xml:space="preserve">e) a Központ szakembereinek tájékoztatására az incidens következményei elhárítása érdekében tett intézkedésekről, illetve az incidens vizsgálata során, az infrastruktúrával kapcsolatos beállításokról,</t>
  </si>
  <si>
    <t xml:space="preserve">VHR-S0820</t>
  </si>
  <si>
    <t xml:space="preserve">83. § (1) f)</t>
  </si>
  <si>
    <t xml:space="preserve">f) hozzáférés biztosítására a Központ szakemberei számára a kiberbiztonsági incidensben érintett infrastruktúrához, valamint</t>
  </si>
  <si>
    <t xml:space="preserve">VHR-S0821</t>
  </si>
  <si>
    <t xml:space="preserve">83. § (1) g)</t>
  </si>
  <si>
    <t xml:space="preserve">g) a Központ által végzett kockázatelemzés alapján szükségesnek ítélt korai figyelmeztető- vagy csapdarendszerek, szenzorok telepítésére.</t>
  </si>
  <si>
    <t xml:space="preserve">VHR-S0822</t>
  </si>
  <si>
    <t xml:space="preserve">(2) Az (1) bekezdés g) pontja szerinti korai figyelmeztető- vagy csapdarendszerek, szenzorok telepítésére a szervezettel való előzetes egyeztetést követően kerülhet sor és a telepítés nem akadályozhatja vagy veszélyeztetheti a szervezet működését.</t>
  </si>
  <si>
    <t xml:space="preserve">VHR-S0823</t>
  </si>
  <si>
    <t xml:space="preserve">(3) A kiberbiztonsági incidenssel érintett szervezet a Központ kérésére köteles az incidens kezeléséhez szükséges műszaki, technikai adatokat, információkat összegyűjteni, és elektronikus formában átadni vagy egyéb módon hozzáférhetővé tenni.</t>
  </si>
  <si>
    <t xml:space="preserve">VHR-S0824</t>
  </si>
  <si>
    <t xml:space="preserve">(4) Ha a kiberbiztonsági incidenssel érintett szervezet bármely okból nem képes a (3) bekezdés szerinti adatok összegyűjtésére, a Központ képviselője helyszíni tanácsadás keretein belül, az érintett szervezet szakértőinek bevonásával javaslatot tesz a szükséges adatok összegyűjtésének és biztosításának módjára vagy a Központ begyűjtheti az adatokat. Az incidenssel érintett szervezet gondoskodik arról, hogy a Központ az adatokhoz hozzáférjen.</t>
  </si>
  <si>
    <t xml:space="preserve">VHR-S0825</t>
  </si>
  <si>
    <t xml:space="preserve">(5) Az érintett szolgáltatók a kiberbiztonsági incidensben érintett előfizetőkkel kapcsolatban a Központ kérésére kötelesek térítésmentesen – szükség szerint – tiltásokat bevezetni, felhasználói, előfizetői hozzáféréseket korlátozni, felfüggeszteni vagy megszüntetni.</t>
  </si>
  <si>
    <t xml:space="preserve">VHR-S0826</t>
  </si>
  <si>
    <t xml:space="preserve">84. § (1)</t>
  </si>
  <si>
    <t xml:space="preserve">84. § (1) A kiberbiztonsági incidenssel érintett szervezet – a Központ támogatásával – kidolgozza és haladéktalanul végrehajtja a kiberbiztonsági incidens felszámolásához szükséges intézkedéseket.</t>
  </si>
  <si>
    <t xml:space="preserve">VHR-S0827</t>
  </si>
  <si>
    <t xml:space="preserve">84. § (2)</t>
  </si>
  <si>
    <t xml:space="preserve">(2) A szervezet a feltárt hiányosságok megszüntetésére vonatkozó incidenskezelési tervről a vizsgálatok lezárását követően tájékoztatja az érintett hatóságot.</t>
  </si>
  <si>
    <t xml:space="preserve">VHR-S0828</t>
  </si>
  <si>
    <t xml:space="preserve">84. § (3)</t>
  </si>
  <si>
    <t xml:space="preserve">(3) A kiberbiztonsági incidenssel érintett szervezet az incidens felszámolását követően felülvizsgálja az elektronikus információs rendszerei kockázatelemzésének, kockázatkezelésének teljeskörűségét, és végrehajtja a szükséges módosításokat.</t>
  </si>
  <si>
    <t xml:space="preserve">VHR-S0829</t>
  </si>
  <si>
    <t xml:space="preserve">85. § A központi rendszer felett rendelkezési jogot gyakorló szervezet, valamint a központi szolgáltató az incidenskezelés során köteles</t>
  </si>
  <si>
    <t xml:space="preserve">VHR-S0830</t>
  </si>
  <si>
    <t xml:space="preserve">85. § a)</t>
  </si>
  <si>
    <t xml:space="preserve">a) a kiberbiztonsági incidensben érintett szervezet, valamint az incidensért felelős beazonosításához szükséges műszaki, technikai adatok Központ részére történő átadására,</t>
  </si>
  <si>
    <t xml:space="preserve">VHR-S0831</t>
  </si>
  <si>
    <t xml:space="preserve">85. § b)</t>
  </si>
  <si>
    <t xml:space="preserve">b) az ismert fenyegetések elleni védelmi intézkedések, műszaki, technikai megoldások alkalmazására,</t>
  </si>
  <si>
    <t xml:space="preserve">VHR-S0832</t>
  </si>
  <si>
    <t xml:space="preserve">85. § c)</t>
  </si>
  <si>
    <t xml:space="preserve">c) a Központ kérésére a 83. § (1) bekezdése szerinti adatokat szolgáltatni a hálózati forgalomba való beavatkozásra utaló jelek elemzése, kiértékelése céljából, valamint</t>
  </si>
  <si>
    <t xml:space="preserve">VHR-S0833</t>
  </si>
  <si>
    <t xml:space="preserve">85. § d)</t>
  </si>
  <si>
    <t xml:space="preserve">d) a Központ által meghatározott, kiberbiztonsági incidensekkel kapcsolatos feladatokban együttműködni.</t>
  </si>
  <si>
    <t xml:space="preserve">VHR-S0834</t>
  </si>
  <si>
    <t xml:space="preserve">86. § (1) A kiberbiztonsági incidensek kezelése során a Központ szükség szerint megismerheti a közvetítő szolgáltatók különböző szolgáltatás- vagy üzletmenet folytonosságot biztosító szabályzóit, eljárásrendjeit, ideértve az üzletfolytonossági tervét, a katasztrófa helyreállítási tervét.</t>
  </si>
  <si>
    <t xml:space="preserve">VHR-S0835</t>
  </si>
  <si>
    <t xml:space="preserve">(2) A kiberbiztonsági incidens által érintett közvetítő szolgáltató a Központtal való együttműködés keretein belül a konkrét incidens kezelése érdekében a Központ kérésére az incidensben érintettek, a támadó és a támadott beazonosításához szükséges adatokat szolgáltat az incidenskezelő központ részére, valamint az incidensben érintett előfizetőkkel kapcsolatban szükség szerint tiltásokat vezet be, felhasználói, illetve előfizetői hozzáféréseket korlátoz, függeszt fel, vagy szüntet meg.</t>
  </si>
  <si>
    <t xml:space="preserve">VHR-S0836</t>
  </si>
  <si>
    <t xml:space="preserve">86. § (3)</t>
  </si>
  <si>
    <t xml:space="preserve">(3) Veszélyesnek vagy károsnak ítélt szolgáltatás biztosítása esetén a Központ kötelezheti a közvetítő szolgáltatót adott szolgáltatás tiltására.</t>
  </si>
  <si>
    <t xml:space="preserve">VHR-S0837</t>
  </si>
  <si>
    <t xml:space="preserve">87. § (1)</t>
  </si>
  <si>
    <t xml:space="preserve">87. § (1) A bejelentési, tájékoztatási, illetve együttműködési kötelezettségnek eleget nem tevő szervezetet, szolgáltatót a Központ jelenti a felügyeletét ellátó kiberbiztonsági hatóságnak.</t>
  </si>
  <si>
    <t xml:space="preserve">VHR-S0838</t>
  </si>
  <si>
    <t xml:space="preserve">87. § (2)</t>
  </si>
  <si>
    <t xml:space="preserve">(2) A Központ a kiberbiztonsági incidens kezelése, vizsgálata során tudomására jutott információk alapján kezdeményezheti a nemzeti kiberbiztonsági hatóságnál a kiberbiztonsági incidenssel érintett elektronikus információs rendszer sérülékenységvizsgálatának lefolytatására irányuló kötelezést.</t>
  </si>
  <si>
    <t xml:space="preserve">VHR-S0839</t>
  </si>
  <si>
    <t xml:space="preserve">88. § A Központ a kiberbiztonsági incidensről zárt kezelésű technológiai naplót vezet, amely tartalmazza az incidens kivizsgálásának támogatása során tett intézkedéseket és azok eredményét is.</t>
  </si>
  <si>
    <t xml:space="preserve">VHR-S0840</t>
  </si>
  <si>
    <t xml:space="preserve">89. § E fejezet rendelkezései az önkéntes bejelentések esetén is alkalmazandók.</t>
  </si>
  <si>
    <t xml:space="preserve">VHR-S0841</t>
  </si>
  <si>
    <t xml:space="preserve">VHR-S0842</t>
  </si>
  <si>
    <t xml:space="preserve">90. § (1) Az (EU) 2022/2554 európai parlamenti és tanácsi rendelet hatálya alá tartozó szervezetek kiberbiztonsági incidenseinek kezelése során – a 67. § (1) bekezdés 2. pont k) alpontja, valamint a 67. § (1) bekezdés 7. pont b) alpontja kivételével – a 65–67. §, a 73–76. §, a 78. §, a 79. §, a 81. §, a 83. § (1) bekezdés a)–f) pontja, a 83. § (2) és (3) bekezdése, a 84. § (1) bekezdése, valamint a 86–89. § szerinti rendelkezések alkalmazandók.</t>
  </si>
  <si>
    <t xml:space="preserve">VHR-S0843</t>
  </si>
  <si>
    <t xml:space="preserve">(2) Ahol e rendelet kiberbiztonsági hatóságot említi, ott az (EU) 2022/2554 európai parlamenti és tanácsi rendelet hatálya alá tartozó szervezetek vonatkozásában az (EU) 2022/2554 európai parlamenti és tanácsi rendelet szerinti hatóságot kell érteni.</t>
  </si>
  <si>
    <t xml:space="preserve">VHR-S0844</t>
  </si>
  <si>
    <t xml:space="preserve">(3) A kiberbiztonsági gyakorlaton való részvétel Központ általi elrendelése esetén a kiberbiztonsági gyakorlaton való részvétel kötelező. Az (EU) 2022/2554 európai parlamenti és tanácsi rendelet hatálya alá tartozó szervezetek kiberbiztonsági gyakorlat által érintett körét, valamint a kiberbiztonsági gyakorlat tervezett időpontját a Központ az (EU) 2022/2554 európai parlamenti és tanácsi rendelet szerinti hatósággal való előzetes egyeztetés alapján állapítja meg.</t>
  </si>
  <si>
    <t xml:space="preserve">VHR-S0845</t>
  </si>
  <si>
    <t xml:space="preserve">VHR-S0846</t>
  </si>
  <si>
    <t xml:space="preserve">VHR-S0847</t>
  </si>
  <si>
    <t xml:space="preserve">VHR-S0848</t>
  </si>
  <si>
    <t xml:space="preserve">91. § (1) A kiberbiztonságért felelős biztos helyettest bízhat meg. A helyettes a megbízatása keretei között jár el.</t>
  </si>
  <si>
    <t xml:space="preserve">VHR-S0849</t>
  </si>
  <si>
    <t xml:space="preserve">(2) A kiberbiztonságért felelős biztost be kell vonni a kiberbiztonsággal kapcsolatos jogszabályok megalkotásába és felülvizsgálatába.</t>
  </si>
  <si>
    <t xml:space="preserve">VHR-S0850</t>
  </si>
  <si>
    <t xml:space="preserve">91. § (3)</t>
  </si>
  <si>
    <t xml:space="preserve">(3) A kiberbiztonságért felelős biztos a Nemzeti Kiberbiztonsági Munkacsoport döntése alapján kezdeményezheti az informatikáért felelős miniszternél a kiberbiztonsággal kapcsolatos jogszabályok felülvizsgálatát.</t>
  </si>
  <si>
    <t xml:space="preserve">VHR-S0851</t>
  </si>
  <si>
    <t xml:space="preserve">VHR-S0852</t>
  </si>
  <si>
    <t xml:space="preserve">92. § (1)</t>
  </si>
  <si>
    <t xml:space="preserve">92. § (1) A Nemzeti Kiberbiztonsági Munkacsoport elnökét – akadályoztatása esetén – a 91. § (1) bekezdése szerint megbízott személy helyettesíti.</t>
  </si>
  <si>
    <t xml:space="preserve">VHR-S0853</t>
  </si>
  <si>
    <t xml:space="preserve">92. § (2)</t>
  </si>
  <si>
    <t xml:space="preserve">(2) A Nemzeti Kiberbiztonsági Munkacsoport tagjai:</t>
  </si>
  <si>
    <t xml:space="preserve">VHR-S0854</t>
  </si>
  <si>
    <t xml:space="preserve">92. § (2) a)</t>
  </si>
  <si>
    <t xml:space="preserve">a) a miniszterek,</t>
  </si>
  <si>
    <t xml:space="preserve">VHR-S0855</t>
  </si>
  <si>
    <t xml:space="preserve">92. § (2) b)</t>
  </si>
  <si>
    <t xml:space="preserve">b) a Nemzetbiztonsági Szakszolgálat főigazgatója,</t>
  </si>
  <si>
    <t xml:space="preserve">VHR-S0856</t>
  </si>
  <si>
    <t xml:space="preserve">92. § (2) c)</t>
  </si>
  <si>
    <t xml:space="preserve">c) az SZTFH elnöke,</t>
  </si>
  <si>
    <t xml:space="preserve">VHR-S0857</t>
  </si>
  <si>
    <t xml:space="preserve">92. § (2) d)</t>
  </si>
  <si>
    <t xml:space="preserve">d) a Magyar Nemzeti Bank elnöke,</t>
  </si>
  <si>
    <t xml:space="preserve">VHR-S0858</t>
  </si>
  <si>
    <t xml:space="preserve">92. § (2) e)</t>
  </si>
  <si>
    <t xml:space="preserve">e) a védelmi és biztonsági igazgatás központi szervének vezetője és</t>
  </si>
  <si>
    <t xml:space="preserve">VHR-S0859</t>
  </si>
  <si>
    <t xml:space="preserve">92. § (2) f)</t>
  </si>
  <si>
    <t xml:space="preserve">f) a miniszterelnök nemzetbiztonsági főtanácsadója</t>
  </si>
  <si>
    <t xml:space="preserve">VHR-S0860</t>
  </si>
  <si>
    <t xml:space="preserve">által delegált, 1–1 vezető beosztású személy.</t>
  </si>
  <si>
    <t xml:space="preserve">VHR-S0861</t>
  </si>
  <si>
    <t xml:space="preserve">92. § (3)</t>
  </si>
  <si>
    <t xml:space="preserve">(3) A (2) bekezdés a) pontja szerint a miniszterek a Nemzeti Kiberbiztonsági Munkacsoportba önállóan, egymástól függetlenül delegálnak tagokat.</t>
  </si>
  <si>
    <t xml:space="preserve">VHR-S0862</t>
  </si>
  <si>
    <t xml:space="preserve">92. § (4)</t>
  </si>
  <si>
    <t xml:space="preserve">(4) A (2) bekezdésben meghatározottakon túl a Nemzeti Kiberbiztonsági Munkacsoport tagjai a kiberbiztonságért felelős biztos által felkért személyek.</t>
  </si>
  <si>
    <t xml:space="preserve">VHR-S0863</t>
  </si>
  <si>
    <t xml:space="preserve">92. § (5)</t>
  </si>
  <si>
    <t xml:space="preserve">(5) A Nemzeti Kiberbiztonsági Munkacsoport tagjának visszahívásáról a tagot delegáló személy dönt saját kezdeményezés vagy a Nemzeti Kiberbiztonsági Munkacsoport elnökének javaslata alapján.</t>
  </si>
  <si>
    <t xml:space="preserve">VHR-S0864</t>
  </si>
  <si>
    <t xml:space="preserve">92. § (6)</t>
  </si>
  <si>
    <t xml:space="preserve">(6) A Nemzeti Kiberbiztonsági Munkacsoport elnöke a Nemzeti Kiberbiztonsági Munkacsoport munkájáról legalább félévente beszámol az informatikáért felelős miniszternek.</t>
  </si>
  <si>
    <t xml:space="preserve">VHR-S0865</t>
  </si>
  <si>
    <t xml:space="preserve">VHR-S0866</t>
  </si>
  <si>
    <t xml:space="preserve">93. § (1)</t>
  </si>
  <si>
    <t xml:space="preserve">93. § (1) Az Operatív Törzs vezetőjeként eljáró kiberbiztonságért felelős biztost – akadályoztatása esetén – a 91. § (1) bekezdése alapján megbízott személy helyettesíti.</t>
  </si>
  <si>
    <t xml:space="preserve">VHR-S0867</t>
  </si>
  <si>
    <t xml:space="preserve">93. § (2)</t>
  </si>
  <si>
    <t xml:space="preserve">(2) Az Operatív Törzs tagjai:</t>
  </si>
  <si>
    <t xml:space="preserve">VHR-S0868</t>
  </si>
  <si>
    <t xml:space="preserve">93. § (2) a)</t>
  </si>
  <si>
    <t xml:space="preserve">a) a 92. § (2) bekezdése szerinti szervek vagy szervezetek által delegált operatív feladatokat ellátó vezető beosztású személy,</t>
  </si>
  <si>
    <t xml:space="preserve">VHR-S0869</t>
  </si>
  <si>
    <t xml:space="preserve">93. § (2) b)</t>
  </si>
  <si>
    <t xml:space="preserve">b) a hivatásos katasztrófavédelmi szerv központi szerve által delegált vezető beosztású személy,</t>
  </si>
  <si>
    <t xml:space="preserve">VHR-S0870</t>
  </si>
  <si>
    <t xml:space="preserve">93. § (2) c)</t>
  </si>
  <si>
    <t xml:space="preserve">c) a kiberbiztonsági válsághelyzet kezelésében érintett szerv vagy szervezet által delegált vezető beosztású személy,</t>
  </si>
  <si>
    <t xml:space="preserve">VHR-S0871</t>
  </si>
  <si>
    <t xml:space="preserve">93. § (2) d)</t>
  </si>
  <si>
    <t xml:space="preserve">d) a kiberbiztonságért felelős biztos által felkért személyek.</t>
  </si>
  <si>
    <t xml:space="preserve">VHR-S0872</t>
  </si>
  <si>
    <t xml:space="preserve">VHR-S0873</t>
  </si>
  <si>
    <t xml:space="preserve">94. § A Nemzeti Kiberbiztonsági Munkacsoport által felkért egyetemi, kutatói, szakmai, gazdasági és más nem kormányzati szereplőkből álló Kiberbiztonsági Fórum (a továbbiakban: Fórum) vezetését a Nemzeti Kiberbiztonsági Munkacsoport elnöke, a Fórum munkájának szakmai koordinálását a kiberbiztonságért felelős biztos által kijelölt személy látja el.</t>
  </si>
  <si>
    <t xml:space="preserve">VHR-S0874</t>
  </si>
  <si>
    <t xml:space="preserve">VHR-S0875</t>
  </si>
  <si>
    <t xml:space="preserve">95. § (1)</t>
  </si>
  <si>
    <t xml:space="preserve">95. § (1) A Nemzeti Kiberbiztonsági Munkacsoport szakmai és koordinációs tevékenységét, valamint döntéseinek végrehajtását a Nemzeti Kibertér Munkacsoport és a Nemzetközi és Európai Uniós Kibertér Munkacsoport (a továbbiakban együtt: Kiberbiztonsági Almunkacsoportok) segíti.</t>
  </si>
  <si>
    <t xml:space="preserve">VHR-S0876</t>
  </si>
  <si>
    <t xml:space="preserve">95. § (2)</t>
  </si>
  <si>
    <t xml:space="preserve">(2) A Nemzeti Kibertér Munkacsoport vezetését a Nemzetbiztonsági Szakszolgálat vezetője által kijelölt, a Nemzetbiztonsági Szakszolgálat személyi állományába tartozó személy látja el.</t>
  </si>
  <si>
    <t xml:space="preserve">VHR-S0877</t>
  </si>
  <si>
    <t xml:space="preserve">95. § (3)</t>
  </si>
  <si>
    <t xml:space="preserve">(3) A Nemzetközi és Európai Uniós Kibertér Munkacsoport vezetését – az informatikáért felelős miniszterrel egyeztetve – a külpolitikáért felelős miniszter által kijelölt kibertér koordinátor látja el.</t>
  </si>
  <si>
    <t xml:space="preserve">VHR-S0878</t>
  </si>
  <si>
    <t xml:space="preserve">95. § (4)</t>
  </si>
  <si>
    <t xml:space="preserve">(4) A Kiberbiztonsági Almunkacsoportok tagjai a Kiberbiztonsági Almunkacsoportok vezetői által felkért állami szervek vagy szervezetek által delegált személyek és nem kormányzati szakértők, valamint a kiberbiztonságért felelős biztos. A Nemzeti Kiberbiztonsági Munkacsoport elnöke javaslatot tehet a Kiberbiztonsági Almunkacsoportok vezetői részére a Kiberbiztonsági Almunkacsoportok tagjainak a felkérésével összefüggésben.</t>
  </si>
  <si>
    <t xml:space="preserve">VHR-S0879</t>
  </si>
  <si>
    <t xml:space="preserve">95. § (5)</t>
  </si>
  <si>
    <t xml:space="preserve">(5) A Nemzeti Kibertér Munkacsoport javaslatára a Nemzeti Kiberbiztonsági Munkacsoport jogi kötelező erővel nem rendelkező ajánlásokat adhat ki a kibertámadások kezelése és az elektronikus információbiztonság területén alkalmazandó legjobb gyakorlatokról.</t>
  </si>
  <si>
    <t xml:space="preserve">VHR-S0880</t>
  </si>
  <si>
    <t xml:space="preserve">95. § (6)</t>
  </si>
  <si>
    <t xml:space="preserve">(6) A Nemzeti Kibertér Munkacsoport szükség szerint közreműködik a kiberbiztonsági válsághelyzetek ágazati és kormányzati kezeléséhez szükséges szakmai háttérfeladatok végrehajtásában, a kiberbiztonsági incidensek kiberbiztonsági válsághelyzetté történő minősítéssel kapcsolatos és a Magyarország által képviselendő vonatkozó álláspontokkal összefüggő szakmai javaslatok és mandátumok kialakításában.</t>
  </si>
  <si>
    <t xml:space="preserve">VHR-S0881</t>
  </si>
  <si>
    <t xml:space="preserve">95. § (7)</t>
  </si>
  <si>
    <t xml:space="preserve">(7) A Nemzeti Kibertér Munkacsoport feladata a nemzeti kiberbiztonság erősítése valamennyi ágazatban.</t>
  </si>
  <si>
    <t xml:space="preserve">VHR-S0882</t>
  </si>
  <si>
    <t xml:space="preserve">95. § (8)</t>
  </si>
  <si>
    <t xml:space="preserve">(8) A Nemzetközi és Európai Uniós Kibertér Munkacsoport feladata az állami szervek közötti, a nemzetközi szervezetekben, az Európai Unióban, valamint a két- és többoldalú együttműködésekben zajló kiberbiztonsági munkával kapcsolatos rendszeres információcsere elősegítése és egyeztetés a Magyarország által képviselendő vonatkozó álláspontjának kialakítását illetően.</t>
  </si>
  <si>
    <t xml:space="preserve">VHR-S0883</t>
  </si>
  <si>
    <t xml:space="preserve">95. § (9)</t>
  </si>
  <si>
    <t xml:space="preserve">(9) A Nemzeti Kiberbiztonsági Munkacsoport kérésére a Kiberbiztonsági Almunkacsoportok keretében tematikus munkacsoportok is létrehozhatók.</t>
  </si>
  <si>
    <t xml:space="preserve">VHR-S0884</t>
  </si>
  <si>
    <t xml:space="preserve">VHR-S0885</t>
  </si>
  <si>
    <t xml:space="preserve">96. § A Nemzeti Kiberbiztonsági Munkacsoport, a Fórum és a Kiberbiztonsági Almunkacsoportok működtetésével kapcsolatos adminisztratív teendőket a kiberbiztonságért felelős biztos irányításával, az informatikáért felelős miniszter által biztosított titkárság (a továbbiakban: Titkárság) látja el. A Titkárság ellátja a kiberbiztonságért felelős biztos szakértői támogatását is.</t>
  </si>
  <si>
    <t xml:space="preserve">VHR-S0886</t>
  </si>
  <si>
    <t xml:space="preserve">VHR-S0887</t>
  </si>
  <si>
    <t xml:space="preserve">97. § (1)</t>
  </si>
  <si>
    <t xml:space="preserve">97. § (1) A Nemzeti Kiberbiztonsági Munkacsoport feladata a Magyarország Nemzeti Kiberbiztonsági Stratégiájában meghatározott cselekvési területeken a kormányzati tevékenység koordinációjának elősegítése és a végrehajtás figyelemmel kísérése, a kiberbiztonsággal kapcsolatos jogszabályok véleményezése.</t>
  </si>
  <si>
    <t xml:space="preserve">VHR-S0888</t>
  </si>
  <si>
    <t xml:space="preserve">97. § (2)</t>
  </si>
  <si>
    <t xml:space="preserve">(2) A Nemzeti Kiberbiztonsági Munkacsoport a Fórum javaslatainak és véleményének figyelembevételével, az (1) bekezdésben meghatározott cselekvési területekhez társított kormányzati intézkedéseket tartalmazó akciótervet (a továbbiakban: Nemzeti Kiberbiztonsági Akcióterv) a Kiberbiztonsági Almunkacsoportok és a kiberbiztonságért felelős biztos irányításával készíti el. A Nemzeti Kiberbiztonsági Akciótervet a Nemzeti Kiberbiztonsági Munkacsoportnak évente felülvizsgálja.</t>
  </si>
  <si>
    <t xml:space="preserve">VHR-S0889</t>
  </si>
  <si>
    <t xml:space="preserve">97. § (3)</t>
  </si>
  <si>
    <t xml:space="preserve">(3) A Nemzeti Kiberbiztonsági Akcióterv éves felülvizsgálatának koordinációját – a Kiberbiztonsági Almunkacsoportok bevonásával – a Titkárság látja el.</t>
  </si>
  <si>
    <t xml:space="preserve">VHR-S0890</t>
  </si>
  <si>
    <t xml:space="preserve">98. § (1)</t>
  </si>
  <si>
    <t xml:space="preserve">98. § (1) A Nemzeti Kiberbiztonsági Munkacsoport a feladatai ellátásához igazodva szükség szerint, de legalább háromhavonta tart ülést, melyet a kiberbiztonságért felelős biztos hív össze.</t>
  </si>
  <si>
    <t xml:space="preserve">VHR-S0891</t>
  </si>
  <si>
    <t xml:space="preserve">98. § (2)</t>
  </si>
  <si>
    <t xml:space="preserve">(2) A Nemzeti Kiberbiztonsági Munkacsoport üléseit a Nemzeti Kiberbiztonsági Munkacsoport elnöke vagy helyettese vezeti. Az ülésekről emlékeztetőt a Titkárság készít.</t>
  </si>
  <si>
    <t xml:space="preserve">VHR-S0892</t>
  </si>
  <si>
    <t xml:space="preserve">99. § (1)</t>
  </si>
  <si>
    <t xml:space="preserve">99. § (1) Az Operatív Törzs a feladatai ellátásához igazodva szükség szerint, de legalább háromhavonta tart ülést, melyet a kiberbiztonságért felelős biztos hív össze.</t>
  </si>
  <si>
    <t xml:space="preserve">VHR-S0893</t>
  </si>
  <si>
    <t xml:space="preserve">99. § (2)</t>
  </si>
  <si>
    <t xml:space="preserve">(2) Az Operatív Törzs feladatai:</t>
  </si>
  <si>
    <t xml:space="preserve">VHR-S0894</t>
  </si>
  <si>
    <t xml:space="preserve">99. § (2) a)</t>
  </si>
  <si>
    <t xml:space="preserve">a) a kiberbiztonsági válsághelyzetet eredményező kiberbiztonsági incidensek megelőzésével, elhárításával, megakadályozásával, következményeinek enyhítésével, valamint az ezekre való felkészüléssel kapcsolatos feladatok végrehajtása,</t>
  </si>
  <si>
    <t xml:space="preserve">VHR-S0895</t>
  </si>
  <si>
    <t xml:space="preserve">99. § (2) b)</t>
  </si>
  <si>
    <t xml:space="preserve">b) a kiberbiztonsági incidensekre vonatkozó információk cseréje, összegzése, értékelése,</t>
  </si>
  <si>
    <t xml:space="preserve">VHR-S0896</t>
  </si>
  <si>
    <t xml:space="preserve">99. § (2) c)</t>
  </si>
  <si>
    <t xml:space="preserve">c) javaslattétel a kiberbiztonsági válsághelyzetek megelőzése, kezelésére való felkészülés érdekében kiberbiztonsági képzésre, gyakorlatokra,</t>
  </si>
  <si>
    <t xml:space="preserve">VHR-S0897</t>
  </si>
  <si>
    <t xml:space="preserve">99. § (2) d)</t>
  </si>
  <si>
    <t xml:space="preserve">d) a tudomására jutott kiberbiztonsági incidensek nyomon követése, beleértve a fenyegetések és kockázatok folyamatos elemzését,</t>
  </si>
  <si>
    <t xml:space="preserve">VHR-S0898</t>
  </si>
  <si>
    <t xml:space="preserve">99. § (2) e)</t>
  </si>
  <si>
    <t xml:space="preserve">e) a bekövetkezett jelentős vagy nagyszabású kiberbiztonsági incidens kiberbiztonsági válsághelyzetté történő minősítésére javaslattétel,</t>
  </si>
  <si>
    <t xml:space="preserve">VHR-S0899</t>
  </si>
  <si>
    <t xml:space="preserve">99. § (2) f)</t>
  </si>
  <si>
    <t xml:space="preserve">f) kiberbiztonsági válsághelyzetben a felderítő, műveleti intézkedések összehangolása és a szükségesnek ítélt hatósági intézkedések kezdeményezése,</t>
  </si>
  <si>
    <t xml:space="preserve">VHR-S0900</t>
  </si>
  <si>
    <t xml:space="preserve">99. § (2) g)</t>
  </si>
  <si>
    <t xml:space="preserve">g) kiberbiztonsági válsághelyzet esetén az érintett szervek, szervezetek bevonásával a helyreállás időigényének, valamint a kiesett szolgáltatások pótolhatóságának vizsgálata,</t>
  </si>
  <si>
    <t xml:space="preserve">VHR-S0901</t>
  </si>
  <si>
    <t xml:space="preserve">99. § (2) h)</t>
  </si>
  <si>
    <t xml:space="preserve">h) a Nemzeti Kiberbiztonsági Munkacsoport szükség szerinti tájékoztatása a közös helyzetismeretről, a megtett intézkedésekről.</t>
  </si>
  <si>
    <t xml:space="preserve">VHR-S0902</t>
  </si>
  <si>
    <t xml:space="preserve">99. § (3)</t>
  </si>
  <si>
    <t xml:space="preserve">(3) Az Operatív Törzs tagjainak és az egyéb érintett szerveknek az Operatív Törzs részére történő tájékoztatási kötelezettsége nem érinti azok jogszabályban, más közjogi szervezetszabályozó eszközben előírt tájékoztató tevékenységét és egyéb kötelezettségeit.</t>
  </si>
  <si>
    <t xml:space="preserve">VHR-S0903</t>
  </si>
  <si>
    <t xml:space="preserve">99. § (4)</t>
  </si>
  <si>
    <t xml:space="preserve">(4) Az Operatív Törzs működési rendjét maga alakítja ki, az ülésére az állandó tagok napirend felvételét kezdeményezhetik. A napirendre vonatkozó javaslatot az elnökhöz írásban, indokolással ellátva kell benyújtani.</t>
  </si>
  <si>
    <t xml:space="preserve">VHR-S0904</t>
  </si>
  <si>
    <t xml:space="preserve">99. § (5)</t>
  </si>
  <si>
    <t xml:space="preserve">(5) Az Operatív Törzs tevékenységéről legalább félévente beszámol a Nemzeti Kiberbiztonsági Munkacsoport részére.</t>
  </si>
  <si>
    <t xml:space="preserve">VHR-S0905</t>
  </si>
  <si>
    <t xml:space="preserve">100. § (1)</t>
  </si>
  <si>
    <t xml:space="preserve">100. § (1) A Fórum a jogszabályban, illetve a kiberbiztonságért felelős biztos, a Nemzeti Kiberbiztonsági Munkacsoport vagy az Almunkacsoportok által meghatározott feladatai ellátásához igazodva szükség szerint, de legalább háromhavonta tart ülést. Az ülést a Nemzeti Kiberbiztonsági Munkacsoport elnöke vagy az általa kijelölt tag hívja össze.</t>
  </si>
  <si>
    <t xml:space="preserve">VHR-S0906</t>
  </si>
  <si>
    <t xml:space="preserve">100. § (2)</t>
  </si>
  <si>
    <t xml:space="preserve">(2) A Fórum üléseit a Nemzeti Kiberbiztonsági Munkacsoport elnöke vagy az általa kijelölt tag vezeti. Az ülésekről emlékeztetőt a Tikárság készít.</t>
  </si>
  <si>
    <t xml:space="preserve">VHR-S0907</t>
  </si>
  <si>
    <t xml:space="preserve">101. § (1)</t>
  </si>
  <si>
    <t xml:space="preserve">101. § (1) A Kiberbiztonsági Almunkacsoportok a jogszabályban, illetve a kiberbiztonságért felelős biztos, a Nemzeti Kiberbiztonsági Munkacsoport által meghatározott feladataik ellátásához igazodva szükség szerint, de legalább háromhavonta tartanak ülést. Az üléseket a Kiberbiztonsági Almunkacsoportok vezetői hívják össze.</t>
  </si>
  <si>
    <t xml:space="preserve">VHR-S0908</t>
  </si>
  <si>
    <t xml:space="preserve">101. § (2)</t>
  </si>
  <si>
    <t xml:space="preserve">(2) A Kiberbiztonsági Almunkacsoportok üléseiről emlékeztetőt a Titkárság készít.</t>
  </si>
  <si>
    <t xml:space="preserve">VHR-S0909</t>
  </si>
  <si>
    <t xml:space="preserve">102. § A Nemzeti Kiberbiztonsági Munkacsoport, a Fórum és a Kiberbiztonsági Almunkacsoportok működésére vonatkozó eljárási szabályokat a tagok által készített és a Nemzeti Kiberbiztonsági Munkacsoport elnöke által jóváhagyott ügyrend tartalmazza.</t>
  </si>
  <si>
    <t xml:space="preserve">VHR-S0910</t>
  </si>
  <si>
    <t xml:space="preserve">103. § A Nemzeti Kiberbiztonsági Munkacsoport, a Fórum, a Kiberbiztonsági Almunkacsoportok és az Operatív Törzs tagjai, valamint a munkájukban közreműködő állami vezető, kormánytisztviselő, közalkalmazott, adó- és vámhatósági szolgálati jogviszonyban foglalkoztatott, hivatásos szolgálati jogviszonyban, rendvédelmi igazgatási alkalmazotti jogviszonyban, nemzetbiztonsági szolgálati jogviszonyban, nemzetbiztonsági alkalmazotti jogviszonyban foglalkoztatott, hivatásos katonai szolgálati viszonyban, honvédelmi alkalmazotti jogviszonyban, kizárólagos állami tulajdonban álló gazdasági társaság vezető tisztségviselője vagy munkavállalója díjazásban nem részesül.</t>
  </si>
  <si>
    <t xml:space="preserve">VHR-S0911</t>
  </si>
  <si>
    <t xml:space="preserve">104. § A Nemzeti Kiberbiztonsági Munkacsoporttal kapcsolatos kommunikációs feladatokat a kiberbiztonságért felelős biztos vagy helyettese látja el és felügyeli.</t>
  </si>
  <si>
    <t xml:space="preserve">VHR-S0912</t>
  </si>
  <si>
    <t xml:space="preserve">VHR-S0913</t>
  </si>
  <si>
    <t xml:space="preserve">A NEMZETI KOORDINÁCIÓS KÖZPONT</t>
  </si>
  <si>
    <t xml:space="preserve">VHR-S0914</t>
  </si>
  <si>
    <t xml:space="preserve">105. § A Kormány a Kiberbiztonsági tv. 75. §-a szerinti nemzeti koordinációs központként a Nemzetbiztonsági Szakszolgálatot jelöli ki.</t>
  </si>
  <si>
    <t xml:space="preserve">VHR-S0915</t>
  </si>
  <si>
    <t xml:space="preserve">VHR-S0916</t>
  </si>
  <si>
    <t xml:space="preserve">A KIBERBIZTONSÁGI VÁLSÁGHELYZETEK KEZELÉSE</t>
  </si>
  <si>
    <t xml:space="preserve">VHR-S0917</t>
  </si>
  <si>
    <t xml:space="preserve">VHR-S0918</t>
  </si>
  <si>
    <t xml:space="preserve">106. § (1)</t>
  </si>
  <si>
    <t xml:space="preserve">106. § (1) A kiberbiztonsági válsághelyzet kezelésével kapcsolatos feladatokat az érintett személyek, szervek és szervezetek a Kiberbiztonsági tv.-ben és az e rendeletben meghatározottak figyelembevételével, a rájuk vonatkozó jogszabályi rendelkezések és közjogi szervezetszabályozó eszközben előírtak alapján hajtják végre.</t>
  </si>
  <si>
    <t xml:space="preserve">VHR-S0919</t>
  </si>
  <si>
    <t xml:space="preserve">106. § (2)</t>
  </si>
  <si>
    <t xml:space="preserve">(2) A kiberbiztonsági válsághelyzet feltételeinek a fennállását az Operatív Törzs folyamatosan figyelemmel kíséri, és ha a kiberbiztonsági válsághelyzet elrendelésének a feltételei már nem állnak fenn, kezdeményezi az informatikáért felelős miniszternél, hogy tegyen javaslatot a Kormánynak a kiberbiztonsági válsághelyzetet elrendelő kormányrendelet hatályon kívül helyezésére.</t>
  </si>
  <si>
    <t xml:space="preserve">VHR-S0920</t>
  </si>
  <si>
    <t xml:space="preserve">106. § (3)</t>
  </si>
  <si>
    <t xml:space="preserve">(3) A kiberbiztonsági válsághelyzet kezelésével kapcsolatos igazgatási és koordinációs feladatokat a Vbö. 52. § c) pontjában meghatározott nemzeti eseménykezelő központ (a továbbiakban: nemzeti eseménykezelő központ) biztosítja, az érintett kiberbiztonsági incidenskezelő központ aktív támogatásával.</t>
  </si>
  <si>
    <t xml:space="preserve">VHR-S0921</t>
  </si>
  <si>
    <t xml:space="preserve">106. § (4)</t>
  </si>
  <si>
    <t xml:space="preserve">(4) A kiberbiztonsági válsághelyzet kezelésével kapcsolatban megtett ágazati intézkedésekről a védelmi és biztonsági igazgatás központi szervét, valamint az informatikáért felelős miniszter előterjesztése útján a Védelmi Tanácsot haladéktalanul tájékoztatni kell.</t>
  </si>
  <si>
    <t xml:space="preserve">VHR-S0922</t>
  </si>
  <si>
    <t xml:space="preserve">106. § (5)</t>
  </si>
  <si>
    <t xml:space="preserve">(5) A kiberbiztonsági válsághelyzet kezelésével kapcsolatos nemzetközi együttműködéssel összefüggő feladatokat, az IPCR felületen történő tagállami információcsere koordinációját a védelmi és biztonsági igazgatás központi szerve végzi.</t>
  </si>
  <si>
    <t xml:space="preserve">VHR-S0923</t>
  </si>
  <si>
    <t xml:space="preserve">106. § (6)</t>
  </si>
  <si>
    <t xml:space="preserve">(6) A kiberbiztonsági válsághelyzet kezelésével kapcsolatos szakmai feladatokat Magyarország képviseletében az EU–CyCLONe-ban</t>
  </si>
  <si>
    <t xml:space="preserve">VHR-S0924</t>
  </si>
  <si>
    <t xml:space="preserve">106. § (6) a)</t>
  </si>
  <si>
    <t xml:space="preserve">a) vezető tisztviselői, ügyvezetői szinten a védelmi és biztonsági igazgatás központi szerve,</t>
  </si>
  <si>
    <t xml:space="preserve">VHR-S0925</t>
  </si>
  <si>
    <t xml:space="preserve">106. § (6) b)</t>
  </si>
  <si>
    <t xml:space="preserve">b) szakértői szinten</t>
  </si>
  <si>
    <t xml:space="preserve">VHR-S0926</t>
  </si>
  <si>
    <t xml:space="preserve">106. § (6) b) ba)</t>
  </si>
  <si>
    <t xml:space="preserve">ba) a Nemzetbiztonsági Szakszolgálat,</t>
  </si>
  <si>
    <t xml:space="preserve">VHR-S0927</t>
  </si>
  <si>
    <t xml:space="preserve">106. § (6) b) bb)</t>
  </si>
  <si>
    <t xml:space="preserve">bb) az informatikáért felelős miniszter által vezetett minisztérium és felkérés alapján a honvédelemért felelős miniszter által vezetett minisztérium</t>
  </si>
  <si>
    <t xml:space="preserve">VHR-S0928</t>
  </si>
  <si>
    <t xml:space="preserve">VHR-S0929</t>
  </si>
  <si>
    <t xml:space="preserve">VHR-S0930</t>
  </si>
  <si>
    <t xml:space="preserve">107. § (1)</t>
  </si>
  <si>
    <t xml:space="preserve">107. § (1) Magyarország nemzeti kiberválságkezelési tervét (a továbbiakban: nemzeti kiberválságkezelési terv) a kiberbiztonságért felelős biztos koordinációjával a Központ – a Nemzeti Kiberbiztonsági Munkacsoport javaslatai alapján – készíti el.</t>
  </si>
  <si>
    <t xml:space="preserve">VHR-S0931</t>
  </si>
  <si>
    <t xml:space="preserve">107. § (2)</t>
  </si>
  <si>
    <t xml:space="preserve">(2) A nemzeti kiberválságkezelési tervet az Ország Összehangolt Védelmi Tervében foglaltakra figyelemmel, azzal összhangban kell elkészíteni.</t>
  </si>
  <si>
    <t xml:space="preserve">VHR-S0932</t>
  </si>
  <si>
    <t xml:space="preserve">107. § (3)</t>
  </si>
  <si>
    <t xml:space="preserve">(3) A nemzeti kiberválságkezelési terv legalább az alábbiakat határozza meg:</t>
  </si>
  <si>
    <t xml:space="preserve">VHR-S0933</t>
  </si>
  <si>
    <t xml:space="preserve">107. § (3) a)</t>
  </si>
  <si>
    <t xml:space="preserve">a) a nemzeti felkészültségi intézkedések és tevékenységek célkitűzései,</t>
  </si>
  <si>
    <t xml:space="preserve">VHR-S0934</t>
  </si>
  <si>
    <t xml:space="preserve">107. § (3) b)</t>
  </si>
  <si>
    <t xml:space="preserve">b) a kiberbiztonsági válsághelyzetek kezelésével foglalkozó hatóságok feladatai és felelősségei,</t>
  </si>
  <si>
    <t xml:space="preserve">VHR-S0935</t>
  </si>
  <si>
    <t xml:space="preserve">107. § (3) c)</t>
  </si>
  <si>
    <t xml:space="preserve">c) a kiberbiztonsági válsághelyzetek kezelésére szolgáló eljárások, beleértve azok integrálását az általános nemzeti válságkezelési keretbe és az információcserére szolgáló csatornákba,</t>
  </si>
  <si>
    <t xml:space="preserve">VHR-S0936</t>
  </si>
  <si>
    <t xml:space="preserve">107. § (3) d)</t>
  </si>
  <si>
    <t xml:space="preserve">d) nemzeti felkészültségi intézkedések, beleértve a gyakorlatokat és a képzési tevékenységeket,</t>
  </si>
  <si>
    <t xml:space="preserve">VHR-S0937</t>
  </si>
  <si>
    <t xml:space="preserve">107. § (3) e)</t>
  </si>
  <si>
    <t xml:space="preserve">e) az érintett állami és magán érdekelt felek, valamint az érintett infrastruktúra azonosítása,</t>
  </si>
  <si>
    <t xml:space="preserve">VHR-S0938</t>
  </si>
  <si>
    <t xml:space="preserve">107. § (3) f)</t>
  </si>
  <si>
    <t xml:space="preserve">f) nemzeti eljárások és megállapodások az érintett nemzeti hatóságok és szervek között.</t>
  </si>
  <si>
    <t xml:space="preserve">VHR-S0939</t>
  </si>
  <si>
    <t xml:space="preserve">107. § (4)</t>
  </si>
  <si>
    <t xml:space="preserve">(4) A nemzeti kiberválságkezelési terv elfogadását követő három hónapon belül be kell nyújtani az Európai Bizottság és az EU–CyCLONe részére a (3) bekezdésben foglalt releváns információkat, amelyben nem szerepeltethetők a nemzetbiztonsági szempontból érzékeny információk, valamint amelyek közlése ellentétes lenne Magyarország nemzetbiztonsági, honvédelmi, közbiztonsági vagy alapvető érdekeivel vagy azokat sértené.</t>
  </si>
  <si>
    <t xml:space="preserve">VHR-S0940</t>
  </si>
  <si>
    <t xml:space="preserve">107. § (5)</t>
  </si>
  <si>
    <t xml:space="preserve">(5) A (4) bekezdés szerinti információkat a védelmi és biztonsági igazgatás központi szerve küldi meg az Európai Bizottság és az EU–CyCLONe részére a Védelmi Tanács véleményének kikérését követően.</t>
  </si>
  <si>
    <t xml:space="preserve">VHR-S0941</t>
  </si>
  <si>
    <t xml:space="preserve">108. § (1)</t>
  </si>
  <si>
    <t xml:space="preserve">108. § (1) A Kiberbiztonsági tv. 74. § (10) bekezdése szerinti kiberbiztonsági tervet a szakmai standardok és kormányzati iránymutatások alapján kell elkészíteni, amelynek folyamatos nyomonkövetéséről, valamint a kapcsolódó intézkedések felülvizsgálatáról a készítő szervezet vezetője gondoskodik.</t>
  </si>
  <si>
    <t xml:space="preserve">VHR-S0942</t>
  </si>
  <si>
    <t xml:space="preserve">108. § (2)</t>
  </si>
  <si>
    <t xml:space="preserve">(2) A kiberbiztonsági terv a szervezet Védelmi és Biztonsági Intézkedési Tervének része, amely a védelmi és biztonsági szervezet működésére jellemző speciális intézkedéseket tartalmazza.</t>
  </si>
  <si>
    <t xml:space="preserve">VHR-S0943</t>
  </si>
  <si>
    <t xml:space="preserve">109. § (1)</t>
  </si>
  <si>
    <t xml:space="preserve">109. § (1) Az Operatív Törzs a kiberbiztonsági válsághelyzetekre történő felkészülés érdekében</t>
  </si>
  <si>
    <t xml:space="preserve">VHR-S0944</t>
  </si>
  <si>
    <t xml:space="preserve">109. § (1) a)</t>
  </si>
  <si>
    <t xml:space="preserve">a) ágazati vagy központi kiberbiztonsági válságkezelési gyakorlat, valamint</t>
  </si>
  <si>
    <t xml:space="preserve">VHR-S0945</t>
  </si>
  <si>
    <t xml:space="preserve">109. § (1) b)</t>
  </si>
  <si>
    <t xml:space="preserve">b) a kiberbiztonság és kibertudatosság erősítése érdekében oktatás és képzés</t>
  </si>
  <si>
    <t xml:space="preserve">VHR-S0946</t>
  </si>
  <si>
    <t xml:space="preserve">megszervezését kezdeményezheti.</t>
  </si>
  <si>
    <t xml:space="preserve">VHR-S0947</t>
  </si>
  <si>
    <t xml:space="preserve">109. § (2)</t>
  </si>
  <si>
    <t xml:space="preserve">(2) Az (1) bekezdés a) pontja szerinti gyakorlatot az Operatív Törzs</t>
  </si>
  <si>
    <t xml:space="preserve">VHR-S0948</t>
  </si>
  <si>
    <t xml:space="preserve">109. § (2) a)</t>
  </si>
  <si>
    <t xml:space="preserve">a) a nemzeti kiberbiztonsági hatósággal, a védelmi és biztonsági igazgatás központi szervével és a hivatásos katasztrófavédelmi szerv központi szervével, valamint az érintett ágazatot képviselő szervezettel együttműködve, indokolt esetben a Katonai Nemzetbiztonsági Szolgálat, valamint a Magyar Honvédség bevonásával szervezi,</t>
  </si>
  <si>
    <t xml:space="preserve">VHR-S0949</t>
  </si>
  <si>
    <t xml:space="preserve">109. § (2) b)</t>
  </si>
  <si>
    <t xml:space="preserve">b) a kritikus infrastruktúrákat üzemeltető, valamint az ország védelme és biztonsága szempontjából jelentős szervezetek szükség szerinti bevonásával bonyolítja le, valamint</t>
  </si>
  <si>
    <t xml:space="preserve">VHR-S0950</t>
  </si>
  <si>
    <t xml:space="preserve">109. § (2) c)</t>
  </si>
  <si>
    <t xml:space="preserve">c) központi gyakorlattá történő minősítés esetén a védelmi és biztonsági igazgatás központi szervének irányításával bonyolítja le.</t>
  </si>
  <si>
    <t xml:space="preserve">VHR-S0951</t>
  </si>
  <si>
    <t xml:space="preserve">109. § (3)</t>
  </si>
  <si>
    <t xml:space="preserve">(3) Az (1) bekezdés a) pontja szerinti gyakorlat, illetve az (1) bekezdés b) pontja szerinti oktatás, képzés által érintett szervezet köteles a gyakorlaton, illetve az oktatáson és a képzésen részt venni, valamint a szükséges feltételeket biztosítani.</t>
  </si>
  <si>
    <t xml:space="preserve">VHR-S0952</t>
  </si>
  <si>
    <t xml:space="preserve">110. § A kiberbiztonsági válsághelyzetekre történő felkészülés, valamint a kiberbiztonsági válsághelyzetek kezelése érdekében – a jogszabályban meghatározott kiberbiztonsági feladatokra figyelemmel – az elektronikus hírközlési szolgáltató, a közvetítő szolgáltató, a központi rendszer felett rendelkezési jogot gyakorló szervezet, valamint a központi szolgáltató együttműködik a nemzeti eseménykezelő központtal, a Központtal és az Operatív Törzzsel.</t>
  </si>
  <si>
    <t xml:space="preserve">VHR-S0953</t>
  </si>
  <si>
    <t xml:space="preserve">VHR-S0954</t>
  </si>
  <si>
    <t xml:space="preserve">111. § (1)</t>
  </si>
  <si>
    <t xml:space="preserve">111. § (1) Az Európai Bizottságot, valamint az EU–CyCLONE vezető tisztviselői szintjét a nagyszabású kiberbiztonsági incidensekről a 106. § (6) bekezdés a) pontja szerint kijelölt személy tájékoztatja.</t>
  </si>
  <si>
    <t xml:space="preserve">VHR-S0955</t>
  </si>
  <si>
    <t xml:space="preserve">111. § (2)</t>
  </si>
  <si>
    <t xml:space="preserve">(2) Az érintett uniós tagállamok EU–CyCLONE-on keresztüli tájékoztatásának tartalmáról az Operatív Törzs javaslata alapján a kiberbiztonsági válsághelyzet kezelése érdekében a Kormány által kijelölt személy vagy szervezet vezetője dönt.</t>
  </si>
  <si>
    <t xml:space="preserve">VHR-S0956</t>
  </si>
  <si>
    <t xml:space="preserve">VHR-S0957</t>
  </si>
  <si>
    <t xml:space="preserve">EGYÜTTMŰKÖDÉS ÉS JELENTÉSTÉTEL</t>
  </si>
  <si>
    <t xml:space="preserve">VHR-S0958</t>
  </si>
  <si>
    <t xml:space="preserve">VHR-S0959</t>
  </si>
  <si>
    <t xml:space="preserve">112. § (1)</t>
  </si>
  <si>
    <t xml:space="preserve">112. § (1) A nemzeti kiberbiztonsági hatóság, az SZTFH, a honvédelmi kiberbiztonsági hatóság, az (EU) 2022/2554 európai parlamenti és tanácsi rendelet szerinti hatóság, az egyedüli kapcsolattartó pont, a Központ, a honvédelmi kiberbiztonsági incidenskezelő központ, valamint az ágazaton belüli kiberbiztonsági incidenskezelő központ együttműködik a jogszabályban meghatározott kötelezettségek végrehajtása érdekében.</t>
  </si>
  <si>
    <t xml:space="preserve">VHR-S0960</t>
  </si>
  <si>
    <t xml:space="preserve">112. § (2)</t>
  </si>
  <si>
    <t xml:space="preserve">(2) Az (1) bekezdésben említett szervezetek együttműködnek és együttműködési megállapodást köthetnek</t>
  </si>
  <si>
    <t xml:space="preserve">VHR-S0961</t>
  </si>
  <si>
    <t xml:space="preserve">112. § (2) a)</t>
  </si>
  <si>
    <t xml:space="preserve">a) a bűnüldöző hatóságokkal,</t>
  </si>
  <si>
    <t xml:space="preserve">VHR-S0962</t>
  </si>
  <si>
    <t xml:space="preserve">112. § (2) b)</t>
  </si>
  <si>
    <t xml:space="preserve">b) a Nemzeti Adatvédelmi és Információszabadság Hatósággal,</t>
  </si>
  <si>
    <t xml:space="preserve">VHR-S0963</t>
  </si>
  <si>
    <t xml:space="preserve">112. § (2) c)</t>
  </si>
  <si>
    <t xml:space="preserve">c) a polgári légi közlekedés védelmének közös szabályairól és a 2320/2002/EK rendelet hatályon kívül helyezéséről szóló, 2008. március 11-i 300/2008/EK európai parlamenti és tanácsi rendelet szerinti hatósággal,</t>
  </si>
  <si>
    <t xml:space="preserve">VHR-S0964</t>
  </si>
  <si>
    <t xml:space="preserve">112. § (2) d)</t>
  </si>
  <si>
    <t xml:space="preserve">d) a polgári légi közlekedés területén alkalmazandó közös szabályokról és az Európai Unió Repülésbiztonsági Ügynökségének létrehozásáról és a 2111/2005/EK, az 1008/2008/EK, a 996/2010/EU, a 376/2014/EU európai parlamenti és tanácsi rendelet és a 2014/30/EU és a 2014/53/EU európai parlamenti és tanácsi irányelv módosításáról, valamint az 552/2004/EK és a 216/2008/EK európai parlamenti és tanácsi rendelet és a 3922/91/EGK tanácsi rendelet hatályon kívül helyezéséről szóló, 2018. július 4-i (EU) 2018/1139 európai parlamenti és tanácsi rendelet szerinti hatósággal,</t>
  </si>
  <si>
    <t xml:space="preserve">VHR-S0965</t>
  </si>
  <si>
    <t xml:space="preserve">112. § (2) e)</t>
  </si>
  <si>
    <t xml:space="preserve">e) a belső piacon történő elektronikus tranzakciókhoz kapcsolódó elektronikus azonosításról és bizalmi szolgáltatásokról, valamint az 1999/93/EK irányelv hatályon kívül helyezéséről szóló, 2014. július 23-i 910/2014/EU európai parlamenti és tanácsi rendelet (a továbbiakban: 910/2014/EU európai parlamenti és tanácsi rendelet) szerinti felügyeleti szervvel,</t>
  </si>
  <si>
    <t xml:space="preserve">VHR-S0966</t>
  </si>
  <si>
    <t xml:space="preserve">112. § (2) f)</t>
  </si>
  <si>
    <t xml:space="preserve">f) az Európai Elektronikus Hírközlési Kódex létrehozásáról szóló, 2018. december 11-i (EU) 2018/1972 európai parlamenti és tanácsi irányelv [a továbbiakban: (EU) 2018/1972 európai parlamenti és tanácsi irányelv] szerinti nemzeti szabályozó hatósággal,</t>
  </si>
  <si>
    <t xml:space="preserve">VHR-S0967</t>
  </si>
  <si>
    <t xml:space="preserve">112. § (2) g)</t>
  </si>
  <si>
    <t xml:space="preserve">g) a Kszetv. szerinti kijelölő hatósággal,</t>
  </si>
  <si>
    <t xml:space="preserve">VHR-S0968</t>
  </si>
  <si>
    <t xml:space="preserve">112. § (2) h)</t>
  </si>
  <si>
    <t xml:space="preserve">h) a Vbö. szerinti kijelölő hatósággal, valamint</t>
  </si>
  <si>
    <t xml:space="preserve">VHR-S0969</t>
  </si>
  <si>
    <t xml:space="preserve">112. § (2) i)</t>
  </si>
  <si>
    <t xml:space="preserve">i) az egyéb ágazatspecifikus uniós jogi aktusok szerinti illetékes hatósággal.</t>
  </si>
  <si>
    <t xml:space="preserve">VHR-S0970</t>
  </si>
  <si>
    <t xml:space="preserve">112. § (3)</t>
  </si>
  <si>
    <t xml:space="preserve">(3) Az (1) bekezdés szerinti szervezetek és a 910/2014/EU európai parlamenti és tanácsi rendelet, az (EU) 2022/2554 európai parlamenti és tanácsi rendelet, valamint az (EU) 2018/1972 európai parlamenti és tanácsi irányelv szerinti hatóság rendszeresen információkat cserélnek, többek között a kiberbiztonsági incidensekkel és kiberfenyegetésekkel kapcsolatban.</t>
  </si>
  <si>
    <t xml:space="preserve">VHR-S0971</t>
  </si>
  <si>
    <t xml:space="preserve">112. § (4)</t>
  </si>
  <si>
    <t xml:space="preserve">(4) A nemzeti kiberbiztonsági hatóság, valamint a Központ az (EU) 2022/2554 európai parlamenti és tanácsi rendelet szerinti hatóság nyilvántartásából megismerheti az alábbi adatokat:</t>
  </si>
  <si>
    <t xml:space="preserve">VHR-S0972</t>
  </si>
  <si>
    <t xml:space="preserve">112. § (4) a)</t>
  </si>
  <si>
    <t xml:space="preserve">a) a szervezet azonosításához szükséges adatokat,</t>
  </si>
  <si>
    <t xml:space="preserve">VHR-S0973</t>
  </si>
  <si>
    <t xml:space="preserve">112. § (4) b)</t>
  </si>
  <si>
    <t xml:space="preserve">b) a szervezet elérhetőségeit, ideértve elektronikus elérhetőségeket.</t>
  </si>
  <si>
    <t xml:space="preserve">VHR-S0974</t>
  </si>
  <si>
    <t xml:space="preserve">113. § (1)</t>
  </si>
  <si>
    <t xml:space="preserve">113. § (1) Az SZTFH tájékoztatja az egyedüli kapcsolattartó pontot</t>
  </si>
  <si>
    <t xml:space="preserve">VHR-S0975</t>
  </si>
  <si>
    <t xml:space="preserve">113. § (1) a)</t>
  </si>
  <si>
    <t xml:space="preserve">a) kétévente március 15-ig a Kiberbiztonsági tv. 1. § (1) bekezdés d) és e) pontja szerinti szervezetek vonatkozásában az (EU) 2022/2555 európai parlamenti és tanácsi irányelv I. vagy II. mellékletében említett ágazatok és alágazatok szerinti bontásban az alapvető és fontos szervezetek számáról;</t>
  </si>
  <si>
    <t xml:space="preserve">VHR-S0976</t>
  </si>
  <si>
    <t xml:space="preserve">113. § (1) b)</t>
  </si>
  <si>
    <t xml:space="preserve">b) a DNS-szolgáltatók, a legfelső szintű doménnév-nyilvántartók, a doménnév-nyilvántartási szolgáltatásokat nyújtó szervezetek, a felhőszolgáltatók, az adatközpont-szolgáltatók, a tartalomszolgáltató hálózati szolgáltatók, az irányított szolgáltatók és az irányított biztonsági szolgáltatók, valamint az online piacterek, az online keresőprogramok és a közösségimédia-szolgáltatási platformok vonatkozásában a következő alábbi adatokról:</t>
  </si>
  <si>
    <t xml:space="preserve">VHR-S0977</t>
  </si>
  <si>
    <t xml:space="preserve">113. § (1) b) ba)</t>
  </si>
  <si>
    <t xml:space="preserve">ba) a szervezet neve,</t>
  </si>
  <si>
    <t xml:space="preserve">VHR-S0978</t>
  </si>
  <si>
    <t xml:space="preserve">113. § (1) b) bb)</t>
  </si>
  <si>
    <t xml:space="preserve">bb) az (EU) 2022/2555 európai parlamenti és tanácsi irányelv I. vagy II. mellékletében említett érintett ágazat, alágazat és szervezettípus,</t>
  </si>
  <si>
    <t xml:space="preserve">VHR-S0979</t>
  </si>
  <si>
    <t xml:space="preserve">113. § (1) b) bc)</t>
  </si>
  <si>
    <t xml:space="preserve">bc) a szervezet székhelye, telephelye, fióktelepe, vagy nem az Európai Unióban letelepedett szervezet esetében kijelölt képviselőjének a címe,</t>
  </si>
  <si>
    <t xml:space="preserve">VHR-S0980</t>
  </si>
  <si>
    <t xml:space="preserve">113. § (1) b) bd)</t>
  </si>
  <si>
    <t xml:space="preserve">bd) a szervezet és kijelölt képviselőjének elérhetőségei, beleértve e-mail-címét és telefonszámát is,</t>
  </si>
  <si>
    <t xml:space="preserve">VHR-S0981</t>
  </si>
  <si>
    <t xml:space="preserve">113. § (1) b) be)</t>
  </si>
  <si>
    <t xml:space="preserve">be) azok az európai uniós tagállamok, amelyekben a szervezet szolgáltatásokat nyújt;</t>
  </si>
  <si>
    <t xml:space="preserve">VHR-S0982</t>
  </si>
  <si>
    <t xml:space="preserve">113. § (1) c)</t>
  </si>
  <si>
    <t xml:space="preserve">c) a b) pont szerinti adatok változásáról a változás bejelentését követő 30 napon belül.</t>
  </si>
  <si>
    <t xml:space="preserve">VHR-S0983</t>
  </si>
  <si>
    <t xml:space="preserve">113. § (2)</t>
  </si>
  <si>
    <t xml:space="preserve">(2) Az (EU) 2022/2554 európai parlamenti és tanácsi rendelet szerinti hatóság tájékoztatja az egyedüli kapcsolattartó pontot kétévente március 15-ig az alábbi ágazatok szerinti szervezetek számáról:</t>
  </si>
  <si>
    <t xml:space="preserve">VHR-S0984</t>
  </si>
  <si>
    <t xml:space="preserve">113. § (2) a)</t>
  </si>
  <si>
    <t xml:space="preserve">a) banki szolgáltatások ágazat esetében a hitelintézetekre és befektetési vállalkozásokra vonatkozó prudenciális követelményekről és a 648/2012/EU rendelet módosításáról szóló, 2013. június 26-i 575/2013/EU európai parlamenti és tanácsi rendelet 4. cikk 1. pontjában meghatározott hitelintézetek,</t>
  </si>
  <si>
    <t xml:space="preserve">VHR-S0985</t>
  </si>
  <si>
    <t xml:space="preserve">113. § (2) b)</t>
  </si>
  <si>
    <t xml:space="preserve">b) pénzügyi piaci infrastruktúrák ágazat esetében</t>
  </si>
  <si>
    <t xml:space="preserve">VHR-S0986</t>
  </si>
  <si>
    <t xml:space="preserve">113. § (2) b) ba)</t>
  </si>
  <si>
    <t xml:space="preserve">ba) a pénzügyi eszközök piacairól, valamint a 2002/92/EK irányelv és a 2011/61/EU irányelv módosításáról szóló, 2014. május 15-i 2014/65/EU európai parlamenti és tanácsi irányelv 4. cikk (1) bekezdés 24. pontjában meghatározott kereskedési helyszínek működtetői, valamint</t>
  </si>
  <si>
    <t xml:space="preserve">VHR-S0987</t>
  </si>
  <si>
    <t xml:space="preserve">113. § (2) b) bb)</t>
  </si>
  <si>
    <t xml:space="preserve">bb) a tőzsdén kívüli származtatott ügyletekről, a központi szerződő felekről és a kereskedési adattárakról szóló, 2012. július 4-i 648/2012/EU európai parlamenti és tanácsi rendelet 2. cikk 1. pontjában meghatározott központi szerződő felek.</t>
  </si>
  <si>
    <t xml:space="preserve">VHR-S0988</t>
  </si>
  <si>
    <t xml:space="preserve">113. § (3)</t>
  </si>
  <si>
    <t xml:space="preserve">(3) A nemzeti kiberbiztonsági hatóság tájékoztatja az egyedüli kapcsolattartó pontot:</t>
  </si>
  <si>
    <t xml:space="preserve">VHR-S0989</t>
  </si>
  <si>
    <t xml:space="preserve">113. § (3) a)</t>
  </si>
  <si>
    <t xml:space="preserve">a) kétévente március 31-ig</t>
  </si>
  <si>
    <t xml:space="preserve">VHR-S0990</t>
  </si>
  <si>
    <t xml:space="preserve">113. § (3) a) aa)</t>
  </si>
  <si>
    <t xml:space="preserve">aa) a Kiberbiztonsági tv. 1. § (1) bekezdés a)–c) és f) pontja, valamint 1. § (2a) bekezdése szerinti szervezetek vonatkozásában az (EU) 2022/2555 európai parlamenti és tanácsi irányelv I. vagy II. mellékletében említett ágazatok és alágazatok szerinti bontásban az alapvető és fontos szervezetek számáról, valamint</t>
  </si>
  <si>
    <t xml:space="preserve">VHR-S0991</t>
  </si>
  <si>
    <t xml:space="preserve">113. § (3) a) ab)</t>
  </si>
  <si>
    <t xml:space="preserve">ab) az azonosított alapvető és fontos szervezetek számáról, az (EU) 2022/2555 európai parlamenti és tanácsi irányelv I. vagy II. mellékletében említett ágazatuk, alágazatuk, az általuk nyújtott szolgáltatás típusa szerinti bontásban, valamint az azonosításuk alapjául szolgáló rendelkezésről,</t>
  </si>
  <si>
    <t xml:space="preserve">VHR-S0992</t>
  </si>
  <si>
    <t xml:space="preserve">113. § (3) b)</t>
  </si>
  <si>
    <t xml:space="preserve">b) az Európai Bizottság kérése esetén az ab) pontban említett alapvető és fontos szervezetek nevéről, amennyiben az nemzetbiztonsági, honvédelmi vagy egyéb biztonsági érdeket nem sért.</t>
  </si>
  <si>
    <t xml:space="preserve">VHR-S0993</t>
  </si>
  <si>
    <t xml:space="preserve">113. § (4)</t>
  </si>
  <si>
    <t xml:space="preserve">(4) A Központ háromhavonta tájékoztatja az egyedüli kapcsolattartó pontot a bejelentett kiberbiztonsági incidensekről, kiberfenyegetésekről és majdnem bekövetkezett eseményekről a bejelentésekre vonatkozó statisztikai kimutatás megküldése útján.</t>
  </si>
  <si>
    <t xml:space="preserve">VHR-S0994</t>
  </si>
  <si>
    <t xml:space="preserve">VHR-S0995</t>
  </si>
  <si>
    <t xml:space="preserve">114. § (1)</t>
  </si>
  <si>
    <t xml:space="preserve">114. § (1) Az egyedüli kapcsolattartó pont összekötő feladatokat lát el</t>
  </si>
  <si>
    <t xml:space="preserve">VHR-S0996</t>
  </si>
  <si>
    <t xml:space="preserve">114. § (1) a)</t>
  </si>
  <si>
    <t xml:space="preserve">a) az Európai Bizottság felé,</t>
  </si>
  <si>
    <t xml:space="preserve">VHR-S0997</t>
  </si>
  <si>
    <t xml:space="preserve">114. § (1) b)</t>
  </si>
  <si>
    <t xml:space="preserve">b) az ENISA felé,</t>
  </si>
  <si>
    <t xml:space="preserve">VHR-S0998</t>
  </si>
  <si>
    <t xml:space="preserve">114. § (1) c)</t>
  </si>
  <si>
    <t xml:space="preserve">c) a többi európai uniós tagállam egyedüli kapcsolattartó pontjával,</t>
  </si>
  <si>
    <t xml:space="preserve">VHR-S0999</t>
  </si>
  <si>
    <t xml:space="preserve">114. § (1) d)</t>
  </si>
  <si>
    <t xml:space="preserve">d) az (EU) 2022/2555 európai parlamenti és tanácsi irányelv együttműködési csoportjával (a továbbiakban: NIS Együttműködési Csoport), valamint</t>
  </si>
  <si>
    <t xml:space="preserve">VHR-S1000</t>
  </si>
  <si>
    <t xml:space="preserve">114. § (1) e)</t>
  </si>
  <si>
    <t xml:space="preserve">e) a magyar kiberbiztonsági szervekkel.</t>
  </si>
  <si>
    <t xml:space="preserve">VHR-S1001</t>
  </si>
  <si>
    <t xml:space="preserve">114. § (2)</t>
  </si>
  <si>
    <t xml:space="preserve">(2) Az egyedüli kapcsolattartó pont a 113. § szerinti adatszolgáltatások alapján megküldi</t>
  </si>
  <si>
    <t xml:space="preserve">VHR-S1002</t>
  </si>
  <si>
    <t xml:space="preserve">114. § (2) a)</t>
  </si>
  <si>
    <t xml:space="preserve">a) az Európai Bizottságnak és a NIS Együttműködési Csoportnak: kétévente az (EU) 2022/2555 európai parlamenti és tanácsi irányelv I. vagy II. mellékletében említett egyes ágazatok és alágazatok tekintetében az alapvető és fontos szervezetek számát;</t>
  </si>
  <si>
    <t xml:space="preserve">VHR-S1003</t>
  </si>
  <si>
    <t xml:space="preserve">114. § (2) b)</t>
  </si>
  <si>
    <t xml:space="preserve">b) az Európai Bizottságnak kétévente az azonosított alapvető és fontos szervezetek számát, az (EU) 2022/2555 európai parlamenti és tanácsi irányelv I. vagy II. mellékletében említett ágazatukról és alágazatukról, az általuk nyújtott szolgáltatás típusáról, valamint az azonosításuk alapjául szolgáló rendelkezésről szóló releváns információkat;</t>
  </si>
  <si>
    <t xml:space="preserve">VHR-S1004</t>
  </si>
  <si>
    <t xml:space="preserve">114. § (2) c)</t>
  </si>
  <si>
    <t xml:space="preserve">c) az Európai Bizottságnak kérésére a b) pontban említett alapvető és fontos szervezetek nevét, amennyiben az nemzetbiztonsági, honvédelmi vagy egyéb biztonsági érdeket nem sért;</t>
  </si>
  <si>
    <t xml:space="preserve">VHR-S1005</t>
  </si>
  <si>
    <t xml:space="preserve">114. § (2) d)</t>
  </si>
  <si>
    <t xml:space="preserve">d) az ENISA-nak a 113. § (1) bekezdés b) és c) pontja szerinti információkat a szolgáltatói nyilvántartáshoz.</t>
  </si>
  <si>
    <t xml:space="preserve">VHR-S1006</t>
  </si>
  <si>
    <t xml:space="preserve">114. § (2a)</t>
  </si>
  <si>
    <t xml:space="preserve">(2a) Az egyedüli kapcsolattartó pont a 113. § (1) bekezdés c) pontja szerinti adatszolgáltatás kézhezvételét követően haladéktalanul tájékoztatja az ENISA-t a szolgáltatói nyilvántartáshoz megküldött adatokban bekövetkezett változásról.</t>
  </si>
  <si>
    <t xml:space="preserve">VHR-S1007</t>
  </si>
  <si>
    <t xml:space="preserve">114. § (3)</t>
  </si>
  <si>
    <t xml:space="preserve">(3) Az egyedüli kapcsolattartó pont – a Központ 113. § (4) bekezdése szerinti adatszolgáltatása alapján – háromhavonta összefoglaló jelentést nyújt be az ENISA-nak a bejelentett jelentős incidensekről, incidensekről, kiberfenyegetésekről és incidens közeli helyzetekről.</t>
  </si>
  <si>
    <t xml:space="preserve">VHR-S1008</t>
  </si>
  <si>
    <t xml:space="preserve">115. § (1)</t>
  </si>
  <si>
    <t xml:space="preserve">115. § (1) Az adatszolgáltatási és tájékoztatási kötelezettség teljesítése során érzékeny információ csak akkor osztható meg az Európai Bizottsággal és más európai uniós szervekkel, ha az információcsere az (EU) 2022/2555 európai parlamenti és tanácsi irányelv alkalmazásához szükséges. A megosztott információnak az információcsere célja szempontjából lényeges és arányos mértékre kell korlátozódnia.</t>
  </si>
  <si>
    <t xml:space="preserve">VHR-S1009</t>
  </si>
  <si>
    <t xml:space="preserve">115. § (2)</t>
  </si>
  <si>
    <t xml:space="preserve">(2) Az információcsere során meg kell őrizni a rendelkezésre bocsátott információk bizalmas jellegét, és óvni kell az érintett szervezetek biztonsági és üzleti érdekeit.</t>
  </si>
  <si>
    <t xml:space="preserve">VHR-S1010</t>
  </si>
  <si>
    <t xml:space="preserve">115. § (3)</t>
  </si>
  <si>
    <t xml:space="preserve">(3) Az adatszolgáltatás és tájékoztatás keretében nem szolgáltatható olyan adat vagy információ, amely ellentétes lenne Magyarország nemzetbiztonsági, honvédelmi vagy alapvető biztonsági érdekeivel vagy azt sértené.</t>
  </si>
  <si>
    <t xml:space="preserve">VHR-S1011</t>
  </si>
  <si>
    <t xml:space="preserve">VHR-S1012</t>
  </si>
  <si>
    <t xml:space="preserve">116. § (1)</t>
  </si>
  <si>
    <t xml:space="preserve">116. § (1) A nemzeti kiberbiztonsági hatóság és a Központ – a Nemzeti Kiberbiztonsági Munkacsoport egyetértésével – kezdeményezhet és önkéntes alapon részt vehet az (EU) 2022/2555 európai parlamenti és tanácsi irányelv szerinti szakértői értékelésekben (a továbbiakban: európai szakértői értékelés). Az európai szakértői értékelés a következők legalább egyikéből áll:</t>
  </si>
  <si>
    <t xml:space="preserve">VHR-S1013</t>
  </si>
  <si>
    <t xml:space="preserve">116. § (1) a)</t>
  </si>
  <si>
    <t xml:space="preserve">a) az (EU) 2022/2555 európai parlamenti és tanácsi irányelv 21. és 23. cikkében említett kiberbiztonsági kockázatkezelési intézkedések és jelentéstételi kötelezettségek végrehajtásának szintje;</t>
  </si>
  <si>
    <t xml:space="preserve">VHR-S1014</t>
  </si>
  <si>
    <t xml:space="preserve">116. § (1) b)</t>
  </si>
  <si>
    <t xml:space="preserve">b) a képességek szintje, ideértve a rendelkezésre álló pénzügyi, technikai és humán erőforrásokat, valamint az illetékes hatóságok feladatai ellátásának hatékonyságát;</t>
  </si>
  <si>
    <t xml:space="preserve">VHR-S1015</t>
  </si>
  <si>
    <t xml:space="preserve">116. § (1) c)</t>
  </si>
  <si>
    <t xml:space="preserve">c) a CSIRT-ek műveleti képességei;</t>
  </si>
  <si>
    <t xml:space="preserve">VHR-S1016</t>
  </si>
  <si>
    <t xml:space="preserve">116. § (1) d)</t>
  </si>
  <si>
    <t xml:space="preserve">d) az (EU) 2022/2555 európai parlamenti és tanácsi irányelv 37. cikkében említett kölcsönös segítségnyújtás végrehajtási szintje;</t>
  </si>
  <si>
    <t xml:space="preserve">VHR-S1017</t>
  </si>
  <si>
    <t xml:space="preserve">116. § (1) e)</t>
  </si>
  <si>
    <t xml:space="preserve">e) az (EU) 2022/2555 európai parlamenti és tanácsi irányelv szerinti 29. cikkében említett kiberbiztonsági információmegosztási megállapodások végrehajtási szintje;</t>
  </si>
  <si>
    <t xml:space="preserve">VHR-S1018</t>
  </si>
  <si>
    <t xml:space="preserve">116. § (1) f)</t>
  </si>
  <si>
    <t xml:space="preserve">f) határokon vagy ágazatokon átnyúló jellegű konkrét kérdések.</t>
  </si>
  <si>
    <t xml:space="preserve">VHR-S1019</t>
  </si>
  <si>
    <t xml:space="preserve">116. § (2)</t>
  </si>
  <si>
    <t xml:space="preserve">(2) Az európai szakértői értékelést – a NIS Együttműködési Csoport által kidolgozott módszertan alapján – kiberbiztonsági szakértők végzik.</t>
  </si>
  <si>
    <t xml:space="preserve">VHR-S1020</t>
  </si>
  <si>
    <t xml:space="preserve">116. § (3)</t>
  </si>
  <si>
    <t xml:space="preserve">(3) A nemzeti kiberbiztonsági hatóság és a Központ az európai szakértői értékelés</t>
  </si>
  <si>
    <t xml:space="preserve">VHR-S1021</t>
  </si>
  <si>
    <t xml:space="preserve">116. § (3) a)</t>
  </si>
  <si>
    <t xml:space="preserve">a) kezdeményezése során konkrét kérdéseket határozhat meg az európai szakértői értékelés céljából,</t>
  </si>
  <si>
    <t xml:space="preserve">VHR-S1022</t>
  </si>
  <si>
    <t xml:space="preserve">116. § (3) b)</t>
  </si>
  <si>
    <t xml:space="preserve">b) megkezdése előtt értesíti a részt vevő tagállamokat az európai szakértői értékelés hatóköréről, beleértve a konkrét kérdéseket is,</t>
  </si>
  <si>
    <t xml:space="preserve">VHR-S1023</t>
  </si>
  <si>
    <t xml:space="preserve">116. § (3) c)</t>
  </si>
  <si>
    <t xml:space="preserve">c) megkezdése előtt – a NIS Együttműködési Csoport által közzétett módszertan alapján – önértékelést végezhet az értékelt szempontokról, és ezt az önértékelést átadhatja a kijelölt kiberbiztonsági szakértőknek,</t>
  </si>
  <si>
    <t xml:space="preserve">VHR-S1024</t>
  </si>
  <si>
    <t xml:space="preserve">116. § (3) d)</t>
  </si>
  <si>
    <t xml:space="preserve">d) során az értékelésben részt vevő szakértőt érintő összeférhetetlenség kockázatát az európai szakértői értékelés megkezdése előtt, illetve a tudomásszerzést követően haladéktalanul jelezi az érintett tagállamnak, a NIS Együttműködési Csoportnak, az Európai Bizottságnak és az ENISA-nak,</t>
  </si>
  <si>
    <t xml:space="preserve">VHR-S1025</t>
  </si>
  <si>
    <t xml:space="preserve">116. § (3) e)</t>
  </si>
  <si>
    <t xml:space="preserve">e) megkezdését megelőzően, illetve a tudomásszerzést követően – megfelelő indoklással ellátva – kifogást emelhet a szakértőt kijelölő tagállamnál a szakértő kijelölésével szemben,</t>
  </si>
  <si>
    <t xml:space="preserve">VHR-S1026</t>
  </si>
  <si>
    <t xml:space="preserve">116. § (3) f)</t>
  </si>
  <si>
    <t xml:space="preserve">f) eredményeként készített jelentés-tervezet vonatkozásában észrevételt tehet,</t>
  </si>
  <si>
    <t xml:space="preserve">VHR-S1027</t>
  </si>
  <si>
    <t xml:space="preserve">116. § (3) g)</t>
  </si>
  <si>
    <t xml:space="preserve">g) tárgyában készített jelentést vagy annak kivonatát honlapján közzéteheti,</t>
  </si>
  <si>
    <t xml:space="preserve">VHR-S1028</t>
  </si>
  <si>
    <t xml:space="preserve">116. § (3) h)</t>
  </si>
  <si>
    <t xml:space="preserve">h) során – a bizalmas vagy minősített adatok védelmét szolgáló nemzeti vagy uniós jog sérelme nélkül, valamint Magyarország nemzetbiztonsági, közbiztonsági vagy alapvető védelmi érdekeinek sérelme nélkül – megadja az értékeléshez szükséges információkat a kijelölt kiberbiztonsági szakértőknek.</t>
  </si>
  <si>
    <t xml:space="preserve">VHR-S1029</t>
  </si>
  <si>
    <t xml:space="preserve">116. § (4)</t>
  </si>
  <si>
    <t xml:space="preserve">(4) Az (1) bekezdés és a (3) bekezdés a) pontja alapján meghatározott, szakértői értékelésnek alávetett szempontokkal azonos szempontok további szakértői értékelésnek nem vethetők alá a szakértői értékelés lezárását követő két éven belül, kivéve, ha azt a nemzeti kiberbiztonsági hatóság vagy a Központ kéri, vagy arról a NIS Együttműködési Csoport javaslata alapján megállapodás született.</t>
  </si>
  <si>
    <t xml:space="preserve">VHR-S1030</t>
  </si>
  <si>
    <t xml:space="preserve">117. § (1)</t>
  </si>
  <si>
    <t xml:space="preserve">117. § (1) A más európai uniós tagállam által kezdeményezett európai szakértői értékelés esetén a Magyarország részéről delegálandó kiberbiztonsági szakértő kiválasztása során a NIS Együttműködési Csoport által kidolgozott módszertanban meghatározott szempontok figyelembevételével kell eljárni.</t>
  </si>
  <si>
    <t xml:space="preserve">VHR-S1031</t>
  </si>
  <si>
    <t xml:space="preserve">117. § (2)</t>
  </si>
  <si>
    <t xml:space="preserve">(2) Az európai értékelésben résztvevő szakértő</t>
  </si>
  <si>
    <t xml:space="preserve">VHR-S1032</t>
  </si>
  <si>
    <t xml:space="preserve">117. § (2) a)</t>
  </si>
  <si>
    <t xml:space="preserve">a) a NIS Együttműködési Csoport által kidolgozott magatartási kódexben meghatározottak szerint jár el,</t>
  </si>
  <si>
    <t xml:space="preserve">VHR-S1033</t>
  </si>
  <si>
    <t xml:space="preserve">117. § (2) b)</t>
  </si>
  <si>
    <t xml:space="preserve">b) az európai szakértői értékelés során kapott információkat kizárólag az értékelés végrehajtása érdekében használhatja fel,</t>
  </si>
  <si>
    <t xml:space="preserve">VHR-S1034</t>
  </si>
  <si>
    <t xml:space="preserve">117. § (2) c)</t>
  </si>
  <si>
    <t xml:space="preserve">c) az európai szakértői értékelés során kapott érzékeny vagy bizalmas információt nem közölheti harmadik személlyel,</t>
  </si>
  <si>
    <t xml:space="preserve">VHR-S1035</t>
  </si>
  <si>
    <t xml:space="preserve">117. § (2) d)</t>
  </si>
  <si>
    <t xml:space="preserve">d) köteles jelezni a személyével szemben fennálló összeférhetetlenséget okozó körülményeket a kijelölést megelőzően, illetve a körülmény felmerülését vagy tudomására jutását követően haladéktalanul,</t>
  </si>
  <si>
    <t xml:space="preserve">VHR-S1036</t>
  </si>
  <si>
    <t xml:space="preserve">117. § (2) e)</t>
  </si>
  <si>
    <t xml:space="preserve">e) az értékelést végző szakértőkkel közösen jelentést készít az európai szakértői értékelés eredményeiről és következtetéseiről.</t>
  </si>
  <si>
    <t xml:space="preserve">VHR-S1037</t>
  </si>
  <si>
    <t xml:space="preserve">XI. FEJEZET</t>
  </si>
  <si>
    <t xml:space="preserve">VHR-S1038</t>
  </si>
  <si>
    <t xml:space="preserve">VHR-S1039</t>
  </si>
  <si>
    <t xml:space="preserve">VHR-S1040</t>
  </si>
  <si>
    <t xml:space="preserve">118. § (1)</t>
  </si>
  <si>
    <t xml:space="preserve">118. § (1) Ez a rendelet – a (2) bekezdésben foglalt kivétellel – 2025. január 1-jén lép hatályba.</t>
  </si>
  <si>
    <t xml:space="preserve">VHR-S1041</t>
  </si>
  <si>
    <t xml:space="preserve">118. § (2)</t>
  </si>
  <si>
    <t xml:space="preserve">(2) A 42–44. §, a 46. §, a 47. §, a 144. §, a 2. melléklet, a 3. melléklet és a 4. melléklet az e rendelet kihirdetését követő 16. napon lép hatályba.</t>
  </si>
  <si>
    <t xml:space="preserve">VHR-S1042</t>
  </si>
  <si>
    <t xml:space="preserve">VHR-S1043</t>
  </si>
  <si>
    <t xml:space="preserve">119. § (1)</t>
  </si>
  <si>
    <t xml:space="preserve">119. § (1) A központi szolgáltató a 15. § (3) bekezdésében foglalt kötelezettséget a 2025. év folyamán akként teljesíti, hogy a központi szolgáltatással kapcsolatos, 15. § (3) bekezdésében foglalt információkat a szolgáltatáskatalógus helyett a felhasználó szervezet számára elérhetővé teszi.</t>
  </si>
  <si>
    <t xml:space="preserve">VHR-S1044</t>
  </si>
  <si>
    <t xml:space="preserve">119. § (2)</t>
  </si>
  <si>
    <t xml:space="preserve">(2) Az SZTFH a 113. § (1) bekezdése szerinti adatszolgáltatást első alkalommal 2025. március 31-ig teljesíti az egyedüli kapcsolattartó pont felé.</t>
  </si>
  <si>
    <t xml:space="preserve">VHR-S1045</t>
  </si>
  <si>
    <t xml:space="preserve">119. § (3)</t>
  </si>
  <si>
    <t xml:space="preserve">(3) Az (EU) 2022/2554 európai parlamenti és tanácsi rendelet szerinti hatóság a 113. § (2) bekezdése szerinti adatszolgáltatást első alkalommal 2025. március 31-ig teljesíti az egyedüli kapcsolattartó pont felé.</t>
  </si>
  <si>
    <t xml:space="preserve">VHR-S1046</t>
  </si>
  <si>
    <t xml:space="preserve">119. § (4)</t>
  </si>
  <si>
    <t xml:space="preserve">(4) A nemzeti kiberbiztonsági hatóság a 113. § (3) bekezdés a) pontja szerinti adatszolgáltatást első alkalommal 2025. március 31-ig teljesíti az egyedüli kapcsolattartó pont felé.</t>
  </si>
  <si>
    <t xml:space="preserve">VHR-S1047</t>
  </si>
  <si>
    <t xml:space="preserve">119. § (5)</t>
  </si>
  <si>
    <t xml:space="preserve">(5) A Központ a 113. § (4) bekezdése szerinti adatszolgáltatást első alkalommal 2025. április 15-ig teljesíti az egyedüli kapcsolattartó pont felé.</t>
  </si>
  <si>
    <t xml:space="preserve">VHR-S1048</t>
  </si>
  <si>
    <t xml:space="preserve">119. § (6)</t>
  </si>
  <si>
    <t xml:space="preserve">(6) Az egyedüli kapcsolattartó pont</t>
  </si>
  <si>
    <t xml:space="preserve">VHR-S1049</t>
  </si>
  <si>
    <t xml:space="preserve">119. § (6) a)</t>
  </si>
  <si>
    <t xml:space="preserve">a) a 114. § (2) bekezdés a) és b) pontja szerinti adatszolgáltatást első alkalommal 2025. április 17-ig,</t>
  </si>
  <si>
    <t xml:space="preserve">VHR-S1050</t>
  </si>
  <si>
    <t xml:space="preserve">119. § (6) b)</t>
  </si>
  <si>
    <t xml:space="preserve">b) a 114. § (2) bekezdés d) pontja szerinti adatszolgáltatást 2025. április 17-ig,</t>
  </si>
  <si>
    <t xml:space="preserve">VHR-S1051</t>
  </si>
  <si>
    <t xml:space="preserve">119. § (6) c)</t>
  </si>
  <si>
    <t xml:space="preserve">c) a 114. § (3) bekezdése szerinti adatszolgáltatást első alkalommal 2025. április 30-ig</t>
  </si>
  <si>
    <t xml:space="preserve">VHR-S1052</t>
  </si>
  <si>
    <t xml:space="preserve">teljesíti.</t>
  </si>
  <si>
    <t xml:space="preserve">VHR-S1053</t>
  </si>
  <si>
    <t xml:space="preserve">119. § (7)</t>
  </si>
  <si>
    <t xml:space="preserve">(7) Az elektronikus információs rendszerek biztonsági felügyeletét ellátó hatóságok, valamint az információbiztonsági felügyelő feladat- és hatásköréről, továbbá a zárt célú elektronikus információs rendszerek meghatározásáról szóló 187/2015. (VII. 13.) Korm. rendelet [a továbbiakban: 187/2015. (VII. 13.) Korm. rendelet] rendelkezései alapján folyamatban lévő hatósági ügyeket a nemzeti kiberbiztonsági hatóság a 187/2015. (VII. 13.) Korm. rendelet szerint zárja le.</t>
  </si>
  <si>
    <t xml:space="preserve">VHR-S1054</t>
  </si>
  <si>
    <t xml:space="preserve">VHR-S1055</t>
  </si>
  <si>
    <t xml:space="preserve">120. § (1) Ez a rendelet</t>
  </si>
  <si>
    <t xml:space="preserve">VHR-S1056</t>
  </si>
  <si>
    <t xml:space="preserve">120. § (1) a)</t>
  </si>
  <si>
    <t xml:space="preserve">a) az Unió egész területén egységesen magas szintű kiberbiztonságot biztosító intézkedésekről, valamint a 910/2014/EU rendelet és az (EU) 2018/1972 irányelv módosításáról és az (EU) 2016/1148 irányelv hatályon kívül helyezéséről (NIS 2 irányelv) szóló, 2022. december 14-i (EU) 2022/2555 európai parlamenti és tanácsi irányelvnek, valamint</t>
  </si>
  <si>
    <t xml:space="preserve">VHR-S1057</t>
  </si>
  <si>
    <t xml:space="preserve">120. § (1) b)</t>
  </si>
  <si>
    <t xml:space="preserve">b) a kritikus szervezetek rezilienciájáról és a 2008/114/EK tanácsi irányelv hatályon kívül helyezéséről szóló, 2022. december 14-i (EU) 2022/2557 európai parlamenti és tanácsi irányelvnek</t>
  </si>
  <si>
    <t xml:space="preserve">VHR-S1058</t>
  </si>
  <si>
    <t xml:space="preserve">VHR-S1059</t>
  </si>
  <si>
    <t xml:space="preserve">(2) Ez a rendelet</t>
  </si>
  <si>
    <t xml:space="preserve">VHR-S1060</t>
  </si>
  <si>
    <t xml:space="preserve">120. § (2) a)</t>
  </si>
  <si>
    <t xml:space="preserve">VHR-S1061</t>
  </si>
  <si>
    <t xml:space="preserve">120. § (2) b)</t>
  </si>
  <si>
    <t xml:space="preserve">VHR-S1062</t>
  </si>
  <si>
    <t xml:space="preserve">120. § (2) c)</t>
  </si>
  <si>
    <t xml:space="preserve">VHR-S1063</t>
  </si>
  <si>
    <t xml:space="preserve">120. § (2) d)</t>
  </si>
  <si>
    <t xml:space="preserve">d) a digitális elemeket tartalmazó termékekre vonatkozó horizontális kiberbiztonsági követelményekről, valamint a 168/2013/EU és az (EU) 2019/1020 rendelet, és az (EU) 2020/1828 irányelv módosításáról (a kiberrezilienciáról szóló rendelet) szóló, 2024. október 23-i (EU) 2024/2847 európai parlamenti és tanácsi rendeletnek</t>
  </si>
  <si>
    <t xml:space="preserve">VHR-S1064</t>
  </si>
  <si>
    <t xml:space="preserve">VHR-S1065</t>
  </si>
  <si>
    <t xml:space="preserve">VHR-S1066</t>
  </si>
  <si>
    <t xml:space="preserve">VHR-S1067</t>
  </si>
  <si>
    <t xml:space="preserve">VHR-S1068</t>
  </si>
  <si>
    <t xml:space="preserve">VHR-S1069</t>
  </si>
  <si>
    <t xml:space="preserve">VHR-S1070</t>
  </si>
  <si>
    <t xml:space="preserve">Az adatosztályozás végrehajtásához irányadó szempontok</t>
  </si>
  <si>
    <t xml:space="preserve">VHR-S1071</t>
  </si>
  <si>
    <t xml:space="preserve">1. Alapvető cél</t>
  </si>
  <si>
    <t xml:space="preserve">VHR-S1072</t>
  </si>
  <si>
    <t xml:space="preserve">Az adatok osztályozásának célja, hogy az elektronikus információs rendszerben kezelt adatok bizalmasság, sértetlenség és rendelkezésre állás szempontjából értékelésre kerüljenek és azok biztonsági súlyának megfelelően kerüljön kialakításra a kockázatarányos védelem. Az adatosztályozás emellett hozzájárul az elektronikus információs rendszerben kezelt adatok külföldön vagy felhőben történő kezelésének egyértelmű meghatározásához. A szervezet a 2. és 3. pontban kötelezően megadott szempontokhoz képest további adatosztályozási szempontokat is figyelembe vehet, amelyeket az adatosztályozás kapcsán köteles dokumentálni.</t>
  </si>
  <si>
    <t xml:space="preserve">VHR-S1073</t>
  </si>
  <si>
    <t xml:space="preserve">2. Az adatok bizalmasság szerinti besorolása</t>
  </si>
  <si>
    <t xml:space="preserve">VHR-S1074</t>
  </si>
  <si>
    <t xml:space="preserve">2.1. B1 szintű adatok</t>
  </si>
  <si>
    <t xml:space="preserve">VHR-S1075</t>
  </si>
  <si>
    <t xml:space="preserve">Ezen adatok bizalmasságának sérülése vagy elvesztése nem, vagy csak elhanyagolható mértékű anyagi vagy reputációs veszteséget okozhat a szervezetnek.</t>
  </si>
  <si>
    <t xml:space="preserve">VHR-S1076</t>
  </si>
  <si>
    <t xml:space="preserve">2.2. B2 szintű adatok</t>
  </si>
  <si>
    <t xml:space="preserve">VHR-S1077</t>
  </si>
  <si>
    <t xml:space="preserve">Ezen adatok bizalmasságának sérülése vagy elvesztése csak kis mértékben okozhat anyagi vagy reputációs veszteséget a szervezetnek.</t>
  </si>
  <si>
    <t xml:space="preserve">VHR-S1078</t>
  </si>
  <si>
    <t xml:space="preserve">2.3. B3 szintű adatok</t>
  </si>
  <si>
    <t xml:space="preserve">VHR-S1079</t>
  </si>
  <si>
    <t xml:space="preserve">Ezen adatok bizalmasságának sérülése vagy elvesztése jelentős anyagi vagy reputációs veszteséget okozhat a szervezetnek.</t>
  </si>
  <si>
    <t xml:space="preserve">VHR-S1080</t>
  </si>
  <si>
    <t xml:space="preserve">2.4. B4 szintű adatok</t>
  </si>
  <si>
    <t xml:space="preserve">VHR-S1081</t>
  </si>
  <si>
    <t xml:space="preserve">Ezen adatok bizalmasságának sérülése vagy elvesztése kritikus mértékű anyagi vagy reputációs veszteséget okozhat a szervezetnek.</t>
  </si>
  <si>
    <t xml:space="preserve">VHR-S1082</t>
  </si>
  <si>
    <t xml:space="preserve">3. Az adatok sértetlenség és rendelkezésre állás szerinti értékelése</t>
  </si>
  <si>
    <t xml:space="preserve">VHR-S1083</t>
  </si>
  <si>
    <t xml:space="preserve">3.1. SR1: az adatok SÉRTETLENSÉGE ÉS RENDELKEZÉSRE ÁLLÁSA NEM KRITIKUS</t>
  </si>
  <si>
    <t xml:space="preserve">VHR-S1084</t>
  </si>
  <si>
    <t xml:space="preserve">Az elektronikus információs rendszeren tárolt és kezelt adatok sértetlenségének és rendelkezésre állásának sérülése vagy elvesztése a szervezetnek vagy más személynek nem, vagy nem jelentős mértékben okozhat anyagi vagy reputációs veszteséget.</t>
  </si>
  <si>
    <t xml:space="preserve">VHR-S1085</t>
  </si>
  <si>
    <t xml:space="preserve">3.2. SR2: az adatok SÉRTETLENSÉGE VAGY RENDELKEZÉSRE ÁLLÁSA KRITIKUS</t>
  </si>
  <si>
    <t xml:space="preserve">VHR-S1086</t>
  </si>
  <si>
    <t xml:space="preserve">Az elektronikus információs rendszeren tárolt és kezelt adatok sértetlenségének vagy rendelkezésre állásának sérülése vagy elvesztése a szervezetnek vagy más személynek jelentős, vagy kritikus mértékű anyagi vagy reputációs veszteséget okozhat.</t>
  </si>
  <si>
    <t xml:space="preserve">VHR-S1087</t>
  </si>
  <si>
    <t xml:space="preserve">4. Az adatosztályozás eredménye</t>
  </si>
  <si>
    <t xml:space="preserve">VHR-S1088</t>
  </si>
  <si>
    <t xml:space="preserve">4.1. Titkosítás</t>
  </si>
  <si>
    <t xml:space="preserve">VHR-S1089</t>
  </si>
  <si>
    <t xml:space="preserve">A B2 szintű adatok esetén: ha technológiai szempontból lehetséges, gondoskodni kell a titkosításról, amennyiben külföldi adatkezelés vagy nem privát felhőszolgáltatás igénybevétele valósul meg.</t>
  </si>
  <si>
    <t xml:space="preserve">VHR-S1090</t>
  </si>
  <si>
    <t xml:space="preserve">A B3–4 szintű adatok esetén: minden esetben gondoskodni kell a titkosításról, amennyiben külföldi adatkezelés vagy nem privát felhőszolgáltatás igénybevétele valósul meg.</t>
  </si>
  <si>
    <t xml:space="preserve">VHR-S1091</t>
  </si>
  <si>
    <t xml:space="preserve">4.2. Az adatkezelés helyszíne</t>
  </si>
  <si>
    <t xml:space="preserve">VHR-S1092</t>
  </si>
  <si>
    <t xml:space="preserve">4.2.1. SR2 besorolású adatok esetén: Ha jogszabály másként nem rendelkezik, az adatok kezelésére földrajzi korlátozással kerülhet sor. Az adatok csak EGT-tagállam területén tárolhatók. Külföldi adattárolás esetén egyidejűleg gondoskodni kell az adatnak Magyarország területén való rendelkezésre állásáról is.</t>
  </si>
  <si>
    <t xml:space="preserve">VHR-S1093</t>
  </si>
  <si>
    <t xml:space="preserve">4.2.2. A 4.2.1. alpontban foglaltakon túl az adatkezelés lehetséges helyszínének meghatározásához összeadandó az adat B és SR kategóriájának megnevezésében szereplő számértéke. Ha jogszabály másként nem rendelkezik, a kapott eredmény alapján az adatok az alábbi F1–F4 kategóriákba sorolhatók, melyekre a következő előírások alkalmazandók:</t>
  </si>
  <si>
    <t xml:space="preserve">VHR-S1094</t>
  </si>
  <si>
    <t xml:space="preserve">4.2.2.1. F1: ha a B és SR összesített értéke: 2</t>
  </si>
  <si>
    <t xml:space="preserve">VHR-S1095</t>
  </si>
  <si>
    <t xml:space="preserve">Az F1 besorolású adatok</t>
  </si>
  <si>
    <t xml:space="preserve">VHR-S1096</t>
  </si>
  <si>
    <t xml:space="preserve">– földrajzi korlátozás nélkül,</t>
  </si>
  <si>
    <t xml:space="preserve">VHR-S1097</t>
  </si>
  <si>
    <t xml:space="preserve">– nem privát felhőszolgáltatás igénybevétele esetén korlátozás nélkül kezelhetők és tárolhatók.</t>
  </si>
  <si>
    <t xml:space="preserve">VHR-S1098</t>
  </si>
  <si>
    <t xml:space="preserve">4.2.2.2. F2: ha a B és SR összesített értéke: 3</t>
  </si>
  <si>
    <t xml:space="preserve">VHR-S1099</t>
  </si>
  <si>
    <t xml:space="preserve">Az F2 besorolású adatok</t>
  </si>
  <si>
    <t xml:space="preserve">VHR-S1100</t>
  </si>
  <si>
    <t xml:space="preserve">– SR1 besorolású adatok esetén földrajzi korlátozás nélkül, SR2 besorolású adatok esetén kizárólag EGT-tagállam területén,</t>
  </si>
  <si>
    <t xml:space="preserve">VHR-S1101</t>
  </si>
  <si>
    <t xml:space="preserve">– nem privát felhőszolgáltatás igénybevétele esetén</t>
  </si>
  <si>
    <t xml:space="preserve">VHR-S1102</t>
  </si>
  <si>
    <t xml:space="preserve">– EGT-tagállam területén kívül kizárólag az igénybe vett szolgáltatás vonatkozásában harmadik fél általi, a kiberbiztonsági hatóság honlapján közzétett lista szerinti kiberbiztonsági tanúsítással, audittal vagy engedélyezéssel rendelkező (a továbbiakban: harmadik fél által tanúsított) nem privát felhőben vagy</t>
  </si>
  <si>
    <t xml:space="preserve">VHR-S1103</t>
  </si>
  <si>
    <t xml:space="preserve">– EGT-tagállam területén belül akár nem tanúsított nem privát felhőben is</t>
  </si>
  <si>
    <t xml:space="preserve">VHR-S1104</t>
  </si>
  <si>
    <t xml:space="preserve">kezelhetők és tárolhatók.</t>
  </si>
  <si>
    <t xml:space="preserve">VHR-S1105</t>
  </si>
  <si>
    <t xml:space="preserve">4.2.2.3. F3: ha a B és SR összesített értéke: 4</t>
  </si>
  <si>
    <t xml:space="preserve">VHR-S1106</t>
  </si>
  <si>
    <t xml:space="preserve">Az F3 besorolású adatok</t>
  </si>
  <si>
    <t xml:space="preserve">VHR-S1107</t>
  </si>
  <si>
    <t xml:space="preserve">– kizárólag EGT-tagállam területén belül</t>
  </si>
  <si>
    <t xml:space="preserve">VHR-S1108</t>
  </si>
  <si>
    <t xml:space="preserve">VHR-S1109</t>
  </si>
  <si>
    <t xml:space="preserve">– harmadik fél által tanúsított nem privát felhőben vagy</t>
  </si>
  <si>
    <t xml:space="preserve">VHR-S1110</t>
  </si>
  <si>
    <t xml:space="preserve">– nem tanúsított nem privát felhőszolgáltatás igénybevétele esetén kizárólag Magyarország területén</t>
  </si>
  <si>
    <t xml:space="preserve">VHR-S1111</t>
  </si>
  <si>
    <t xml:space="preserve">VHR-S1112</t>
  </si>
  <si>
    <t xml:space="preserve">4.2.2.4. F4: ha a B és SR összesített értéke: 5 vagy 6</t>
  </si>
  <si>
    <t xml:space="preserve">VHR-S1113</t>
  </si>
  <si>
    <t xml:space="preserve">Az F4 besorolású adatok</t>
  </si>
  <si>
    <t xml:space="preserve">VHR-S1114</t>
  </si>
  <si>
    <t xml:space="preserve">– kizárólag Magyarország területén,</t>
  </si>
  <si>
    <t xml:space="preserve">VHR-S1115</t>
  </si>
  <si>
    <t xml:space="preserve">– felhőszolgáltatás igénybevétele esetén</t>
  </si>
  <si>
    <t xml:space="preserve">VHR-S1116</t>
  </si>
  <si>
    <t xml:space="preserve">– harmadik fél által tanúsított privát felhőben vagy</t>
  </si>
  <si>
    <t xml:space="preserve">VHR-S1117</t>
  </si>
  <si>
    <t xml:space="preserve">– kormányzati felhőben</t>
  </si>
  <si>
    <t xml:space="preserve">VHR-S1118</t>
  </si>
  <si>
    <t xml:space="preserve">kezelhetők.</t>
  </si>
  <si>
    <t xml:space="preserve">VHR-S1119</t>
  </si>
  <si>
    <t xml:space="preserve">4.3. Az adatosztályozás eredményének összesítése:</t>
  </si>
  <si>
    <t xml:space="preserve">VHR-S1120</t>
  </si>
  <si>
    <t xml:space="preserve">1. melléklet a 418/2024. (XII. 23.) Korm. rendelethez, táblázat fejléc. sor</t>
  </si>
  <si>
    <t xml:space="preserve">VHR-S1121</t>
  </si>
  <si>
    <t xml:space="preserve">1. melléklet a 418/2024. (XII. 23.) Korm. rendelethez, táblázat 1. sor</t>
  </si>
  <si>
    <t xml:space="preserve">1 |  | SR1 | SR2 | </t>
  </si>
  <si>
    <t xml:space="preserve">VHR-S1122</t>
  </si>
  <si>
    <t xml:space="preserve">1. melléklet a 418/2024. (XII. 23.) Korm. rendelethez, táblázat 2. sor</t>
  </si>
  <si>
    <t xml:space="preserve">2 | B1 | F1 | F2 | </t>
  </si>
  <si>
    <t xml:space="preserve">VHR-S1123</t>
  </si>
  <si>
    <t xml:space="preserve">1. melléklet a 418/2024. (XII. 23.) Korm. rendelethez, táblázat 3. sor</t>
  </si>
  <si>
    <t xml:space="preserve">3 | B2 | F2 | F3 | </t>
  </si>
  <si>
    <t xml:space="preserve">VHR-S1124</t>
  </si>
  <si>
    <t xml:space="preserve">1. melléklet a 418/2024. (XII. 23.) Korm. rendelethez, táblázat 4. sor</t>
  </si>
  <si>
    <t xml:space="preserve">4 | B3 | F3 | F4 | </t>
  </si>
  <si>
    <t xml:space="preserve">VHR-S1125</t>
  </si>
  <si>
    <t xml:space="preserve">1. melléklet a 418/2024. (XII. 23.) Korm. rendelethez, táblázat 5. sor</t>
  </si>
  <si>
    <t xml:space="preserve">5 | B4 | F4 | F4 | </t>
  </si>
  <si>
    <t xml:space="preserve">VHR-S1127</t>
  </si>
  <si>
    <t xml:space="preserve">VHR-S1128</t>
  </si>
  <si>
    <t xml:space="preserve">A Kiberbiztonsági tv. 1. § (1) bekezdés a)–c) és f) pontja és 1. § (2a) bekezdése szerinti szervezettel szemben kiszabható kiberbiztonsági bírság mértéke</t>
  </si>
  <si>
    <t xml:space="preserve">VHR-S1129</t>
  </si>
  <si>
    <t xml:space="preserve">2. melléklet a 418/2024. (XII. 23.) Korm. rendelethez, táblázat fejléc. sor</t>
  </si>
  <si>
    <t xml:space="preserve">VHR-S1130</t>
  </si>
  <si>
    <t xml:space="preserve">2. melléklet a 418/2024. (XII. 23.) Korm. rendelethez, táblázat 1. sor</t>
  </si>
  <si>
    <t xml:space="preserve">1 | A jogszabálysértés megnevezése | A bírság legkisebb mértéke (forint) | A bírság legnagyobb mértéke (forint) | </t>
  </si>
  <si>
    <t xml:space="preserve">VHR-S1131</t>
  </si>
  <si>
    <t xml:space="preserve">2. melléklet a 418/2024. (XII. 23.) Korm. rendelethez, táblázat 2. sor</t>
  </si>
  <si>
    <t xml:space="preserve">2 | a Kiberbiztonsági tv. 8. § (4) bekezdés a) pontja szerinti nyilvántartásba vétel érdekében történő adatszolgáltatás nem teljesítése | 200.000 | 2.000.000 | </t>
  </si>
  <si>
    <t xml:space="preserve">VHR-S1132</t>
  </si>
  <si>
    <t xml:space="preserve">2. melléklet a 418/2024. (XII. 23.) Korm. rendelethez, táblázat 3. sor</t>
  </si>
  <si>
    <t xml:space="preserve">3 | az elektronikus információs rendszer biztonságáért felelős személy hatósági nyilvántartásba vételére irányuló kérelem benyújtásának elmulasztása | 200.000 | 2.000.000 | </t>
  </si>
  <si>
    <t xml:space="preserve">VHR-S1133</t>
  </si>
  <si>
    <t xml:space="preserve">2. melléklet a 418/2024. (XII. 23.) Korm. rendelethez, táblázat 4. sor</t>
  </si>
  <si>
    <t xml:space="preserve">4 | információbiztonsági szabályzat hatósági nyilvántartásba vételére irányuló kérelem benyújtásának elmulasztása | 200.000 | 2.000.000 | </t>
  </si>
  <si>
    <t xml:space="preserve">VHR-S1134</t>
  </si>
  <si>
    <t xml:space="preserve">2. melléklet a 418/2024. (XII. 23.) Korm. rendelethez, táblázat 5. sor</t>
  </si>
  <si>
    <t xml:space="preserve">5 | a Kiberbiztonsági tv. 8. § (4) bekezdés f) pontja szerinti bejelentés benyújtásának elmulasztása | 200.000 | 4.000.000 | </t>
  </si>
  <si>
    <t xml:space="preserve">VHR-S1135</t>
  </si>
  <si>
    <t xml:space="preserve">2. melléklet a 418/2024. (XII. 23.) Korm. rendelethez, táblázat 6. sor</t>
  </si>
  <si>
    <t xml:space="preserve">6 | a 2–5. sor szerinti eseteken felüli, a Kiberbiztonsági tv. 8. § (3) bekezdés a) pontja szerinti adatváltozás bejelentésének elmulasztása | 50.000 | 1.000.000 | </t>
  </si>
  <si>
    <t xml:space="preserve">VHR-S1136</t>
  </si>
  <si>
    <t xml:space="preserve">2. melléklet a 418/2024. (XII. 23.) Korm. rendelethez, táblázat 7. sor</t>
  </si>
  <si>
    <t xml:space="preserve">7 | jogszabályban meghatározott arányos kiberbiztonsági intézkedések bevezetésének és alkalmazásának elmulasztása | 200.000 | a 42. § (2) bekezdése szerinti összeg | </t>
  </si>
  <si>
    <t xml:space="preserve">VHR-S1137</t>
  </si>
  <si>
    <t xml:space="preserve">2. melléklet a 418/2024. (XII. 23.) Korm. rendelethez, táblázat 8. sor</t>
  </si>
  <si>
    <t xml:space="preserve">8 | a Kiberbiztonsági tv. 1. § (1) bekezdés b) pontja hatálya alá tartozó, és egyidejűleg a Kiberbiztonsági tv. 2. és 3. melléklete szerinti szervezetnek minősülő szervezet esetében a Kiberbiztonsági tv. 8. § (5) bekezdése szerinti nyilvántartásba vétel érdekében történő adatszolgáltatás nem teljesítése | a Kiberbiztonsági tv. 1. § (1) bekezdés b) pontja hatálya alá tartozó, és egyidejűleg a Kiberbiztonsági tv. 2. és 3. melléklete szerinti szervezetnek minősülő szervezet előző üzleti évi nettó árbevételének – árbevétel hiányában a tárgyévi árbevétel egész évre vetített időarányos részének – vagy előző évi költségvetési bevételi előirányzatának 0,5%-a, de legalább 1.000.000 | a Kiberbiztonsági tv. 1. § (1) bekezdés b) pontja hatálya alá tartozó, és egyidejűleg a Kiberbiztonsági tv. 2. és 3. melléklete szerinti szervezetnek minősülő szervezet előző üzleti évi nettó árbevételének – árbevétel hiányában a tárgyévi árbevétel egész évre vetített időarányos részének – vagy előző évi költségvetési bevételi előirányzatának legfeljebb 2%-a, de legfeljebb 150.000.000 | </t>
  </si>
  <si>
    <t xml:space="preserve">VHR-S1138</t>
  </si>
  <si>
    <t xml:space="preserve">2. melléklet a 418/2024. (XII. 23.) Korm. rendelethez, táblázat 9. sor</t>
  </si>
  <si>
    <t xml:space="preserve">9 | a Kiberbiztonsági tv. 1. § (1) bekezdés b) pontja hatálya alá tartozó, és egyidejűleg a Kiberbiztonsági tv. 2. és 3. melléklete szerinti szervezetnek minősülő szervezet esetében a Kiberbiztonsági tv. 8. § (5) bekezdése szerinti nyilvántartásba vétel érdekében történő adatszolgáltatás határidőn túl történő teljesítése | 50.000 | a Kiberbiztonsági tv. 1. § (1) bekezdés b) pontja hatálya alá tartozó, és egyidejűleg a Kiberbiztonsági tv. 2. és 3. melléklete szerinti szervezetnek minősülő szervezet előző üzleti évi nettó árbevételének – árbevétel hiányában a tárgyévi árbevétel egész évre vetített időarányos részének – vagy előző évi költségvetési bevételi előirányzatának legfeljebb 0,1%-a, de legfeljebb 15.000.000 | </t>
  </si>
  <si>
    <t xml:space="preserve">VHR-S1139</t>
  </si>
  <si>
    <t xml:space="preserve">2. melléklet a 418/2024. (XII. 23.) Korm. rendelethez, táblázat 10. sor</t>
  </si>
  <si>
    <t xml:space="preserve">10 | a Kiberbiztonsági tv. 1. § (1) bekezdés b) pontja hatálya alá tartozó, és egyidejűleg a Kiberbiztonsági tv. 2. és 3. melléklete szerinti szervezetnek minősülő szervezet esetében a Kiberbiztonsági tv. 7. § (1) bekezdése szerinti felügyeleti díjfizetés elmulasztása | 500.000 | a Kiberbiztonsági tv. 7. §-a szerinti kiberbiztonsági éves felügyeleti díj maximum tízszerese | </t>
  </si>
  <si>
    <t xml:space="preserve">VHR-S1140</t>
  </si>
  <si>
    <t xml:space="preserve">2. melléklet a 418/2024. (XII. 23.) Korm. rendelethez, táblázat 11. sor</t>
  </si>
  <si>
    <t xml:space="preserve">11 | a Kiberbiztonsági tv. 1. § (1) bekezdés b) pontja hatálya alá tartozó, és egyidejűleg a Kiberbiztonsági tv. 2. és 3. melléklete szerinti szervezetnek minősülő szervezet esetében a Kiberbiztonsági tv. 16. § (1) bekezdése szerinti kiberbiztonsági audit határidőn belüli lefolytatásának elmulasztása | 1.000.000 | 50.000.000 | </t>
  </si>
  <si>
    <t xml:space="preserve">VHR-S1141</t>
  </si>
  <si>
    <t xml:space="preserve">2. melléklet a 418/2024. (XII. 23.) Korm. rendelethez, táblázat 12. sor</t>
  </si>
  <si>
    <t xml:space="preserve">12 | a nemzeti kiberbiztonsági hatóság végleges, végrehajtható határozatában foglalt kötelezésének nem teljesítése | 1.000.000 | 50.000.000 | </t>
  </si>
  <si>
    <t xml:space="preserve">VHR-S1142</t>
  </si>
  <si>
    <t xml:space="preserve">2. melléklet a 418/2024. (XII. 23.) Korm. rendelethez, táblázat 13. sor</t>
  </si>
  <si>
    <t xml:space="preserve">13 | az információbiztonsági felügyelővel való együttműködés elmulasztása | 1.000.000 | 40.000.000 | </t>
  </si>
  <si>
    <t xml:space="preserve">VHR-S1143</t>
  </si>
  <si>
    <t xml:space="preserve">2. melléklet a 418/2024. (XII. 23.) Korm. rendelethez, táblázat 14. sor</t>
  </si>
  <si>
    <t xml:space="preserve">14 | a szervezet által nyújtott szolgáltatás igénybe vevői, illetve az egyéb érintettek részére elrendelt tájékoztatási kötelezettség elmulasztása | 2.000.000 | 20.000.000 | </t>
  </si>
  <si>
    <t xml:space="preserve">VHR-S1144</t>
  </si>
  <si>
    <t xml:space="preserve">2. melléklet a 418/2024. (XII. 23.) Korm. rendelethez, táblázat 15. sor</t>
  </si>
  <si>
    <t xml:space="preserve">15 | kiberbiztonsági gyakorlatról készített értékelő beszámoló benyújtásának elmulasztása | 200.000 | 4.000.000 | </t>
  </si>
  <si>
    <t xml:space="preserve">VHR-S1145</t>
  </si>
  <si>
    <t xml:space="preserve">2. melléklet a 418/2024. (XII. 23.) Korm. rendelethez, táblázat 16. sor</t>
  </si>
  <si>
    <t xml:space="preserve">16 | kiberbiztonsági képzés, továbbképzés elvégzését igazoló okirat hiánya | 200.000 | 4.000.000 | </t>
  </si>
  <si>
    <t xml:space="preserve">VHR-S1146</t>
  </si>
  <si>
    <t xml:space="preserve">2. melléklet a 418/2024. (XII. 23.) Korm. rendelethez, táblázat 17. sor</t>
  </si>
  <si>
    <t xml:space="preserve">17 | sérülékenységkezelési terv benyújtásának elmulasztása | 200.000 | 10.000.000 | </t>
  </si>
  <si>
    <t xml:space="preserve">VHR-S1147</t>
  </si>
  <si>
    <t xml:space="preserve">2. melléklet a 418/2024. (XII. 23.) Korm. rendelethez, táblázat 18. sor</t>
  </si>
  <si>
    <t xml:space="preserve">18 | a Kiberbiztonsági tv. 66. §-a szerinti bejelentési kötelezettség elmulasztása | 500.000 | 5.000.000 | </t>
  </si>
  <si>
    <t xml:space="preserve">VHR-S1148</t>
  </si>
  <si>
    <t xml:space="preserve">2. melléklet a 418/2024. (XII. 23.) Korm. rendelethez, táblázat 19. sor</t>
  </si>
  <si>
    <t xml:space="preserve">19 | kiberbiztonsági incidenskezelő központtal való együttműködési kötelezettség elmulasztása | 500.000 | 50.000.000 | </t>
  </si>
  <si>
    <t xml:space="preserve">VHR-S1149</t>
  </si>
  <si>
    <t xml:space="preserve">2. melléklet a 418/2024. (XII. 23.) Korm. rendelethez, táblázat 20. sor</t>
  </si>
  <si>
    <t xml:space="preserve">20 | a nemzeti kiberbiztonsági hatóság vagy a sérülékenységvizsgálat végzésére jogosult állami szerv által elrendelt sérülékenységvizsgálati, illetve kiberbiztonsági incidens kezelési és kivizsgálási kötelezettség elmulasztása | 500.000 | 50.000.000 | </t>
  </si>
  <si>
    <t xml:space="preserve">VHR-S1150</t>
  </si>
  <si>
    <t xml:space="preserve">2. melléklet a 418/2024. (XII. 23.) Korm. rendelethez, táblázat 21. sor</t>
  </si>
  <si>
    <t xml:space="preserve">21 | zárójelentés elkészítésének elmulasztása, illetve nem megfelelő módon történő teljesítése | 500.000 | 5.000.000 | </t>
  </si>
  <si>
    <t xml:space="preserve">VHR-S1151</t>
  </si>
  <si>
    <t xml:space="preserve">2. melléklet a 418/2024. (XII. 23.) Korm. rendelethez, táblázat 22. sor</t>
  </si>
  <si>
    <t xml:space="preserve">22 | közvetítő szolgáltató együttműködési kötelezettségének megszegése | 1.000.000 | 40.000.000 | </t>
  </si>
  <si>
    <t xml:space="preserve">VHR-S1153</t>
  </si>
  <si>
    <t xml:space="preserve">VHR-S1154</t>
  </si>
  <si>
    <t xml:space="preserve">A Kiberbiztonsági tv. 1. § (1) bekezdés d) és e) pontja szerinti szervezettel szemben kiszabható kiberbiztonsági bírság mértéke</t>
  </si>
  <si>
    <t xml:space="preserve">VHR-S1155</t>
  </si>
  <si>
    <t xml:space="preserve">3. melléklet a 418/2024. (XII. 23.) Korm. rendelethez, táblázat fejléc. sor</t>
  </si>
  <si>
    <t xml:space="preserve">VHR-S1156</t>
  </si>
  <si>
    <t xml:space="preserve">3. melléklet a 418/2024. (XII. 23.) Korm. rendelethez, táblázat 1. sor</t>
  </si>
  <si>
    <t xml:space="preserve">1 | A szabálytalanság megnevezése | A bírság legkisebb mértéke | A bírság legnagyobb mértéke | </t>
  </si>
  <si>
    <t xml:space="preserve">VHR-S1157</t>
  </si>
  <si>
    <t xml:space="preserve">3. melléklet a 418/2024. (XII. 23.) Korm. rendelethez, táblázat 2. sor</t>
  </si>
  <si>
    <t xml:space="preserve">2 | A Kiberbiztonsági tv. 8. § (5) bekezdése szerinti nyilvántartásba vétel érdekében történő adatszolgáltatás nem teljesítése | a Kiberbiztonsági tv. 1. § (1) bekezdés d) és e) pontja szerinti szervezet előző üzleti évi nettó árbevételének – árbevétel hiányában a tárgyévi árbevétel egész évre vetített időarányos részének –, vagy előző évi költségvetési bevételi előirányzatának 0,5%-a, de legalább 1 000 000 forint | a Kiberbiztonsági tv. 1. § (1) bekezdés d) és e) pontja szerinti szervezet előző üzleti évi nettó árbevételének – árbevétel hiányában a tárgyévi árbevétel egész évre vetített időarányos részének –, vagy előző évi költségvetési bevételi előirányzatának legfeljebb 2%-a, de legfeljebb 150 000 000 forint | </t>
  </si>
  <si>
    <t xml:space="preserve">VHR-S1158</t>
  </si>
  <si>
    <t xml:space="preserve">3. melléklet a 418/2024. (XII. 23.) Korm. rendelethez, táblázat 3. sor</t>
  </si>
  <si>
    <t xml:space="preserve">3 | A Kiberbiztonsági tv. 8. § (5) bekezdése szerinti nyilvántartásba vétel érdekében történő adatszolgáltatás határidőn túl történő teljesítése | 50 000 forint | a a Kiberbiztonsági tv. 1. § (1) bekezdés d) és e) pontja szerinti szervezet előző üzleti évi nettó árbevételének – árbevétel hiányában a tárgyévi árbevétel egész évre vetített időarányos részének – vagy előző évi költségvetési bevételi előirányzatának legfeljebb 0,1%-a, de legfeljebb 15 000 000 forint | </t>
  </si>
  <si>
    <t xml:space="preserve">VHR-S1159</t>
  </si>
  <si>
    <t xml:space="preserve">3. melléklet a 418/2024. (XII. 23.) Korm. rendelethez, táblázat 4. sor</t>
  </si>
  <si>
    <t xml:space="preserve">4 | A Kiberbiztonsági tv. 7. § (1) bekezdése szerinti felügyeleti díjfizetés elmulasztása | 500 000 forint | a kiberbiztonsági éves felügyeleti díj maximum tízszerese | </t>
  </si>
  <si>
    <t xml:space="preserve">VHR-S1160</t>
  </si>
  <si>
    <t xml:space="preserve">3. melléklet a 418/2024. (XII. 23.) Korm. rendelethez, táblázat 5. sor</t>
  </si>
  <si>
    <t xml:space="preserve">5 | A Kiberbiztonsági tv. 8. § (3) bekezdése szerinti adatváltozás megküldésének elmulasztása | 50 000 forint | 1 000 000 forint | </t>
  </si>
  <si>
    <t xml:space="preserve">VHR-S1161</t>
  </si>
  <si>
    <t xml:space="preserve">3. melléklet a 418/2024. (XII. 23.) Korm. rendelethez, táblázat 6. sor</t>
  </si>
  <si>
    <t xml:space="preserve">6 | A Kiberbiztonsági tv. 6. § (2) bekezdése szerinti kötelezettség nem teljesítése | 1 000 000 forint | 42. § (2) bekezdése szerinti összeg | </t>
  </si>
  <si>
    <t xml:space="preserve">VHR-S1162</t>
  </si>
  <si>
    <t xml:space="preserve">3. melléklet a 418/2024. (XII. 23.) Korm. rendelethez, táblázat 7.. sor</t>
  </si>
  <si>
    <t xml:space="preserve">7. | A Kiberbiztonsági tv. 21. § (3) bekezdése szerinti nyilvántartásban szereplő auditorral a kiberbiztonsági audit elvégzésére irányuló megállapodás határidőben történő megkötésére vonatkozó kötelezettség teljesítésének elmulasztása | 1 000 000 forint | 15 000 000 forint | </t>
  </si>
  <si>
    <t xml:space="preserve">VHR-S1163</t>
  </si>
  <si>
    <t xml:space="preserve">3. melléklet a 418/2024. (XII. 23.) Korm. rendelethez, táblázat 8.. sor</t>
  </si>
  <si>
    <t xml:space="preserve">8. | A Kiberbiztonsági tv. 16. § (1) bekezdése szerinti kiberbiztonsági audit határidőn belüli lefolytatásának elmulasztása | 1 000 000 forint | a Kiberbiztonsági tv. 1. § (1) bekezdés d) és e) pontja szerinti szervezet előző üzleti évi nettó árbevételének – árbevétel hiányában a tárgyévi árbevétel egész évre vetített időarányos részének – vagy előző évi költségvetési bevételi előirányzatának legfeljebb 2%-a, de legfeljebb 150 000 000 forint | </t>
  </si>
  <si>
    <t xml:space="preserve">VHR-S1164</t>
  </si>
  <si>
    <t xml:space="preserve">3. melléklet a 418/2024. (XII. 23.) Korm. rendelethez, táblázat 9.. sor</t>
  </si>
  <si>
    <t xml:space="preserve">9. | A Kiberbiztonsági tv. 66. § (2) bekezdése szerinti bejelentési kötelezettség elmulasztása | 500 000 forint | 5 000 000 forint | </t>
  </si>
  <si>
    <t xml:space="preserve">VHR-S1165</t>
  </si>
  <si>
    <t xml:space="preserve">VHR-S1166</t>
  </si>
  <si>
    <t xml:space="preserve">A tanúsító hatóság által kiszabható bírság mértéke</t>
  </si>
  <si>
    <t xml:space="preserve">VHR-S1167</t>
  </si>
  <si>
    <t xml:space="preserve">4. melléklet a 418/2024. (XII. 23.) Korm. rendelethez, táblázat fejléc. sor</t>
  </si>
  <si>
    <t xml:space="preserve">VHR-S1168</t>
  </si>
  <si>
    <t xml:space="preserve">4. melléklet a 418/2024. (XII. 23.) Korm. rendelethez, táblázat 1. sor</t>
  </si>
  <si>
    <t xml:space="preserve">1 | A szabálytalanság megnevezése | A bírság legkisebb mértéke forintban meghatározva | A bírság legnagyobb mértéke forintban meghatározva | </t>
  </si>
  <si>
    <t xml:space="preserve">VHR-S1169</t>
  </si>
  <si>
    <t xml:space="preserve">4. melléklet a 418/2024. (XII. 23.) Korm. rendelethez, táblázat 2. sor</t>
  </si>
  <si>
    <t xml:space="preserve">2 | Megfelelőségi önértékelés esetén az uniós megfelelőségi nyilatkozatnak az (EU) 2019/881 európai parlamenti és tanácsi rendelet 53. cikk (3) bekezdésében előírt megküldési kötelezettség nemteljesítése a tanúsító hatóság és az Európai Uniós Kiberbiztonsági Ügynökség részére | 50 000 | 100 000 | </t>
  </si>
  <si>
    <t xml:space="preserve">VHR-S1170</t>
  </si>
  <si>
    <t xml:space="preserve">4. melléklet a 418/2024. (XII. 23.) Korm. rendelethez, táblázat 3. sor</t>
  </si>
  <si>
    <t xml:space="preserve">3 | Megfelelőségi önértékelés esetén a Kiberbiztonsági tv. 43. § (3) bekezdésében előírt dokumentumok megküldésére vonatkozó kötelezettség nemteljesítése a tanúsító hatóság részére | 50 000 | 100 000 | </t>
  </si>
  <si>
    <t xml:space="preserve">VHR-S1171</t>
  </si>
  <si>
    <t xml:space="preserve">4. melléklet a 418/2024. (XII. 23.) Korm. rendelethez, táblázat 4. sor</t>
  </si>
  <si>
    <t xml:space="preserve">4 | A Kiberbiztonsági tv. 44. § (1) bekezdésében foglalt feltételeknek nem megfelelő szervezet általi megfelelőségértékelési tevékenység végzése | 1 000 000 | 50 000 000 | </t>
  </si>
  <si>
    <t xml:space="preserve">VHR-S1172</t>
  </si>
  <si>
    <t xml:space="preserve">4. melléklet a 418/2024. (XII. 23.) Korm. rendelethez, táblázat 5. sor</t>
  </si>
  <si>
    <t xml:space="preserve">5 | Megfelelőségi jelölés Kiberbiztonsági tv. 42. § (2) bekezdése szerinti jogosulatlan használata | 300 000 | 50 000 000 | </t>
  </si>
  <si>
    <t xml:space="preserve">VHR-S1173</t>
  </si>
  <si>
    <t xml:space="preserve">4. melléklet a 418/2024. (XII. 23.) Korm. rendelethez, táblázat 6. sor</t>
  </si>
  <si>
    <t xml:space="preserve">6 | A Kiberbiztonsági tv. 48. § (5) bekezdése szerinti adatszolgáltatás elmulasztása | 50 000 | 5 000 000 | </t>
  </si>
  <si>
    <t xml:space="preserve">VHR-S1174</t>
  </si>
  <si>
    <t xml:space="preserve">4. melléklet a 418/2024. (XII. 23.) Korm. rendelethez, táblázat 7. sor</t>
  </si>
  <si>
    <t xml:space="preserve">7 | A Kiberbiztonsági tv. 41. § (3) bekezdésében meghatározott, a sebezhetőség vagy rendellenesség bejelentésére irányuló kötelezettség teljesítésének elmulasztása | 300 000 | 5 000 000 | </t>
  </si>
  <si>
    <t xml:space="preserve">VHR-S1175</t>
  </si>
  <si>
    <t xml:space="preserve">4. melléklet a 418/2024. (XII. 23.) Korm. rendelethez, táblázat 8. sor</t>
  </si>
  <si>
    <t xml:space="preserve">8 | Az A:2–A:7 mezőben nem szereplő, a tanúsító hatóság által feltárt, a Kiberbiztonsági tv. 49. § (1) bekezdése szerinti hiányosságok alapján a szükséges módosítások végrehajtásának, intézkedések megtételének elmulasztása | 200 000 | 10 000 000 | </t>
  </si>
  <si>
    <t xml:space="preserve">Kifejezett törvény–Vhr. hivatkozások</t>
  </si>
  <si>
    <t xml:space="preserve">A célhivatkozás a megjelölt törvényi § elejére vezet. A kapcsolat hivatkozás, nem megfeleltetési vagy értelmezési állítás.</t>
  </si>
  <si>
    <t xml:space="preserve">Hivatkozó Vhr.-hely</t>
  </si>
  <si>
    <t xml:space="preserve">Szövegben szereplő hivatkozás</t>
  </si>
  <si>
    <t xml:space="preserve">Vhr. forrás</t>
  </si>
  <si>
    <t xml:space="preserve">Törvényi cél</t>
  </si>
  <si>
    <t xml:space="preserve">K-0001</t>
  </si>
  <si>
    <t xml:space="preserve">Kiberbiztonsági tv. 1. §</t>
  </si>
  <si>
    <t xml:space="preserve">K-0002</t>
  </si>
  <si>
    <t xml:space="preserve">K-0003</t>
  </si>
  <si>
    <t xml:space="preserve">K-0004</t>
  </si>
  <si>
    <t xml:space="preserve">K-0005</t>
  </si>
  <si>
    <t xml:space="preserve">K-0006</t>
  </si>
  <si>
    <t xml:space="preserve">Kiberbiztonsági tv. 61. §</t>
  </si>
  <si>
    <t xml:space="preserve">K-0007</t>
  </si>
  <si>
    <t xml:space="preserve">K-0008</t>
  </si>
  <si>
    <t xml:space="preserve">K-0009</t>
  </si>
  <si>
    <t xml:space="preserve">Kiberbiztonsági tv. 9. §</t>
  </si>
  <si>
    <t xml:space="preserve">K-0010</t>
  </si>
  <si>
    <t xml:space="preserve">K-0011</t>
  </si>
  <si>
    <t xml:space="preserve">K-0012</t>
  </si>
  <si>
    <t xml:space="preserve">K-0013</t>
  </si>
  <si>
    <t xml:space="preserve">Kiberbiztonsági tv. 8. §</t>
  </si>
  <si>
    <t xml:space="preserve">K-0014</t>
  </si>
  <si>
    <t xml:space="preserve">K-0015</t>
  </si>
  <si>
    <t xml:space="preserve">K-0016</t>
  </si>
  <si>
    <t xml:space="preserve">K-0017</t>
  </si>
  <si>
    <t xml:space="preserve">K-0018</t>
  </si>
  <si>
    <t xml:space="preserve">Kiberbiztonsági tv. 23. §</t>
  </si>
  <si>
    <t xml:space="preserve">K-0019</t>
  </si>
  <si>
    <t xml:space="preserve">K-0020</t>
  </si>
  <si>
    <t xml:space="preserve">K-0021</t>
  </si>
  <si>
    <t xml:space="preserve">Kiberbiztonsági tv. 24. §</t>
  </si>
  <si>
    <t xml:space="preserve">K-0022</t>
  </si>
  <si>
    <t xml:space="preserve">Kiberbiztonsági tv. 70. §</t>
  </si>
  <si>
    <t xml:space="preserve">K-0023</t>
  </si>
  <si>
    <t xml:space="preserve">Kiberbiztonsági tv. 11. §</t>
  </si>
  <si>
    <t xml:space="preserve">K-0024</t>
  </si>
  <si>
    <t xml:space="preserve">K-0025</t>
  </si>
  <si>
    <t xml:space="preserve">K-0026</t>
  </si>
  <si>
    <t xml:space="preserve">K-0027</t>
  </si>
  <si>
    <t xml:space="preserve">K-0028</t>
  </si>
  <si>
    <t xml:space="preserve">K-0029</t>
  </si>
  <si>
    <t xml:space="preserve">Kiberbiztonsági tv. 7. §</t>
  </si>
  <si>
    <t xml:space="preserve">K-0030</t>
  </si>
  <si>
    <t xml:space="preserve">Kiberbiztonsági tv. 30. §</t>
  </si>
  <si>
    <t xml:space="preserve">K-0031</t>
  </si>
  <si>
    <t xml:space="preserve">K-0032</t>
  </si>
  <si>
    <t xml:space="preserve">K-0033</t>
  </si>
  <si>
    <t xml:space="preserve">Kiberbiztonsági tv. 45. §</t>
  </si>
  <si>
    <t xml:space="preserve">K-0034</t>
  </si>
  <si>
    <t xml:space="preserve">K-0035</t>
  </si>
  <si>
    <t xml:space="preserve">Kiberbiztonsági tv. 49. §</t>
  </si>
  <si>
    <t xml:space="preserve">K-0036</t>
  </si>
  <si>
    <t xml:space="preserve">K-0037</t>
  </si>
  <si>
    <t xml:space="preserve">Kiberbiztonsági tv. 57. §</t>
  </si>
  <si>
    <t xml:space="preserve">K-0038</t>
  </si>
  <si>
    <t xml:space="preserve">K-0039</t>
  </si>
  <si>
    <t xml:space="preserve">K-0040</t>
  </si>
  <si>
    <t xml:space="preserve">Kiberbiztonsági tv. 63. §</t>
  </si>
  <si>
    <t xml:space="preserve">K-0041</t>
  </si>
  <si>
    <t xml:space="preserve">K-0042</t>
  </si>
  <si>
    <t xml:space="preserve">Kiberbiztonsági tv. 66. §</t>
  </si>
  <si>
    <t xml:space="preserve">K-0043</t>
  </si>
  <si>
    <t xml:space="preserve">Kiberbiztonsági tv. 65. §</t>
  </si>
  <si>
    <t xml:space="preserve">K-0044</t>
  </si>
  <si>
    <t xml:space="preserve">K-0045</t>
  </si>
  <si>
    <t xml:space="preserve">Kiberbiztonsági tv. 75. §</t>
  </si>
  <si>
    <t xml:space="preserve">K-0046</t>
  </si>
  <si>
    <t xml:space="preserve">Kiberbiztonsági tv. 74. §</t>
  </si>
  <si>
    <t xml:space="preserve">K-0047</t>
  </si>
  <si>
    <t xml:space="preserve">K-0048</t>
  </si>
  <si>
    <t xml:space="preserve">K-0049</t>
  </si>
  <si>
    <t xml:space="preserve">K-0050</t>
  </si>
  <si>
    <t xml:space="preserve">K-0051</t>
  </si>
  <si>
    <t xml:space="preserve">K-0052</t>
  </si>
  <si>
    <t xml:space="preserve">K-0053</t>
  </si>
  <si>
    <t xml:space="preserve">K-0054</t>
  </si>
  <si>
    <t xml:space="preserve">K-0055</t>
  </si>
  <si>
    <t xml:space="preserve">K-0056</t>
  </si>
  <si>
    <t xml:space="preserve">K-0057</t>
  </si>
  <si>
    <t xml:space="preserve">K-0058</t>
  </si>
  <si>
    <t xml:space="preserve">K-0059</t>
  </si>
  <si>
    <t xml:space="preserve">Kiberbiztonsági tv. 16. §</t>
  </si>
  <si>
    <t xml:space="preserve">K-0060</t>
  </si>
  <si>
    <t xml:space="preserve">K-0061</t>
  </si>
  <si>
    <t xml:space="preserve">K-0062</t>
  </si>
  <si>
    <t xml:space="preserve">K-0063</t>
  </si>
  <si>
    <t xml:space="preserve">K-0064</t>
  </si>
  <si>
    <t xml:space="preserve">K-0065</t>
  </si>
  <si>
    <t xml:space="preserve">K-0066</t>
  </si>
  <si>
    <t xml:space="preserve">K-0067</t>
  </si>
  <si>
    <t xml:space="preserve">Kiberbiztonsági tv. 6. §</t>
  </si>
  <si>
    <t xml:space="preserve">K-0068</t>
  </si>
  <si>
    <t xml:space="preserve">Kiberbiztonsági tv. 21. §</t>
  </si>
  <si>
    <t xml:space="preserve">K-0069</t>
  </si>
  <si>
    <t xml:space="preserve">K-0070</t>
  </si>
  <si>
    <t xml:space="preserve">K-0071</t>
  </si>
  <si>
    <t xml:space="preserve">K-0072</t>
  </si>
  <si>
    <t xml:space="preserve">Kiberbiztonsági tv. 43. §</t>
  </si>
  <si>
    <t xml:space="preserve">K-0073</t>
  </si>
  <si>
    <t xml:space="preserve">Kiberbiztonsági tv. 44. §</t>
  </si>
  <si>
    <t xml:space="preserve">K-0074</t>
  </si>
  <si>
    <t xml:space="preserve">Kiberbiztonsági tv. 42. §</t>
  </si>
  <si>
    <t xml:space="preserve">K-0075</t>
  </si>
  <si>
    <t xml:space="preserve">Kiberbiztonsági tv. 48. §</t>
  </si>
  <si>
    <t xml:space="preserve">K-0076</t>
  </si>
  <si>
    <t xml:space="preserve">Kiberbiztonsági tv. 41. §</t>
  </si>
  <si>
    <t xml:space="preserve">K-0077</t>
  </si>
  <si>
    <t xml:space="preserve">Források és változatkezelés</t>
  </si>
  <si>
    <t xml:space="preserve">V.1.0. Lekérdezési nap: 2026.09.13. A munkafüzet nem frissül automatikusan.</t>
  </si>
  <si>
    <t xml:space="preserve">Forráskód</t>
  </si>
  <si>
    <t xml:space="preserve">Megnyitott időállapot</t>
  </si>
  <si>
    <t xml:space="preserve">Lekérdezés napja</t>
  </si>
  <si>
    <t xml:space="preserve">Szövegforrás</t>
  </si>
  <si>
    <t xml:space="preserve">Hivatkozás</t>
  </si>
  <si>
    <t xml:space="preserve">2024. évi LXIX. törvény Magyarország kiberbiztonságáról</t>
  </si>
  <si>
    <t xml:space="preserve">2026.07.29.–2026.12.31.</t>
  </si>
  <si>
    <t xml:space="preserve">Jogtár, egységes szerkezetű normaszöveg</t>
  </si>
  <si>
    <t xml:space="preserve">418/2024. (XII. 23.) Korm. rendelet Magyarország kiberbiztonságáról szóló törvény végrehajtásáról</t>
  </si>
  <si>
    <t xml:space="preserve">2026.09.11.–2027.12.31.</t>
  </si>
  <si>
    <t xml:space="preserve">A feldolgozás terjedelme</t>
  </si>
  <si>
    <t xml:space="preserve">A két letöltött jogszabály törzsszövege és mellékletei bekerültek. A feladat- és jogjegyzék első tételes kivonat; teljessége nincs igazolva. A hiányzó bontást a Mutató jelöli.</t>
  </si>
  <si>
    <t xml:space="preserve">Forrásszöveg átvétele</t>
  </si>
  <si>
    <t xml:space="preserve">A kiadói módosítási lábjegyzeteket és a weboldal navigációját kihagytam. A szóközök egységesítve; a rendelkezések tartalma változatlan. Mellékleti táblázatokban a cellák eredeti sorrendje megmarad.</t>
  </si>
  <si>
    <t xml:space="preserve">Rövid leírás és jogalap</t>
  </si>
  <si>
    <t xml:space="preserve">A rövid megnevezés szerkesztett kivonat. Az alkalmazás feltételeit, kivételeit és részleteit a hivatkozott teljes szöveg tartalmazza. Összetett rendelkezés esetén egy tétel több, együtt megfogalmazott cselekményt is tartalmazhat.</t>
  </si>
  <si>
    <t xml:space="preserve">Hiányzó időzítés</t>
  </si>
  <si>
    <t xml:space="preserve">A „nincs külön időpont kiemelve” jelölés nem jelenti, hogy a teljes szabályozásban nincs határidő. Az egyéb rendelkezésekre történő utalásokat is meg kell nézni.</t>
  </si>
  <si>
    <t xml:space="preserve">Külső jogszabályok</t>
  </si>
  <si>
    <t xml:space="preserve">Más jogszabályra vagy hatósági módszertanra utaló előírások hivatkozásai megmaradtak, de tartalmukat ez a kétforrású segédlet nem bontja ki.</t>
  </si>
  <si>
    <t xml:space="preserve">Hivatalos forrás ellenőrzése</t>
  </si>
  <si>
    <t xml:space="preserve">A Nemzeti Jogszabálytár oldalai ebben a lekérdezésben nem voltak elérhetők. Az átvétel a Jogtár fent rögzített időállapotaiból történt; NJT-vel való szöveg-összevetés nem készült.</t>
  </si>
  <si>
    <t xml:space="preserve">Bővítés</t>
  </si>
  <si>
    <t xml:space="preserve">Új tétel új azonosítót kap. A meglévő tételazonosítókat meg kell őrizni. Későbbi értelmezés, workflow vagy belső felelős külön táblában, a tételazonosítóhoz kapcsolva vehető fel.</t>
  </si>
  <si>
    <t xml:space="preserve">Időállapot frissítése</t>
  </si>
  <si>
    <t xml:space="preserve">Új időállapotnál a forrásverziót és az érintett tételazonosítókat rögzíteni kell. A jelen forrásazonosítók ehhez a V.1.0 szövegállapothoz tartoznak.</t>
  </si>
  <si>
    <t xml:space="preserve">V.1.0 változás</t>
  </si>
  <si>
    <t xml:space="preserve">Első kiadás: navigáció, hatály, feladatok, jogok, fogalmak, teljes rendelkezésmutató, forrásszöveg és kifejezett kereszthivatkozások.</t>
  </si>
</sst>
</file>

<file path=xl/styles.xml><?xml version="1.0" encoding="utf-8"?>
<styleSheet xmlns="http://schemas.openxmlformats.org/spreadsheetml/2006/main">
  <numFmts count="3">
    <numFmt numFmtId="164" formatCode="General"/>
    <numFmt numFmtId="165" formatCode="0"/>
    <numFmt numFmtId="166" formatCode="yyyy\-mm\-dd"/>
  </numFmts>
  <fonts count="17">
    <font>
      <sz val="10"/>
      <name val="Arial"/>
      <family val="2"/>
    </font>
    <font>
      <sz val="10"/>
      <name val="Arial"/>
      <family val="0"/>
    </font>
    <font>
      <sz val="10"/>
      <name val="Arial"/>
      <family val="0"/>
    </font>
    <font>
      <sz val="10"/>
      <name val="Arial"/>
      <family val="0"/>
    </font>
    <font>
      <sz val="11"/>
      <name val="Calibri"/>
      <family val="0"/>
      <charset val="1"/>
    </font>
    <font>
      <sz val="11"/>
      <color rgb="FF18354A"/>
      <name val="Arial"/>
      <family val="0"/>
      <charset val="1"/>
    </font>
    <font>
      <b val="true"/>
      <sz val="17"/>
      <color rgb="FF18354A"/>
      <name val="Arial"/>
      <family val="0"/>
      <charset val="1"/>
    </font>
    <font>
      <b val="true"/>
      <sz val="14"/>
      <color rgb="FF18354A"/>
      <name val="Arial"/>
      <family val="0"/>
      <charset val="1"/>
    </font>
    <font>
      <b val="true"/>
      <sz val="11"/>
      <color rgb="FFFFFFFF"/>
      <name val="Arial"/>
      <family val="0"/>
      <charset val="1"/>
    </font>
    <font>
      <b val="true"/>
      <sz val="11"/>
      <color rgb="FF245C8A"/>
      <name val="Arial"/>
      <family val="0"/>
      <charset val="1"/>
    </font>
    <font>
      <sz val="10"/>
      <color rgb="FF18354A"/>
      <name val="Arial"/>
      <family val="0"/>
      <charset val="1"/>
    </font>
    <font>
      <b val="true"/>
      <sz val="15"/>
      <color rgb="FF18354A"/>
      <name val="Arial"/>
      <family val="0"/>
      <charset val="1"/>
    </font>
    <font>
      <sz val="10"/>
      <color rgb="FF245C8A"/>
      <name val="Arial"/>
      <family val="0"/>
      <charset val="1"/>
    </font>
    <font>
      <sz val="10"/>
      <color rgb="FF526373"/>
      <name val="Arial"/>
      <family val="0"/>
      <charset val="1"/>
    </font>
    <font>
      <b val="true"/>
      <sz val="10"/>
      <color rgb="FFFFFFFF"/>
      <name val="Arial"/>
      <family val="0"/>
      <charset val="1"/>
    </font>
    <font>
      <b val="true"/>
      <sz val="10"/>
      <color rgb="FF18354A"/>
      <name val="Arial"/>
      <family val="0"/>
      <charset val="1"/>
    </font>
    <font>
      <b val="true"/>
      <sz val="11"/>
      <name val="Calibri"/>
      <family val="0"/>
      <charset val="1"/>
    </font>
  </fonts>
  <fills count="5">
    <fill>
      <patternFill patternType="none"/>
    </fill>
    <fill>
      <patternFill patternType="gray125"/>
    </fill>
    <fill>
      <patternFill patternType="solid">
        <fgColor rgb="FFFFF2D5"/>
        <bgColor rgb="FFEAF1F6"/>
      </patternFill>
    </fill>
    <fill>
      <patternFill patternType="solid">
        <fgColor rgb="FF18354A"/>
        <bgColor rgb="FF333333"/>
      </patternFill>
    </fill>
    <fill>
      <patternFill patternType="solid">
        <fgColor rgb="FFEAF1F6"/>
        <bgColor rgb="FFFFF2D5"/>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false">
      <alignment horizontal="general" vertical="center" textRotation="0" wrapText="false" indent="0" shrinkToFit="false"/>
      <protection locked="true" hidden="false"/>
    </xf>
    <xf numFmtId="164" fontId="6" fillId="0" borderId="0" xfId="20" applyFont="true" applyBorder="true" applyAlignment="true" applyProtection="false">
      <alignment horizontal="general" vertical="center" textRotation="0" wrapText="false" indent="0" shrinkToFit="false"/>
      <protection locked="true" hidden="false"/>
    </xf>
    <xf numFmtId="164" fontId="5" fillId="2" borderId="0" xfId="20" applyFont="true" applyBorder="true" applyAlignment="true" applyProtection="false">
      <alignment horizontal="general" vertical="center" textRotation="0" wrapText="true" indent="0" shrinkToFit="false"/>
      <protection locked="true" hidden="false"/>
    </xf>
    <xf numFmtId="164" fontId="7" fillId="0" borderId="0" xfId="20" applyFont="true" applyBorder="true" applyAlignment="true" applyProtection="false">
      <alignment horizontal="general" vertical="center" textRotation="0" wrapText="false" indent="0" shrinkToFit="false"/>
      <protection locked="true" hidden="false"/>
    </xf>
    <xf numFmtId="164" fontId="8" fillId="3" borderId="0" xfId="20" applyFont="true" applyBorder="true" applyAlignment="true" applyProtection="false">
      <alignment horizontal="general" vertical="center" textRotation="0" wrapText="false" indent="0" shrinkToFit="false"/>
      <protection locked="true" hidden="false"/>
    </xf>
    <xf numFmtId="164" fontId="9" fillId="4" borderId="0" xfId="20" applyFont="true" applyBorder="true" applyAlignment="true" applyProtection="false">
      <alignment horizontal="general" vertical="center" textRotation="0" wrapText="false" indent="0" shrinkToFit="false"/>
      <protection locked="true" hidden="false"/>
    </xf>
    <xf numFmtId="164" fontId="5" fillId="4" borderId="0" xfId="20" applyFont="true" applyBorder="true" applyAlignment="true" applyProtection="false">
      <alignment horizontal="general" vertical="center" textRotation="0" wrapText="false" indent="0" shrinkToFit="false"/>
      <protection locked="true" hidden="false"/>
    </xf>
    <xf numFmtId="164" fontId="9" fillId="0" borderId="0" xfId="20" applyFont="true" applyBorder="true" applyAlignment="true" applyProtection="false">
      <alignment horizontal="general" vertical="center" textRotation="0" wrapText="false" indent="0" shrinkToFit="false"/>
      <protection locked="true" hidden="false"/>
    </xf>
    <xf numFmtId="164" fontId="5" fillId="0" borderId="0" xfId="20" applyFont="true" applyBorder="true" applyAlignment="true" applyProtection="false">
      <alignment horizontal="general" vertical="center" textRotation="0" wrapText="true" indent="0" shrinkToFit="false"/>
      <protection locked="true" hidden="false"/>
    </xf>
    <xf numFmtId="164" fontId="10" fillId="0" borderId="0" xfId="20" applyFont="true" applyBorder="true" applyAlignment="true" applyProtection="false">
      <alignment horizontal="general" vertical="top" textRotation="0" wrapText="false" indent="0" shrinkToFit="false"/>
      <protection locked="true" hidden="false"/>
    </xf>
    <xf numFmtId="164" fontId="11" fillId="0" borderId="0" xfId="20" applyFont="true" applyBorder="true" applyAlignment="true" applyProtection="false">
      <alignment horizontal="general" vertical="top" textRotation="0" wrapText="false" indent="0" shrinkToFit="false"/>
      <protection locked="true" hidden="false"/>
    </xf>
    <xf numFmtId="164" fontId="12" fillId="0" borderId="0" xfId="20" applyFont="true" applyBorder="true" applyAlignment="true" applyProtection="false">
      <alignment horizontal="general" vertical="top" textRotation="0" wrapText="false" indent="0" shrinkToFit="false"/>
      <protection locked="true" hidden="false"/>
    </xf>
    <xf numFmtId="164" fontId="13" fillId="0" borderId="0" xfId="20" applyFont="true" applyBorder="true" applyAlignment="true" applyProtection="false">
      <alignment horizontal="general" vertical="top" textRotation="0" wrapText="false" indent="0" shrinkToFit="false"/>
      <protection locked="true" hidden="false"/>
    </xf>
    <xf numFmtId="164" fontId="14" fillId="3" borderId="0" xfId="20" applyFont="true" applyBorder="true" applyAlignment="true" applyProtection="false">
      <alignment horizontal="general" vertical="center" textRotation="0" wrapText="true" indent="0" shrinkToFit="false"/>
      <protection locked="true" hidden="false"/>
    </xf>
    <xf numFmtId="164" fontId="10" fillId="0" borderId="0" xfId="20" applyFont="true" applyBorder="true" applyAlignment="true" applyProtection="false">
      <alignment horizontal="general" vertical="top" textRotation="0" wrapText="true" indent="0" shrinkToFit="false"/>
      <protection locked="true" hidden="false"/>
    </xf>
    <xf numFmtId="164" fontId="12" fillId="0" borderId="0" xfId="20" applyFont="true" applyBorder="true" applyAlignment="true" applyProtection="false">
      <alignment horizontal="general" vertical="top" textRotation="0" wrapText="true" indent="0" shrinkToFit="false"/>
      <protection locked="true" hidden="false"/>
    </xf>
    <xf numFmtId="165" fontId="10" fillId="0" borderId="0" xfId="20" applyFont="true" applyBorder="true" applyAlignment="true" applyProtection="false">
      <alignment horizontal="general" vertical="top" textRotation="0" wrapText="true" indent="0" shrinkToFit="false"/>
      <protection locked="true" hidden="false"/>
    </xf>
    <xf numFmtId="166" fontId="10" fillId="0" borderId="0" xfId="20" applyFont="true" applyBorder="true" applyAlignment="true" applyProtection="false">
      <alignment horizontal="general" vertical="top" textRotation="0" wrapText="true" indent="0" shrinkToFit="false"/>
      <protection locked="true" hidden="false"/>
    </xf>
    <xf numFmtId="164" fontId="15" fillId="0" borderId="0" xfId="20" applyFont="true" applyBorder="true" applyAlignment="true" applyProtection="false">
      <alignment horizontal="general" vertical="top" textRotation="0" wrapText="true" indent="0" shrinkToFit="false"/>
      <protection locked="true" hidden="false"/>
    </xf>
    <xf numFmtId="164" fontId="16" fillId="0" borderId="0"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15">
    <dxf>
      <fill>
        <patternFill patternType="solid">
          <fgColor rgb="FF18354A"/>
          <bgColor rgb="FF000000"/>
        </patternFill>
      </fill>
    </dxf>
    <dxf>
      <fill>
        <patternFill patternType="solid">
          <bgColor rgb="FF000000"/>
        </patternFill>
      </fill>
    </dxf>
    <dxf>
      <fill>
        <patternFill patternType="solid">
          <fgColor rgb="FFFFFFFF"/>
          <bgColor rgb="FF000000"/>
        </patternFill>
      </fill>
    </dxf>
    <dxf>
      <fill>
        <patternFill patternType="solid">
          <fgColor rgb="FF245C8A"/>
          <bgColor rgb="FF000000"/>
        </patternFill>
      </fill>
    </dxf>
    <dxf>
      <fill>
        <patternFill patternType="solid">
          <fgColor rgb="FFFFF2D5"/>
          <bgColor rgb="FF000000"/>
        </patternFill>
      </fill>
    </dxf>
    <dxf>
      <fill>
        <patternFill>
          <bgColor rgb="FFFFF2D5"/>
        </patternFill>
      </fill>
    </dxf>
    <dxf>
      <font>
        <color rgb="FF000000"/>
      </font>
      <border diagonalUp="false" diagonalDown="false">
        <left style="thin">
          <color theme="4"/>
        </left>
        <right style="thin">
          <color theme="4"/>
        </right>
        <top style="thin">
          <color theme="4"/>
        </top>
        <bottom style="thin">
          <color theme="4"/>
        </bottom>
        <diagonal/>
      </border>
    </dxf>
    <dxf>
      <border diagonalUp="false" diagonalDown="false">
        <left style="thin">
          <color theme="4"/>
        </left>
        <right/>
        <top/>
        <bottom/>
        <diagonal/>
      </border>
    </dxf>
    <dxf>
      <border diagonalUp="false" diagonalDown="false">
        <left style="thin">
          <color theme="4"/>
        </left>
        <right/>
        <top/>
        <bottom/>
        <diagonal/>
      </border>
    </dxf>
    <dxf>
      <border diagonalUp="false" diagonalDown="false">
        <left/>
        <right/>
        <top style="thin">
          <color theme="4"/>
        </top>
        <bottom/>
        <diagonal/>
      </border>
    </dxf>
    <dxf>
      <border diagonalUp="false" diagonalDown="false">
        <left/>
        <right/>
        <top style="thin">
          <color theme="4"/>
        </top>
        <bottom/>
        <diagonal/>
      </border>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9" name="TableStyleLight9">
      <tableStyleElement dxfId="6" type="wholeTable"/>
      <tableStyleElement dxfId="7" type="firstColumnStripe"/>
      <tableStyleElement dxfId="8" type="secondColumnStripe"/>
      <tableStyleElement dxfId="9" type="firstRowStripe"/>
      <tableStyleElement dxfId="10" type="secondRowStripe"/>
      <tableStyleElement dxfId="11" type="lastColumn"/>
      <tableStyleElement dxfId="12" type="firstColumn"/>
      <tableStyleElement dxfId="13" type="headerRow"/>
      <tableStyleElement dxfId="14"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808080"/>
      <rgbColor rgb="FF9999FF"/>
      <rgbColor rgb="FF993366"/>
      <rgbColor rgb="FFFFF2D5"/>
      <rgbColor rgb="FFEAF1F6"/>
      <rgbColor rgb="FF660066"/>
      <rgbColor rgb="FFFF8080"/>
      <rgbColor rgb="FF245C8A"/>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26373"/>
      <rgbColor rgb="FF969696"/>
      <rgbColor rgb="FF1835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ables/table1.xml><?xml version="1.0" encoding="utf-8"?>
<table xmlns="http://schemas.openxmlformats.org/spreadsheetml/2006/main" id="1" name="T1" displayName="T1" ref="A5:F2497" headerRowCount="1" totalsRowCount="0" totalsRowShown="0">
  <autoFilter ref="A5:F2497"/>
  <tableColumns count="6">
    <tableColumn id="1" name="Forrásazonosító"/>
    <tableColumn id="2" name="Jogszabály"/>
    <tableColumn id="3" name="Jogszabályhely / cím"/>
    <tableColumn id="4" name="Szó szerinti szöveg"/>
    <tableColumn id="5" name="Bekezdés eleje"/>
    <tableColumn id="6" name="Online forrás"/>
  </tableColumns>
  <tableStyleInfo name="TableStyleLight9" showFirstColumn="0" showLastColumn="0" showRowStripes="1" showColumnStripes="0"/>
</table>
</file>

<file path=xl/tables/table2.xml><?xml version="1.0" encoding="utf-8"?>
<table xmlns="http://schemas.openxmlformats.org/spreadsheetml/2006/main" id="2" name="T2" displayName="T2" ref="A5:H215" headerRowCount="1" totalsRowCount="0" totalsRowShown="0">
  <autoFilter ref="A5:H215"/>
  <tableColumns count="8">
    <tableColumn id="1" name="Azonosító"/>
    <tableColumn id="2" name="Érintett"/>
    <tableColumn id="3" name="Feladat röviden"/>
    <tableColumn id="4" name="Feltétel / kivétel"/>
    <tableColumn id="5" name="Időzítés"/>
    <tableColumn id="6" name="Jogalap"/>
    <tableColumn id="7" name="Téma"/>
    <tableColumn id="8" name="Teljes §"/>
  </tableColumns>
  <tableStyleInfo name="TableStyleLight9" showFirstColumn="0" showLastColumn="0" showRowStripes="1" showColumnStripes="0"/>
</table>
</file>

<file path=xl/tables/table3.xml><?xml version="1.0" encoding="utf-8"?>
<table xmlns="http://schemas.openxmlformats.org/spreadsheetml/2006/main" id="3" name="T3" displayName="T3" ref="A5:H46" headerRowCount="1" totalsRowCount="0" totalsRowShown="0">
  <autoFilter ref="A5:H46"/>
  <tableColumns count="8">
    <tableColumn id="1" name="Azonosító"/>
    <tableColumn id="2" name="Érintett"/>
    <tableColumn id="3" name="Jog / hatáskör röviden"/>
    <tableColumn id="4" name="Feltétel / kivétel"/>
    <tableColumn id="5" name="Időzítés"/>
    <tableColumn id="6" name="Jogalap"/>
    <tableColumn id="7" name="Téma"/>
    <tableColumn id="8" name="Teljes §"/>
  </tableColumns>
  <tableStyleInfo name="TableStyleLight9" showFirstColumn="0" showLastColumn="0" showRowStripes="1" showColumnStripes="0"/>
</table>
</file>

<file path=xl/tables/table4.xml><?xml version="1.0" encoding="utf-8"?>
<table xmlns="http://schemas.openxmlformats.org/spreadsheetml/2006/main" id="4" name="T4" displayName="T4" ref="A5:F49" headerRowCount="1" totalsRowCount="0" totalsRowShown="0">
  <autoFilter ref="A5:F49"/>
  <tableColumns count="6">
    <tableColumn id="1" name="Azonosító"/>
    <tableColumn id="2" name="Terület"/>
    <tableColumn id="3" name="Jogszabályhely"/>
    <tableColumn id="4" name="Szó szerinti rendelkezés / szövegkezdet"/>
    <tableColumn id="5" name="Forrás"/>
    <tableColumn id="6" name="Mellékletek"/>
  </tableColumns>
  <tableStyleInfo name="TableStyleLight9" showFirstColumn="0" showLastColumn="0" showRowStripes="1" showColumnStripes="0"/>
</table>
</file>

<file path=xl/tables/table5.xml><?xml version="1.0" encoding="utf-8"?>
<table xmlns="http://schemas.openxmlformats.org/spreadsheetml/2006/main" id="5" name="T5" displayName="T5" ref="A5:D131" headerRowCount="1" totalsRowCount="0" totalsRowShown="0">
  <autoFilter ref="A5:D131"/>
  <tableColumns count="4">
    <tableColumn id="1" name="Azonosító"/>
    <tableColumn id="2" name="Fogalom"/>
    <tableColumn id="3" name="Meghatározás"/>
    <tableColumn id="4" name="Jogalap"/>
  </tableColumns>
  <tableStyleInfo name="TableStyleLight9" showFirstColumn="0" showLastColumn="0" showRowStripes="1" showColumnStripes="0"/>
</table>
</file>

<file path=xl/tables/table6.xml><?xml version="1.0" encoding="utf-8"?>
<table xmlns="http://schemas.openxmlformats.org/spreadsheetml/2006/main" id="6" name="T6" displayName="T6" ref="A5:G241" headerRowCount="1" totalsRowCount="0" totalsRowShown="0">
  <autoFilter ref="A5:G241"/>
  <tableColumns count="7">
    <tableColumn id="1" name="Jogszabály"/>
    <tableColumn id="2" name="§ / melléklet"/>
    <tableColumn id="3" name="Téma"/>
    <tableColumn id="4" name="Feladattétel"/>
    <tableColumn id="5" name="Jog / hatáskör"/>
    <tableColumn id="6" name="Feldolgozottság"/>
    <tableColumn id="7" name="Forrás"/>
  </tableColumns>
  <tableStyleInfo name="TableStyleLight9" showFirstColumn="0" showLastColumn="0" showRowStripes="1" showColumnStripes="0"/>
</table>
</file>

<file path=xl/tables/table7.xml><?xml version="1.0" encoding="utf-8"?>
<table xmlns="http://schemas.openxmlformats.org/spreadsheetml/2006/main" id="7" name="T7" displayName="T7" ref="A5:E82" headerRowCount="1" totalsRowCount="0" totalsRowShown="0">
  <autoFilter ref="A5:E82"/>
  <tableColumns count="5">
    <tableColumn id="1" name="Azonosító"/>
    <tableColumn id="2" name="Hivatkozó Vhr.-hely"/>
    <tableColumn id="3" name="Szövegben szereplő hivatkozás"/>
    <tableColumn id="4" name="Vhr. forrás"/>
    <tableColumn id="5" name="Törvényi cél"/>
  </tableColumns>
  <tableStyleInfo name="TableStyleLight9" showFirstColumn="0" showLastColumn="0" showRowStripes="1" showColumnStripes="0"/>
</table>
</file>

<file path=xl/tables/table8.xml><?xml version="1.0" encoding="utf-8"?>
<table xmlns="http://schemas.openxmlformats.org/spreadsheetml/2006/main" id="8" name="T8" displayName="T8" ref="A5:F7" headerRowCount="1" totalsRowCount="0" totalsRowShown="0">
  <autoFilter ref="A5:F7"/>
  <tableColumns count="6">
    <tableColumn id="1" name="Forráskód"/>
    <tableColumn id="2" name="Jogszabály"/>
    <tableColumn id="3" name="Megnyitott időállapot"/>
    <tableColumn id="4" name="Lekérdezés napja"/>
    <tableColumn id="5" name="Szövegforrás"/>
    <tableColumn id="6" name="Hivatkozás"/>
  </tableColumns>
  <tableStyleInfo name="TableStyleLight9"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5.xml"/>
</Relationships>
</file>

<file path=xl/worksheets/_rels/sheet6.xml.rels><?xml version="1.0" encoding="UTF-8"?>
<Relationships xmlns="http://schemas.openxmlformats.org/package/2006/relationships"><Relationship Id="rId1" Type="http://schemas.openxmlformats.org/officeDocument/2006/relationships/table" Target="../tables/table6.xml"/>
</Relationships>
</file>

<file path=xl/worksheets/_rels/sheet7.xml.rels><?xml version="1.0" encoding="UTF-8"?>
<Relationships xmlns="http://schemas.openxmlformats.org/package/2006/relationships"><Relationship Id="rId1" Type="http://schemas.openxmlformats.org/officeDocument/2006/relationships/table" Target="../tables/table1.xml"/>
</Relationships>
</file>

<file path=xl/worksheets/_rels/sheet8.xml.rels><?xml version="1.0" encoding="UTF-8"?>
<Relationships xmlns="http://schemas.openxmlformats.org/package/2006/relationships"><Relationship Id="rId1" Type="http://schemas.openxmlformats.org/officeDocument/2006/relationships/table" Target="../tables/table7.xml"/>
</Relationships>
</file>

<file path=xl/worksheets/_rels/sheet9.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8354A"/>
    <pageSetUpPr fitToPage="false"/>
  </sheetPr>
  <dimension ref="A1:F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5"/>
    <col collapsed="false" customWidth="true" hidden="false" outlineLevel="0" max="3" min="3" style="0" width="18"/>
    <col collapsed="false" customWidth="true" hidden="false" outlineLevel="0" max="6" min="4" style="0" width="17"/>
  </cols>
  <sheetData>
    <row r="1" customFormat="false" ht="27" hidden="false" customHeight="true" outlineLevel="0" collapsed="false">
      <c r="A1" s="1"/>
      <c r="B1" s="1"/>
      <c r="C1" s="1"/>
      <c r="D1" s="1"/>
      <c r="E1" s="1"/>
      <c r="F1" s="1"/>
    </row>
    <row r="2" customFormat="false" ht="27" hidden="false" customHeight="true" outlineLevel="0" collapsed="false">
      <c r="A2" s="2" t="s">
        <v>0</v>
      </c>
      <c r="B2" s="2"/>
      <c r="C2" s="2"/>
      <c r="D2" s="2"/>
      <c r="E2" s="2"/>
      <c r="F2" s="2"/>
    </row>
    <row r="3" customFormat="false" ht="27" hidden="false" customHeight="true" outlineLevel="0" collapsed="false">
      <c r="A3" s="1" t="s">
        <v>1</v>
      </c>
      <c r="B3" s="1"/>
      <c r="C3" s="1"/>
      <c r="D3" s="1"/>
      <c r="E3" s="1"/>
      <c r="F3" s="1"/>
    </row>
    <row r="4" customFormat="false" ht="27" hidden="false" customHeight="true" outlineLevel="0" collapsed="false">
      <c r="A4" s="1"/>
      <c r="B4" s="1"/>
      <c r="C4" s="1"/>
      <c r="D4" s="1"/>
      <c r="E4" s="1"/>
      <c r="F4" s="1"/>
    </row>
    <row r="5" customFormat="false" ht="27" hidden="false" customHeight="true" outlineLevel="0" collapsed="false">
      <c r="A5" s="3" t="s">
        <v>2</v>
      </c>
      <c r="B5" s="3"/>
      <c r="C5" s="3"/>
      <c r="D5" s="3"/>
      <c r="E5" s="3"/>
      <c r="F5" s="3"/>
    </row>
    <row r="6" customFormat="false" ht="27" hidden="false" customHeight="true" outlineLevel="0" collapsed="false">
      <c r="A6" s="3"/>
      <c r="B6" s="3"/>
      <c r="C6" s="3"/>
      <c r="D6" s="3"/>
      <c r="E6" s="3"/>
      <c r="F6" s="3"/>
    </row>
    <row r="7" customFormat="false" ht="27" hidden="false" customHeight="true" outlineLevel="0" collapsed="false">
      <c r="A7" s="1"/>
      <c r="B7" s="1"/>
      <c r="C7" s="1"/>
      <c r="D7" s="1"/>
      <c r="E7" s="1"/>
      <c r="F7" s="1"/>
    </row>
    <row r="8" customFormat="false" ht="27" hidden="false" customHeight="true" outlineLevel="0" collapsed="false">
      <c r="A8" s="1" t="s">
        <v>3</v>
      </c>
      <c r="B8" s="4" t="n">
        <f aca="false">COUNTA(Feladatok!A6:A215)</f>
        <v>210</v>
      </c>
      <c r="C8" s="1"/>
      <c r="D8" s="1"/>
      <c r="E8" s="1"/>
      <c r="F8" s="1"/>
    </row>
    <row r="9" customFormat="false" ht="27" hidden="false" customHeight="true" outlineLevel="0" collapsed="false">
      <c r="A9" s="1" t="s">
        <v>4</v>
      </c>
      <c r="B9" s="4" t="n">
        <f aca="false">COUNTA(Jogok!A6:A46)</f>
        <v>41</v>
      </c>
      <c r="C9" s="1"/>
      <c r="D9" s="1"/>
      <c r="E9" s="1"/>
      <c r="F9" s="1"/>
    </row>
    <row r="10" customFormat="false" ht="27" hidden="false" customHeight="true" outlineLevel="0" collapsed="false">
      <c r="A10" s="1" t="s">
        <v>5</v>
      </c>
      <c r="B10" s="4" t="n">
        <f aca="false">COUNTA(Fogalmak!A6:A131)</f>
        <v>126</v>
      </c>
      <c r="C10" s="1"/>
      <c r="D10" s="1"/>
      <c r="E10" s="1"/>
      <c r="F10" s="1"/>
    </row>
    <row r="11" customFormat="false" ht="27" hidden="false" customHeight="true" outlineLevel="0" collapsed="false">
      <c r="A11" s="1"/>
      <c r="B11" s="1"/>
      <c r="C11" s="1"/>
      <c r="D11" s="1"/>
      <c r="E11" s="1"/>
      <c r="F11" s="1"/>
    </row>
    <row r="12" customFormat="false" ht="27" hidden="false" customHeight="true" outlineLevel="0" collapsed="false">
      <c r="A12" s="5" t="s">
        <v>6</v>
      </c>
      <c r="B12" s="5"/>
      <c r="C12" s="5"/>
      <c r="D12" s="5"/>
      <c r="E12" s="5"/>
      <c r="F12" s="5"/>
    </row>
    <row r="13" customFormat="false" ht="27" hidden="false" customHeight="true" outlineLevel="0" collapsed="false">
      <c r="A13" s="6" t="str">
        <f aca="false">HYPERLINK("#'Hatály'!A1","Hatály")</f>
        <v>Hatály</v>
      </c>
      <c r="B13" s="7" t="s">
        <v>7</v>
      </c>
      <c r="C13" s="7"/>
      <c r="D13" s="7"/>
      <c r="E13" s="7"/>
      <c r="F13" s="7"/>
    </row>
    <row r="14" customFormat="false" ht="27" hidden="false" customHeight="true" outlineLevel="0" collapsed="false">
      <c r="A14" s="8" t="str">
        <f aca="false">HYPERLINK("#'Feladatok'!A1","Feladatok")</f>
        <v>Feladatok</v>
      </c>
      <c r="B14" s="1" t="s">
        <v>8</v>
      </c>
      <c r="C14" s="1"/>
      <c r="D14" s="1"/>
      <c r="E14" s="1"/>
      <c r="F14" s="1"/>
    </row>
    <row r="15" customFormat="false" ht="27" hidden="false" customHeight="true" outlineLevel="0" collapsed="false">
      <c r="A15" s="6" t="str">
        <f aca="false">HYPERLINK("#'Jogok'!A1","Jogok")</f>
        <v>Jogok</v>
      </c>
      <c r="B15" s="7" t="s">
        <v>9</v>
      </c>
      <c r="C15" s="7"/>
      <c r="D15" s="7"/>
      <c r="E15" s="7"/>
      <c r="F15" s="7"/>
    </row>
    <row r="16" customFormat="false" ht="27" hidden="false" customHeight="true" outlineLevel="0" collapsed="false">
      <c r="A16" s="8" t="str">
        <f aca="false">HYPERLINK("#'Fogalmak'!A1","Fogalmak")</f>
        <v>Fogalmak</v>
      </c>
      <c r="B16" s="1" t="s">
        <v>10</v>
      </c>
      <c r="C16" s="1"/>
      <c r="D16" s="1"/>
      <c r="E16" s="1"/>
      <c r="F16" s="1"/>
    </row>
    <row r="17" customFormat="false" ht="27" hidden="false" customHeight="true" outlineLevel="0" collapsed="false">
      <c r="A17" s="6" t="str">
        <f aca="false">HYPERLINK("#'Mutató'!A1","Mutató")</f>
        <v>Mutató</v>
      </c>
      <c r="B17" s="7" t="s">
        <v>11</v>
      </c>
      <c r="C17" s="7"/>
      <c r="D17" s="7"/>
      <c r="E17" s="7"/>
      <c r="F17" s="7"/>
    </row>
    <row r="18" customFormat="false" ht="27" hidden="false" customHeight="true" outlineLevel="0" collapsed="false">
      <c r="A18" s="8" t="str">
        <f aca="false">HYPERLINK("#'Forrásszöveg'!A1","Forrásszöveg")</f>
        <v>Forrásszöveg</v>
      </c>
      <c r="B18" s="1" t="s">
        <v>12</v>
      </c>
      <c r="C18" s="1"/>
      <c r="D18" s="1"/>
      <c r="E18" s="1"/>
      <c r="F18" s="1"/>
    </row>
    <row r="19" customFormat="false" ht="27" hidden="false" customHeight="true" outlineLevel="0" collapsed="false">
      <c r="A19" s="6" t="str">
        <f aca="false">HYPERLINK("#'Kapcsolatok'!A1","Kapcsolatok")</f>
        <v>Kapcsolatok</v>
      </c>
      <c r="B19" s="7" t="s">
        <v>13</v>
      </c>
      <c r="C19" s="7"/>
      <c r="D19" s="7"/>
      <c r="E19" s="7"/>
      <c r="F19" s="7"/>
    </row>
    <row r="20" customFormat="false" ht="27" hidden="false" customHeight="true" outlineLevel="0" collapsed="false">
      <c r="A20" s="8" t="str">
        <f aca="false">HYPERLINK("#'Források'!A1","Források")</f>
        <v>Források</v>
      </c>
      <c r="B20" s="1" t="s">
        <v>14</v>
      </c>
      <c r="C20" s="1"/>
      <c r="D20" s="1"/>
      <c r="E20" s="1"/>
      <c r="F20" s="1"/>
    </row>
    <row r="21" customFormat="false" ht="27" hidden="false" customHeight="true" outlineLevel="0" collapsed="false">
      <c r="A21" s="1"/>
      <c r="B21" s="1"/>
      <c r="C21" s="1"/>
      <c r="D21" s="1"/>
      <c r="E21" s="1"/>
      <c r="F21" s="1"/>
    </row>
    <row r="22" customFormat="false" ht="27" hidden="false" customHeight="true" outlineLevel="0" collapsed="false">
      <c r="A22" s="9" t="s">
        <v>15</v>
      </c>
      <c r="B22" s="9"/>
      <c r="C22" s="9"/>
      <c r="D22" s="9"/>
      <c r="E22" s="9"/>
      <c r="F22" s="9"/>
    </row>
    <row r="23" customFormat="false" ht="27" hidden="false" customHeight="true" outlineLevel="0" collapsed="false">
      <c r="A23" s="9"/>
      <c r="B23" s="9"/>
      <c r="C23" s="9"/>
      <c r="D23" s="9"/>
      <c r="E23" s="9"/>
      <c r="F23" s="9"/>
    </row>
    <row r="24" customFormat="false" ht="27" hidden="false" customHeight="true" outlineLevel="0" collapsed="false">
      <c r="A24" s="1"/>
      <c r="B24" s="1"/>
      <c r="C24" s="1"/>
      <c r="D24" s="1"/>
      <c r="E24" s="1"/>
      <c r="F24" s="1"/>
    </row>
    <row r="25" customFormat="false" ht="27" hidden="false" customHeight="true" outlineLevel="0" collapsed="false">
      <c r="A25" s="9" t="s">
        <v>16</v>
      </c>
      <c r="B25" s="9"/>
      <c r="C25" s="9"/>
      <c r="D25" s="9"/>
      <c r="E25" s="9"/>
      <c r="F25" s="9"/>
    </row>
    <row r="26" customFormat="false" ht="27" hidden="false" customHeight="true" outlineLevel="0" collapsed="false">
      <c r="A26" s="9"/>
      <c r="B26" s="9"/>
      <c r="C26" s="9"/>
      <c r="D26" s="9"/>
      <c r="E26" s="9"/>
      <c r="F26" s="9"/>
    </row>
    <row r="27" customFormat="false" ht="27" hidden="false" customHeight="true" outlineLevel="0" collapsed="false">
      <c r="A27" s="1"/>
      <c r="B27" s="1"/>
      <c r="C27" s="1"/>
      <c r="D27" s="1"/>
      <c r="E27" s="1"/>
      <c r="F27" s="1"/>
    </row>
    <row r="28" customFormat="false" ht="27" hidden="false" customHeight="true" outlineLevel="0" collapsed="false">
      <c r="A28" s="1"/>
      <c r="B28" s="1"/>
      <c r="C28" s="1"/>
      <c r="D28" s="1"/>
      <c r="E28" s="1"/>
      <c r="F28" s="1"/>
    </row>
  </sheetData>
  <mergeCells count="14">
    <mergeCell ref="A2:F2"/>
    <mergeCell ref="A3:F3"/>
    <mergeCell ref="A5:F6"/>
    <mergeCell ref="A12:F12"/>
    <mergeCell ref="B13:F13"/>
    <mergeCell ref="B14:F14"/>
    <mergeCell ref="B15:F15"/>
    <mergeCell ref="B16:F16"/>
    <mergeCell ref="B17:F17"/>
    <mergeCell ref="B18:F18"/>
    <mergeCell ref="B19:F19"/>
    <mergeCell ref="B20:F20"/>
    <mergeCell ref="A22:F23"/>
    <mergeCell ref="A25:F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8354A"/>
    <pageSetUpPr fitToPage="false"/>
  </sheetPr>
  <dimension ref="A1: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24"/>
    <col collapsed="false" customWidth="true" hidden="false" outlineLevel="0" max="4" min="4" style="0" width="100"/>
    <col collapsed="false" customWidth="true" hidden="false" outlineLevel="0" max="5" min="5" style="0" width="24"/>
    <col collapsed="false" customWidth="true" hidden="false" outlineLevel="0" max="6" min="6" style="0" width="20"/>
  </cols>
  <sheetData>
    <row r="1" customFormat="false" ht="15" hidden="false" customHeight="false" outlineLevel="0" collapsed="false">
      <c r="A1" s="10"/>
      <c r="B1" s="10"/>
      <c r="C1" s="10"/>
      <c r="D1" s="10"/>
      <c r="E1" s="10"/>
      <c r="F1" s="10"/>
    </row>
    <row r="2" customFormat="false" ht="18.55" hidden="false" customHeight="false" outlineLevel="0" collapsed="false">
      <c r="A2" s="11" t="s">
        <v>17</v>
      </c>
      <c r="B2" s="10"/>
      <c r="C2" s="10"/>
      <c r="D2" s="10"/>
      <c r="E2" s="10"/>
      <c r="F2" s="12" t="str">
        <f aca="false">HYPERLINK("#'Áttekintő'!A1","Áttekintő")</f>
        <v>Áttekintő</v>
      </c>
    </row>
    <row r="3" customFormat="false" ht="15" hidden="false" customHeight="false" outlineLevel="0" collapsed="false">
      <c r="A3" s="13" t="s">
        <v>18</v>
      </c>
      <c r="B3" s="10"/>
      <c r="C3" s="10"/>
      <c r="D3" s="10"/>
      <c r="E3" s="10"/>
      <c r="F3" s="10"/>
    </row>
    <row r="4" customFormat="false" ht="15" hidden="false" customHeight="false" outlineLevel="0" collapsed="false">
      <c r="A4" s="10"/>
      <c r="B4" s="10"/>
      <c r="C4" s="10"/>
      <c r="D4" s="10"/>
      <c r="E4" s="10"/>
      <c r="F4" s="10"/>
    </row>
    <row r="5" customFormat="false" ht="30" hidden="false" customHeight="true" outlineLevel="0" collapsed="false">
      <c r="A5" s="14" t="s">
        <v>19</v>
      </c>
      <c r="B5" s="14" t="s">
        <v>20</v>
      </c>
      <c r="C5" s="14" t="s">
        <v>21</v>
      </c>
      <c r="D5" s="14" t="s">
        <v>22</v>
      </c>
      <c r="E5" s="14" t="s">
        <v>23</v>
      </c>
      <c r="F5" s="14" t="s">
        <v>24</v>
      </c>
    </row>
    <row r="6" customFormat="false" ht="220" hidden="false" customHeight="true" outlineLevel="0" collapsed="false">
      <c r="A6" s="15" t="s">
        <v>25</v>
      </c>
      <c r="B6" s="15" t="s">
        <v>26</v>
      </c>
      <c r="C6" s="15" t="s">
        <v>27</v>
      </c>
      <c r="D6" s="15" t="s">
        <v>28</v>
      </c>
      <c r="E6" s="15" t="str">
        <f aca="false">HYPERLINK("#'Forrásszöveg'!A"&amp;(MATCH("TV-S0010",Forrásszöveg!$A$6:$A$2497,0)+5),"Teljes bekezdés")</f>
        <v>Teljes bekezdés</v>
      </c>
      <c r="F6" s="15" t="str">
        <f aca="false">HYPERLINK("#'Forrásszöveg'!A"&amp;(MATCH("TV-S1258",Forrásszöveg!$A$6:$A$2497,0)+5),"Mellékletek")</f>
        <v>Mellékletek</v>
      </c>
    </row>
    <row r="7" customFormat="false" ht="80" hidden="false" customHeight="true" outlineLevel="0" collapsed="false">
      <c r="A7" s="15" t="s">
        <v>29</v>
      </c>
      <c r="B7" s="15" t="s">
        <v>26</v>
      </c>
      <c r="C7" s="15" t="s">
        <v>30</v>
      </c>
      <c r="D7" s="15" t="s">
        <v>31</v>
      </c>
      <c r="E7" s="15" t="str">
        <f aca="false">HYPERLINK("#'Forrásszöveg'!A"&amp;(MATCH("TV-S0026",Forrásszöveg!$A$6:$A$2497,0)+5),"Teljes bekezdés")</f>
        <v>Teljes bekezdés</v>
      </c>
      <c r="F7" s="15" t="str">
        <f aca="false">HYPERLINK("#'Forrásszöveg'!A"&amp;(MATCH("TV-S1258",Forrásszöveg!$A$6:$A$2497,0)+5),"Mellékletek")</f>
        <v>Mellékletek</v>
      </c>
    </row>
    <row r="8" customFormat="false" ht="136" hidden="false" customHeight="true" outlineLevel="0" collapsed="false">
      <c r="A8" s="15" t="s">
        <v>32</v>
      </c>
      <c r="B8" s="15" t="s">
        <v>26</v>
      </c>
      <c r="C8" s="15" t="s">
        <v>33</v>
      </c>
      <c r="D8" s="15" t="s">
        <v>34</v>
      </c>
      <c r="E8" s="15" t="str">
        <f aca="false">HYPERLINK("#'Forrásszöveg'!A"&amp;(MATCH("TV-S0027",Forrásszöveg!$A$6:$A$2497,0)+5),"Teljes bekezdés")</f>
        <v>Teljes bekezdés</v>
      </c>
      <c r="F8" s="15" t="str">
        <f aca="false">HYPERLINK("#'Forrásszöveg'!A"&amp;(MATCH("TV-S1258",Forrásszöveg!$A$6:$A$2497,0)+5),"Mellékletek")</f>
        <v>Mellékletek</v>
      </c>
    </row>
    <row r="9" customFormat="false" ht="66" hidden="false" customHeight="true" outlineLevel="0" collapsed="false">
      <c r="A9" s="15" t="s">
        <v>35</v>
      </c>
      <c r="B9" s="15" t="s">
        <v>26</v>
      </c>
      <c r="C9" s="15" t="s">
        <v>36</v>
      </c>
      <c r="D9" s="15" t="s">
        <v>37</v>
      </c>
      <c r="E9" s="15" t="str">
        <f aca="false">HYPERLINK("#'Forrásszöveg'!A"&amp;(MATCH("TV-S0028",Forrásszöveg!$A$6:$A$2497,0)+5),"Teljes bekezdés")</f>
        <v>Teljes bekezdés</v>
      </c>
      <c r="F9" s="15" t="str">
        <f aca="false">HYPERLINK("#'Forrásszöveg'!A"&amp;(MATCH("TV-S1258",Forrásszöveg!$A$6:$A$2497,0)+5),"Mellékletek")</f>
        <v>Mellékletek</v>
      </c>
    </row>
    <row r="10" customFormat="false" ht="52" hidden="false" customHeight="true" outlineLevel="0" collapsed="false">
      <c r="A10" s="15" t="s">
        <v>38</v>
      </c>
      <c r="B10" s="15" t="s">
        <v>26</v>
      </c>
      <c r="C10" s="15" t="s">
        <v>39</v>
      </c>
      <c r="D10" s="15" t="s">
        <v>40</v>
      </c>
      <c r="E10" s="15" t="str">
        <f aca="false">HYPERLINK("#'Forrásszöveg'!A"&amp;(MATCH("TV-S0029",Forrásszöveg!$A$6:$A$2497,0)+5),"Teljes bekezdés")</f>
        <v>Teljes bekezdés</v>
      </c>
      <c r="F10" s="15" t="str">
        <f aca="false">HYPERLINK("#'Forrásszöveg'!A"&amp;(MATCH("TV-S1258",Forrásszöveg!$A$6:$A$2497,0)+5),"Mellékletek")</f>
        <v>Mellékletek</v>
      </c>
    </row>
    <row r="11" customFormat="false" ht="234" hidden="false" customHeight="true" outlineLevel="0" collapsed="false">
      <c r="A11" s="15" t="s">
        <v>41</v>
      </c>
      <c r="B11" s="15" t="s">
        <v>26</v>
      </c>
      <c r="C11" s="15" t="s">
        <v>42</v>
      </c>
      <c r="D11" s="15" t="s">
        <v>43</v>
      </c>
      <c r="E11" s="15" t="str">
        <f aca="false">HYPERLINK("#'Forrásszöveg'!A"&amp;(MATCH("TV-S0030",Forrásszöveg!$A$6:$A$2497,0)+5),"Teljes bekezdés")</f>
        <v>Teljes bekezdés</v>
      </c>
      <c r="F11" s="15" t="str">
        <f aca="false">HYPERLINK("#'Forrásszöveg'!A"&amp;(MATCH("TV-S1258",Forrásszöveg!$A$6:$A$2497,0)+5),"Mellékletek")</f>
        <v>Mellékletek</v>
      </c>
    </row>
    <row r="12" customFormat="false" ht="136" hidden="false" customHeight="true" outlineLevel="0" collapsed="false">
      <c r="A12" s="15" t="s">
        <v>44</v>
      </c>
      <c r="B12" s="15" t="s">
        <v>26</v>
      </c>
      <c r="C12" s="15" t="s">
        <v>45</v>
      </c>
      <c r="D12" s="15" t="s">
        <v>46</v>
      </c>
      <c r="E12" s="15" t="str">
        <f aca="false">HYPERLINK("#'Forrásszöveg'!A"&amp;(MATCH("TV-S0039",Forrásszöveg!$A$6:$A$2497,0)+5),"Teljes bekezdés")</f>
        <v>Teljes bekezdés</v>
      </c>
      <c r="F12" s="15" t="str">
        <f aca="false">HYPERLINK("#'Forrásszöveg'!A"&amp;(MATCH("TV-S1258",Forrásszöveg!$A$6:$A$2497,0)+5),"Mellékletek")</f>
        <v>Mellékletek</v>
      </c>
    </row>
    <row r="13" customFormat="false" ht="206" hidden="false" customHeight="true" outlineLevel="0" collapsed="false">
      <c r="A13" s="15" t="s">
        <v>47</v>
      </c>
      <c r="B13" s="15" t="s">
        <v>26</v>
      </c>
      <c r="C13" s="15" t="s">
        <v>48</v>
      </c>
      <c r="D13" s="15" t="s">
        <v>49</v>
      </c>
      <c r="E13" s="15" t="str">
        <f aca="false">HYPERLINK("#'Forrásszöveg'!A"&amp;(MATCH("TV-S0044",Forrásszöveg!$A$6:$A$2497,0)+5),"Teljes bekezdés")</f>
        <v>Teljes bekezdés</v>
      </c>
      <c r="F13" s="15" t="str">
        <f aca="false">HYPERLINK("#'Forrásszöveg'!A"&amp;(MATCH("TV-S1258",Forrásszöveg!$A$6:$A$2497,0)+5),"Mellékletek")</f>
        <v>Mellékletek</v>
      </c>
    </row>
    <row r="14" customFormat="false" ht="52" hidden="false" customHeight="true" outlineLevel="0" collapsed="false">
      <c r="A14" s="15" t="s">
        <v>50</v>
      </c>
      <c r="B14" s="15" t="s">
        <v>26</v>
      </c>
      <c r="C14" s="15" t="s">
        <v>51</v>
      </c>
      <c r="D14" s="15" t="s">
        <v>52</v>
      </c>
      <c r="E14" s="15" t="str">
        <f aca="false">HYPERLINK("#'Forrásszöveg'!A"&amp;(MATCH("TV-S0058",Forrásszöveg!$A$6:$A$2497,0)+5),"Teljes bekezdés")</f>
        <v>Teljes bekezdés</v>
      </c>
      <c r="F14" s="15" t="str">
        <f aca="false">HYPERLINK("#'Forrásszöveg'!A"&amp;(MATCH("TV-S1258",Forrásszöveg!$A$6:$A$2497,0)+5),"Mellékletek")</f>
        <v>Mellékletek</v>
      </c>
    </row>
    <row r="15" customFormat="false" ht="220" hidden="false" customHeight="true" outlineLevel="0" collapsed="false">
      <c r="A15" s="15" t="s">
        <v>53</v>
      </c>
      <c r="B15" s="15" t="s">
        <v>26</v>
      </c>
      <c r="C15" s="15" t="s">
        <v>54</v>
      </c>
      <c r="D15" s="15" t="s">
        <v>55</v>
      </c>
      <c r="E15" s="15" t="str">
        <f aca="false">HYPERLINK("#'Forrásszöveg'!A"&amp;(MATCH("TV-S0059",Forrásszöveg!$A$6:$A$2497,0)+5),"Teljes bekezdés")</f>
        <v>Teljes bekezdés</v>
      </c>
      <c r="F15" s="15" t="str">
        <f aca="false">HYPERLINK("#'Forrásszöveg'!A"&amp;(MATCH("TV-S1258",Forrásszöveg!$A$6:$A$2497,0)+5),"Mellékletek")</f>
        <v>Mellékletek</v>
      </c>
    </row>
    <row r="16" customFormat="false" ht="94" hidden="false" customHeight="true" outlineLevel="0" collapsed="false">
      <c r="A16" s="15" t="s">
        <v>56</v>
      </c>
      <c r="B16" s="15" t="s">
        <v>26</v>
      </c>
      <c r="C16" s="15" t="s">
        <v>57</v>
      </c>
      <c r="D16" s="15" t="s">
        <v>58</v>
      </c>
      <c r="E16" s="15" t="str">
        <f aca="false">HYPERLINK("#'Forrásszöveg'!A"&amp;(MATCH("TV-S0068",Forrásszöveg!$A$6:$A$2497,0)+5),"Teljes bekezdés")</f>
        <v>Teljes bekezdés</v>
      </c>
      <c r="F16" s="15" t="str">
        <f aca="false">HYPERLINK("#'Forrásszöveg'!A"&amp;(MATCH("TV-S1258",Forrásszöveg!$A$6:$A$2497,0)+5),"Mellékletek")</f>
        <v>Mellékletek</v>
      </c>
    </row>
    <row r="17" customFormat="false" ht="80" hidden="false" customHeight="true" outlineLevel="0" collapsed="false">
      <c r="A17" s="15" t="s">
        <v>59</v>
      </c>
      <c r="B17" s="15" t="s">
        <v>26</v>
      </c>
      <c r="C17" s="15" t="s">
        <v>60</v>
      </c>
      <c r="D17" s="15" t="s">
        <v>61</v>
      </c>
      <c r="E17" s="15" t="str">
        <f aca="false">HYPERLINK("#'Forrásszöveg'!A"&amp;(MATCH("TV-S0072",Forrásszöveg!$A$6:$A$2497,0)+5),"Teljes bekezdés")</f>
        <v>Teljes bekezdés</v>
      </c>
      <c r="F17" s="15" t="str">
        <f aca="false">HYPERLINK("#'Forrásszöveg'!A"&amp;(MATCH("TV-S1258",Forrásszöveg!$A$6:$A$2497,0)+5),"Mellékletek")</f>
        <v>Mellékletek</v>
      </c>
    </row>
    <row r="18" customFormat="false" ht="52" hidden="false" customHeight="true" outlineLevel="0" collapsed="false">
      <c r="A18" s="15" t="s">
        <v>62</v>
      </c>
      <c r="B18" s="15" t="s">
        <v>26</v>
      </c>
      <c r="C18" s="15" t="s">
        <v>63</v>
      </c>
      <c r="D18" s="15" t="s">
        <v>64</v>
      </c>
      <c r="E18" s="15" t="str">
        <f aca="false">HYPERLINK("#'Forrásszöveg'!A"&amp;(MATCH("TV-S0076",Forrásszöveg!$A$6:$A$2497,0)+5),"Teljes bekezdés")</f>
        <v>Teljes bekezdés</v>
      </c>
      <c r="F18" s="15" t="str">
        <f aca="false">HYPERLINK("#'Forrásszöveg'!A"&amp;(MATCH("TV-S1258",Forrásszöveg!$A$6:$A$2497,0)+5),"Mellékletek")</f>
        <v>Mellékletek</v>
      </c>
    </row>
    <row r="19" customFormat="false" ht="164" hidden="false" customHeight="true" outlineLevel="0" collapsed="false">
      <c r="A19" s="15" t="s">
        <v>65</v>
      </c>
      <c r="B19" s="15" t="s">
        <v>66</v>
      </c>
      <c r="C19" s="15" t="s">
        <v>67</v>
      </c>
      <c r="D19" s="15" t="s">
        <v>68</v>
      </c>
      <c r="E19" s="15" t="str">
        <f aca="false">HYPERLINK("#'Forrásszöveg'!A"&amp;(MATCH("TV-S0077",Forrásszöveg!$A$6:$A$2497,0)+5),"Teljes bekezdés")</f>
        <v>Teljes bekezdés</v>
      </c>
      <c r="F19" s="15" t="str">
        <f aca="false">HYPERLINK("#'Forrásszöveg'!A"&amp;(MATCH("TV-S1258",Forrásszöveg!$A$6:$A$2497,0)+5),"Mellékletek")</f>
        <v>Mellékletek</v>
      </c>
    </row>
    <row r="20" customFormat="false" ht="122" hidden="false" customHeight="true" outlineLevel="0" collapsed="false">
      <c r="A20" s="15" t="s">
        <v>69</v>
      </c>
      <c r="B20" s="15" t="s">
        <v>66</v>
      </c>
      <c r="C20" s="15" t="s">
        <v>70</v>
      </c>
      <c r="D20" s="15" t="s">
        <v>71</v>
      </c>
      <c r="E20" s="15" t="str">
        <f aca="false">HYPERLINK("#'Forrásszöveg'!A"&amp;(MATCH("TV-S0081",Forrásszöveg!$A$6:$A$2497,0)+5),"Teljes bekezdés")</f>
        <v>Teljes bekezdés</v>
      </c>
      <c r="F20" s="15" t="str">
        <f aca="false">HYPERLINK("#'Forrásszöveg'!A"&amp;(MATCH("TV-S1258",Forrásszöveg!$A$6:$A$2497,0)+5),"Mellékletek")</f>
        <v>Mellékletek</v>
      </c>
    </row>
    <row r="21" customFormat="false" ht="108" hidden="false" customHeight="true" outlineLevel="0" collapsed="false">
      <c r="A21" s="15" t="s">
        <v>72</v>
      </c>
      <c r="B21" s="15" t="s">
        <v>73</v>
      </c>
      <c r="C21" s="15" t="s">
        <v>74</v>
      </c>
      <c r="D21" s="15" t="s">
        <v>75</v>
      </c>
      <c r="E21" s="15" t="str">
        <f aca="false">HYPERLINK("#'Forrásszöveg'!A"&amp;(MATCH("TV-S0085",Forrásszöveg!$A$6:$A$2497,0)+5),"Teljes bekezdés")</f>
        <v>Teljes bekezdés</v>
      </c>
      <c r="F21" s="15" t="str">
        <f aca="false">HYPERLINK("#'Forrásszöveg'!A"&amp;(MATCH("TV-S1258",Forrásszöveg!$A$6:$A$2497,0)+5),"Mellékletek")</f>
        <v>Mellékletek</v>
      </c>
    </row>
    <row r="22" customFormat="false" ht="52" hidden="false" customHeight="true" outlineLevel="0" collapsed="false">
      <c r="A22" s="15" t="s">
        <v>76</v>
      </c>
      <c r="B22" s="15" t="s">
        <v>73</v>
      </c>
      <c r="C22" s="15" t="s">
        <v>77</v>
      </c>
      <c r="D22" s="15" t="s">
        <v>78</v>
      </c>
      <c r="E22" s="15" t="str">
        <f aca="false">HYPERLINK("#'Forrásszöveg'!A"&amp;(MATCH("TV-S0090",Forrásszöveg!$A$6:$A$2497,0)+5),"Teljes bekezdés")</f>
        <v>Teljes bekezdés</v>
      </c>
      <c r="F22" s="15" t="str">
        <f aca="false">HYPERLINK("#'Forrásszöveg'!A"&amp;(MATCH("TV-S1258",Forrásszöveg!$A$6:$A$2497,0)+5),"Mellékletek")</f>
        <v>Mellékletek</v>
      </c>
    </row>
    <row r="23" customFormat="false" ht="38" hidden="false" customHeight="true" outlineLevel="0" collapsed="false">
      <c r="A23" s="15" t="s">
        <v>79</v>
      </c>
      <c r="B23" s="15" t="s">
        <v>73</v>
      </c>
      <c r="C23" s="15" t="s">
        <v>80</v>
      </c>
      <c r="D23" s="15" t="s">
        <v>81</v>
      </c>
      <c r="E23" s="15" t="str">
        <f aca="false">HYPERLINK("#'Forrásszöveg'!A"&amp;(MATCH("TV-S0091",Forrásszöveg!$A$6:$A$2497,0)+5),"Teljes bekezdés")</f>
        <v>Teljes bekezdés</v>
      </c>
      <c r="F23" s="15" t="str">
        <f aca="false">HYPERLINK("#'Forrásszöveg'!A"&amp;(MATCH("TV-S1258",Forrásszöveg!$A$6:$A$2497,0)+5),"Mellékletek")</f>
        <v>Mellékletek</v>
      </c>
    </row>
    <row r="24" customFormat="false" ht="122" hidden="false" customHeight="true" outlineLevel="0" collapsed="false">
      <c r="A24" s="15" t="s">
        <v>82</v>
      </c>
      <c r="B24" s="15" t="s">
        <v>83</v>
      </c>
      <c r="C24" s="15" t="s">
        <v>84</v>
      </c>
      <c r="D24" s="15" t="s">
        <v>85</v>
      </c>
      <c r="E24" s="15" t="str">
        <f aca="false">HYPERLINK("#'Forrásszöveg'!A"&amp;(MATCH("TV-S0276",Forrásszöveg!$A$6:$A$2497,0)+5),"Teljes bekezdés")</f>
        <v>Teljes bekezdés</v>
      </c>
      <c r="F24" s="15" t="str">
        <f aca="false">HYPERLINK("#'Forrásszöveg'!A"&amp;(MATCH("TV-S1258",Forrásszöveg!$A$6:$A$2497,0)+5),"Mellékletek")</f>
        <v>Mellékletek</v>
      </c>
    </row>
    <row r="25" customFormat="false" ht="164" hidden="false" customHeight="true" outlineLevel="0" collapsed="false">
      <c r="A25" s="15" t="s">
        <v>86</v>
      </c>
      <c r="B25" s="15" t="s">
        <v>83</v>
      </c>
      <c r="C25" s="15" t="s">
        <v>87</v>
      </c>
      <c r="D25" s="15" t="s">
        <v>88</v>
      </c>
      <c r="E25" s="15" t="str">
        <f aca="false">HYPERLINK("#'Forrásszöveg'!A"&amp;(MATCH("TV-S0298",Forrásszöveg!$A$6:$A$2497,0)+5),"Teljes bekezdés")</f>
        <v>Teljes bekezdés</v>
      </c>
      <c r="F25" s="15" t="str">
        <f aca="false">HYPERLINK("#'Forrásszöveg'!A"&amp;(MATCH("TV-S1258",Forrásszöveg!$A$6:$A$2497,0)+5),"Mellékletek")</f>
        <v>Mellékletek</v>
      </c>
    </row>
    <row r="26" customFormat="false" ht="66" hidden="false" customHeight="true" outlineLevel="0" collapsed="false">
      <c r="A26" s="15" t="s">
        <v>89</v>
      </c>
      <c r="B26" s="15" t="s">
        <v>83</v>
      </c>
      <c r="C26" s="15" t="s">
        <v>90</v>
      </c>
      <c r="D26" s="15" t="s">
        <v>91</v>
      </c>
      <c r="E26" s="15" t="str">
        <f aca="false">HYPERLINK("#'Forrásszöveg'!A"&amp;(MATCH("TV-S0305",Forrásszöveg!$A$6:$A$2497,0)+5),"Teljes bekezdés")</f>
        <v>Teljes bekezdés</v>
      </c>
      <c r="F26" s="15" t="str">
        <f aca="false">HYPERLINK("#'Forrásszöveg'!A"&amp;(MATCH("TV-S1258",Forrásszöveg!$A$6:$A$2497,0)+5),"Mellékletek")</f>
        <v>Mellékletek</v>
      </c>
    </row>
    <row r="27" customFormat="false" ht="192" hidden="false" customHeight="true" outlineLevel="0" collapsed="false">
      <c r="A27" s="15" t="s">
        <v>92</v>
      </c>
      <c r="B27" s="15" t="s">
        <v>83</v>
      </c>
      <c r="C27" s="15" t="s">
        <v>93</v>
      </c>
      <c r="D27" s="15" t="s">
        <v>94</v>
      </c>
      <c r="E27" s="15" t="str">
        <f aca="false">HYPERLINK("#'Forrásszöveg'!A"&amp;(MATCH("TV-S0324",Forrásszöveg!$A$6:$A$2497,0)+5),"Teljes bekezdés")</f>
        <v>Teljes bekezdés</v>
      </c>
      <c r="F27" s="15" t="str">
        <f aca="false">HYPERLINK("#'Forrásszöveg'!A"&amp;(MATCH("TV-S1258",Forrásszöveg!$A$6:$A$2497,0)+5),"Mellékletek")</f>
        <v>Mellékletek</v>
      </c>
    </row>
    <row r="28" customFormat="false" ht="80" hidden="false" customHeight="true" outlineLevel="0" collapsed="false">
      <c r="A28" s="15" t="s">
        <v>95</v>
      </c>
      <c r="B28" s="15" t="s">
        <v>83</v>
      </c>
      <c r="C28" s="15" t="s">
        <v>96</v>
      </c>
      <c r="D28" s="15" t="s">
        <v>97</v>
      </c>
      <c r="E28" s="15" t="str">
        <f aca="false">HYPERLINK("#'Forrásszöveg'!A"&amp;(MATCH("TV-S0329",Forrásszöveg!$A$6:$A$2497,0)+5),"Teljes bekezdés")</f>
        <v>Teljes bekezdés</v>
      </c>
      <c r="F28" s="15" t="str">
        <f aca="false">HYPERLINK("#'Forrásszöveg'!A"&amp;(MATCH("TV-S1258",Forrásszöveg!$A$6:$A$2497,0)+5),"Mellékletek")</f>
        <v>Mellékletek</v>
      </c>
    </row>
    <row r="29" customFormat="false" ht="52" hidden="false" customHeight="true" outlineLevel="0" collapsed="false">
      <c r="A29" s="15" t="s">
        <v>98</v>
      </c>
      <c r="B29" s="15" t="s">
        <v>83</v>
      </c>
      <c r="C29" s="15" t="s">
        <v>99</v>
      </c>
      <c r="D29" s="15" t="s">
        <v>100</v>
      </c>
      <c r="E29" s="15" t="str">
        <f aca="false">HYPERLINK("#'Forrásszöveg'!A"&amp;(MATCH("TV-S0330",Forrásszöveg!$A$6:$A$2497,0)+5),"Teljes bekezdés")</f>
        <v>Teljes bekezdés</v>
      </c>
      <c r="F29" s="15" t="str">
        <f aca="false">HYPERLINK("#'Forrásszöveg'!A"&amp;(MATCH("TV-S1258",Forrásszöveg!$A$6:$A$2497,0)+5),"Mellékletek")</f>
        <v>Mellékletek</v>
      </c>
    </row>
    <row r="30" customFormat="false" ht="108" hidden="false" customHeight="true" outlineLevel="0" collapsed="false">
      <c r="A30" s="15" t="s">
        <v>101</v>
      </c>
      <c r="B30" s="15" t="s">
        <v>83</v>
      </c>
      <c r="C30" s="15" t="s">
        <v>102</v>
      </c>
      <c r="D30" s="15" t="s">
        <v>103</v>
      </c>
      <c r="E30" s="15" t="str">
        <f aca="false">HYPERLINK("#'Forrásszöveg'!A"&amp;(MATCH("TV-S0357",Forrásszöveg!$A$6:$A$2497,0)+5),"Teljes bekezdés")</f>
        <v>Teljes bekezdés</v>
      </c>
      <c r="F30" s="15" t="str">
        <f aca="false">HYPERLINK("#'Forrásszöveg'!A"&amp;(MATCH("TV-S1258",Forrásszöveg!$A$6:$A$2497,0)+5),"Mellékletek")</f>
        <v>Mellékletek</v>
      </c>
    </row>
    <row r="31" customFormat="false" ht="38" hidden="false" customHeight="true" outlineLevel="0" collapsed="false">
      <c r="A31" s="15" t="s">
        <v>104</v>
      </c>
      <c r="B31" s="15" t="s">
        <v>83</v>
      </c>
      <c r="C31" s="15" t="s">
        <v>105</v>
      </c>
      <c r="D31" s="15" t="s">
        <v>106</v>
      </c>
      <c r="E31" s="15" t="str">
        <f aca="false">HYPERLINK("#'Forrásszöveg'!A"&amp;(MATCH("TV-S0372",Forrásszöveg!$A$6:$A$2497,0)+5),"Teljes bekezdés")</f>
        <v>Teljes bekezdés</v>
      </c>
      <c r="F31" s="15" t="str">
        <f aca="false">HYPERLINK("#'Forrásszöveg'!A"&amp;(MATCH("TV-S1258",Forrásszöveg!$A$6:$A$2497,0)+5),"Mellékletek")</f>
        <v>Mellékletek</v>
      </c>
    </row>
    <row r="32" customFormat="false" ht="80" hidden="false" customHeight="true" outlineLevel="0" collapsed="false">
      <c r="A32" s="15" t="s">
        <v>107</v>
      </c>
      <c r="B32" s="15" t="s">
        <v>83</v>
      </c>
      <c r="C32" s="15" t="s">
        <v>108</v>
      </c>
      <c r="D32" s="15" t="s">
        <v>109</v>
      </c>
      <c r="E32" s="15" t="str">
        <f aca="false">HYPERLINK("#'Forrásszöveg'!A"&amp;(MATCH("TV-S0373",Forrásszöveg!$A$6:$A$2497,0)+5),"Teljes bekezdés")</f>
        <v>Teljes bekezdés</v>
      </c>
      <c r="F32" s="15" t="str">
        <f aca="false">HYPERLINK("#'Forrásszöveg'!A"&amp;(MATCH("TV-S1258",Forrásszöveg!$A$6:$A$2497,0)+5),"Mellékletek")</f>
        <v>Mellékletek</v>
      </c>
    </row>
    <row r="33" customFormat="false" ht="108" hidden="false" customHeight="true" outlineLevel="0" collapsed="false">
      <c r="A33" s="15" t="s">
        <v>110</v>
      </c>
      <c r="B33" s="15" t="s">
        <v>83</v>
      </c>
      <c r="C33" s="15" t="s">
        <v>111</v>
      </c>
      <c r="D33" s="15" t="s">
        <v>112</v>
      </c>
      <c r="E33" s="15" t="str">
        <f aca="false">HYPERLINK("#'Forrásszöveg'!A"&amp;(MATCH("TV-S0387",Forrásszöveg!$A$6:$A$2497,0)+5),"Teljes bekezdés")</f>
        <v>Teljes bekezdés</v>
      </c>
      <c r="F33" s="15" t="str">
        <f aca="false">HYPERLINK("#'Forrásszöveg'!A"&amp;(MATCH("TV-S1258",Forrásszöveg!$A$6:$A$2497,0)+5),"Mellékletek")</f>
        <v>Mellékletek</v>
      </c>
    </row>
    <row r="34" customFormat="false" ht="38" hidden="false" customHeight="true" outlineLevel="0" collapsed="false">
      <c r="A34" s="15" t="s">
        <v>113</v>
      </c>
      <c r="B34" s="15" t="s">
        <v>83</v>
      </c>
      <c r="C34" s="15" t="s">
        <v>114</v>
      </c>
      <c r="D34" s="15" t="s">
        <v>115</v>
      </c>
      <c r="E34" s="15" t="str">
        <f aca="false">HYPERLINK("#'Forrásszöveg'!A"&amp;(MATCH("TV-S0391",Forrásszöveg!$A$6:$A$2497,0)+5),"Teljes bekezdés")</f>
        <v>Teljes bekezdés</v>
      </c>
      <c r="F34" s="15" t="str">
        <f aca="false">HYPERLINK("#'Forrásszöveg'!A"&amp;(MATCH("TV-S1258",Forrásszöveg!$A$6:$A$2497,0)+5),"Mellékletek")</f>
        <v>Mellékletek</v>
      </c>
    </row>
    <row r="35" customFormat="false" ht="66" hidden="false" customHeight="true" outlineLevel="0" collapsed="false">
      <c r="A35" s="15" t="s">
        <v>116</v>
      </c>
      <c r="B35" s="15" t="s">
        <v>83</v>
      </c>
      <c r="C35" s="15" t="s">
        <v>117</v>
      </c>
      <c r="D35" s="15" t="s">
        <v>118</v>
      </c>
      <c r="E35" s="15" t="str">
        <f aca="false">HYPERLINK("#'Forrásszöveg'!A"&amp;(MATCH("TV-S0992",Forrásszöveg!$A$6:$A$2497,0)+5),"Teljes bekezdés")</f>
        <v>Teljes bekezdés</v>
      </c>
      <c r="F35" s="15" t="str">
        <f aca="false">HYPERLINK("#'Forrásszöveg'!A"&amp;(MATCH("TV-S1258",Forrásszöveg!$A$6:$A$2497,0)+5),"Mellékletek")</f>
        <v>Mellékletek</v>
      </c>
    </row>
    <row r="36" customFormat="false" ht="80" hidden="false" customHeight="true" outlineLevel="0" collapsed="false">
      <c r="A36" s="15" t="s">
        <v>119</v>
      </c>
      <c r="B36" s="15" t="s">
        <v>83</v>
      </c>
      <c r="C36" s="15" t="s">
        <v>120</v>
      </c>
      <c r="D36" s="15" t="s">
        <v>121</v>
      </c>
      <c r="E36" s="15" t="str">
        <f aca="false">HYPERLINK("#'Forrásszöveg'!A"&amp;(MATCH("TV-S1203",Forrásszöveg!$A$6:$A$2497,0)+5),"Teljes bekezdés")</f>
        <v>Teljes bekezdés</v>
      </c>
      <c r="F36" s="15" t="str">
        <f aca="false">HYPERLINK("#'Forrásszöveg'!A"&amp;(MATCH("TV-S1258",Forrásszöveg!$A$6:$A$2497,0)+5),"Mellékletek")</f>
        <v>Mellékletek</v>
      </c>
    </row>
    <row r="37" customFormat="false" ht="52" hidden="false" customHeight="true" outlineLevel="0" collapsed="false">
      <c r="A37" s="15" t="s">
        <v>122</v>
      </c>
      <c r="B37" s="15" t="s">
        <v>83</v>
      </c>
      <c r="C37" s="15" t="s">
        <v>123</v>
      </c>
      <c r="D37" s="15" t="s">
        <v>124</v>
      </c>
      <c r="E37" s="15" t="str">
        <f aca="false">HYPERLINK("#'Forrásszöveg'!A"&amp;(MATCH("TV-S1207",Forrásszöveg!$A$6:$A$2497,0)+5),"Teljes bekezdés")</f>
        <v>Teljes bekezdés</v>
      </c>
      <c r="F37" s="15" t="str">
        <f aca="false">HYPERLINK("#'Forrásszöveg'!A"&amp;(MATCH("TV-S1258",Forrásszöveg!$A$6:$A$2497,0)+5),"Mellékletek")</f>
        <v>Mellékletek</v>
      </c>
    </row>
    <row r="38" customFormat="false" ht="108" hidden="false" customHeight="true" outlineLevel="0" collapsed="false">
      <c r="A38" s="15" t="s">
        <v>125</v>
      </c>
      <c r="B38" s="15" t="s">
        <v>83</v>
      </c>
      <c r="C38" s="15" t="s">
        <v>126</v>
      </c>
      <c r="D38" s="15" t="s">
        <v>127</v>
      </c>
      <c r="E38" s="15" t="str">
        <f aca="false">HYPERLINK("#'Forrásszöveg'!A"&amp;(MATCH("TV-S1226",Forrásszöveg!$A$6:$A$2497,0)+5),"Teljes bekezdés")</f>
        <v>Teljes bekezdés</v>
      </c>
      <c r="F38" s="15" t="str">
        <f aca="false">HYPERLINK("#'Forrásszöveg'!A"&amp;(MATCH("TV-S1258",Forrásszöveg!$A$6:$A$2497,0)+5),"Mellékletek")</f>
        <v>Mellékletek</v>
      </c>
    </row>
    <row r="39" customFormat="false" ht="80" hidden="false" customHeight="true" outlineLevel="0" collapsed="false">
      <c r="A39" s="15" t="s">
        <v>128</v>
      </c>
      <c r="B39" s="15" t="s">
        <v>129</v>
      </c>
      <c r="C39" s="15" t="s">
        <v>130</v>
      </c>
      <c r="D39" s="15" t="s">
        <v>131</v>
      </c>
      <c r="E39" s="15" t="str">
        <f aca="false">HYPERLINK("#'Forrásszöveg'!A"&amp;(MATCH("VHR-S0032",Forrásszöveg!$A$6:$A$2497,0)+5),"Teljes bekezdés")</f>
        <v>Teljes bekezdés</v>
      </c>
      <c r="F39" s="15" t="str">
        <f aca="false">HYPERLINK("#'Forrásszöveg'!A"&amp;(MATCH("VHR-S1069",Forrásszöveg!$A$6:$A$2497,0)+5),"Mellékletek")</f>
        <v>Mellékletek</v>
      </c>
    </row>
    <row r="40" customFormat="false" ht="206" hidden="false" customHeight="true" outlineLevel="0" collapsed="false">
      <c r="A40" s="15" t="s">
        <v>132</v>
      </c>
      <c r="B40" s="15" t="s">
        <v>129</v>
      </c>
      <c r="C40" s="15" t="s">
        <v>133</v>
      </c>
      <c r="D40" s="15" t="s">
        <v>134</v>
      </c>
      <c r="E40" s="15" t="str">
        <f aca="false">HYPERLINK("#'Forrásszöveg'!A"&amp;(MATCH("VHR-S0033",Forrásszöveg!$A$6:$A$2497,0)+5),"Teljes bekezdés")</f>
        <v>Teljes bekezdés</v>
      </c>
      <c r="F40" s="15" t="str">
        <f aca="false">HYPERLINK("#'Forrásszöveg'!A"&amp;(MATCH("VHR-S1069",Forrásszöveg!$A$6:$A$2497,0)+5),"Mellékletek")</f>
        <v>Mellékletek</v>
      </c>
    </row>
    <row r="41" customFormat="false" ht="52" hidden="false" customHeight="true" outlineLevel="0" collapsed="false">
      <c r="A41" s="15" t="s">
        <v>135</v>
      </c>
      <c r="B41" s="15" t="s">
        <v>129</v>
      </c>
      <c r="C41" s="15" t="s">
        <v>136</v>
      </c>
      <c r="D41" s="15" t="s">
        <v>137</v>
      </c>
      <c r="E41" s="15" t="str">
        <f aca="false">HYPERLINK("#'Forrásszöveg'!A"&amp;(MATCH("VHR-S0037",Forrásszöveg!$A$6:$A$2497,0)+5),"Teljes bekezdés")</f>
        <v>Teljes bekezdés</v>
      </c>
      <c r="F41" s="15" t="str">
        <f aca="false">HYPERLINK("#'Forrásszöveg'!A"&amp;(MATCH("VHR-S1069",Forrásszöveg!$A$6:$A$2497,0)+5),"Mellékletek")</f>
        <v>Mellékletek</v>
      </c>
    </row>
    <row r="42" customFormat="false" ht="66" hidden="false" customHeight="true" outlineLevel="0" collapsed="false">
      <c r="A42" s="15" t="s">
        <v>138</v>
      </c>
      <c r="B42" s="15" t="s">
        <v>129</v>
      </c>
      <c r="C42" s="15" t="s">
        <v>139</v>
      </c>
      <c r="D42" s="15" t="s">
        <v>140</v>
      </c>
      <c r="E42" s="15" t="str">
        <f aca="false">HYPERLINK("#'Forrásszöveg'!A"&amp;(MATCH("VHR-S0038",Forrásszöveg!$A$6:$A$2497,0)+5),"Teljes bekezdés")</f>
        <v>Teljes bekezdés</v>
      </c>
      <c r="F42" s="15" t="str">
        <f aca="false">HYPERLINK("#'Forrásszöveg'!A"&amp;(MATCH("VHR-S1069",Forrásszöveg!$A$6:$A$2497,0)+5),"Mellékletek")</f>
        <v>Mellékletek</v>
      </c>
    </row>
    <row r="43" customFormat="false" ht="94" hidden="false" customHeight="true" outlineLevel="0" collapsed="false">
      <c r="A43" s="15" t="s">
        <v>141</v>
      </c>
      <c r="B43" s="15" t="s">
        <v>129</v>
      </c>
      <c r="C43" s="15" t="s">
        <v>142</v>
      </c>
      <c r="D43" s="15" t="s">
        <v>143</v>
      </c>
      <c r="E43" s="15" t="str">
        <f aca="false">HYPERLINK("#'Forrásszöveg'!A"&amp;(MATCH("VHR-S0039",Forrásszöveg!$A$6:$A$2497,0)+5),"Teljes bekezdés")</f>
        <v>Teljes bekezdés</v>
      </c>
      <c r="F43" s="15" t="str">
        <f aca="false">HYPERLINK("#'Forrásszöveg'!A"&amp;(MATCH("VHR-S1069",Forrásszöveg!$A$6:$A$2497,0)+5),"Mellékletek")</f>
        <v>Mellékletek</v>
      </c>
    </row>
    <row r="44" customFormat="false" ht="108" hidden="false" customHeight="true" outlineLevel="0" collapsed="false">
      <c r="A44" s="15" t="s">
        <v>144</v>
      </c>
      <c r="B44" s="15" t="s">
        <v>129</v>
      </c>
      <c r="C44" s="15" t="s">
        <v>145</v>
      </c>
      <c r="D44" s="15" t="s">
        <v>146</v>
      </c>
      <c r="E44" s="15" t="str">
        <f aca="false">HYPERLINK("#'Forrásszöveg'!A"&amp;(MATCH("VHR-S0043",Forrásszöveg!$A$6:$A$2497,0)+5),"Teljes bekezdés")</f>
        <v>Teljes bekezdés</v>
      </c>
      <c r="F44" s="15" t="str">
        <f aca="false">HYPERLINK("#'Forrásszöveg'!A"&amp;(MATCH("VHR-S1069",Forrásszöveg!$A$6:$A$2497,0)+5),"Mellékletek")</f>
        <v>Mellékletek</v>
      </c>
    </row>
    <row r="45" customFormat="false" ht="80" hidden="false" customHeight="true" outlineLevel="0" collapsed="false">
      <c r="A45" s="15" t="s">
        <v>147</v>
      </c>
      <c r="B45" s="15" t="s">
        <v>129</v>
      </c>
      <c r="C45" s="15" t="s">
        <v>148</v>
      </c>
      <c r="D45" s="15" t="s">
        <v>149</v>
      </c>
      <c r="E45" s="15" t="str">
        <f aca="false">HYPERLINK("#'Forrásszöveg'!A"&amp;(MATCH("VHR-S0047",Forrásszöveg!$A$6:$A$2497,0)+5),"Teljes bekezdés")</f>
        <v>Teljes bekezdés</v>
      </c>
      <c r="F45" s="15" t="str">
        <f aca="false">HYPERLINK("#'Forrásszöveg'!A"&amp;(MATCH("VHR-S1069",Forrásszöveg!$A$6:$A$2497,0)+5),"Mellékletek")</f>
        <v>Mellékletek</v>
      </c>
    </row>
    <row r="46" customFormat="false" ht="66" hidden="false" customHeight="true" outlineLevel="0" collapsed="false">
      <c r="A46" s="15" t="s">
        <v>150</v>
      </c>
      <c r="B46" s="15" t="s">
        <v>83</v>
      </c>
      <c r="C46" s="15" t="s">
        <v>151</v>
      </c>
      <c r="D46" s="15" t="s">
        <v>152</v>
      </c>
      <c r="E46" s="15" t="str">
        <f aca="false">HYPERLINK("#'Forrásszöveg'!A"&amp;(MATCH("VHR-S0191",Forrásszöveg!$A$6:$A$2497,0)+5),"Teljes bekezdés")</f>
        <v>Teljes bekezdés</v>
      </c>
      <c r="F46" s="15" t="str">
        <f aca="false">HYPERLINK("#'Forrásszöveg'!A"&amp;(MATCH("VHR-S1069",Forrásszöveg!$A$6:$A$2497,0)+5),"Mellékletek")</f>
        <v>Mellékletek</v>
      </c>
    </row>
    <row r="47" customFormat="false" ht="52" hidden="false" customHeight="true" outlineLevel="0" collapsed="false">
      <c r="A47" s="15" t="s">
        <v>153</v>
      </c>
      <c r="B47" s="15" t="s">
        <v>83</v>
      </c>
      <c r="C47" s="15" t="s">
        <v>154</v>
      </c>
      <c r="D47" s="15" t="s">
        <v>155</v>
      </c>
      <c r="E47" s="15" t="str">
        <f aca="false">HYPERLINK("#'Forrásszöveg'!A"&amp;(MATCH("VHR-S0791",Forrásszöveg!$A$6:$A$2497,0)+5),"Teljes bekezdés")</f>
        <v>Teljes bekezdés</v>
      </c>
      <c r="F47" s="15" t="str">
        <f aca="false">HYPERLINK("#'Forrásszöveg'!A"&amp;(MATCH("VHR-S1069",Forrásszöveg!$A$6:$A$2497,0)+5),"Mellékletek")</f>
        <v>Mellékletek</v>
      </c>
    </row>
    <row r="48" customFormat="false" ht="80" hidden="false" customHeight="true" outlineLevel="0" collapsed="false">
      <c r="A48" s="15" t="s">
        <v>156</v>
      </c>
      <c r="B48" s="15" t="s">
        <v>83</v>
      </c>
      <c r="C48" s="15" t="s">
        <v>157</v>
      </c>
      <c r="D48" s="15" t="s">
        <v>158</v>
      </c>
      <c r="E48" s="15" t="str">
        <f aca="false">HYPERLINK("#'Forrásszöveg'!A"&amp;(MATCH("VHR-S0792",Forrásszöveg!$A$6:$A$2497,0)+5),"Teljes bekezdés")</f>
        <v>Teljes bekezdés</v>
      </c>
      <c r="F48" s="15" t="str">
        <f aca="false">HYPERLINK("#'Forrásszöveg'!A"&amp;(MATCH("VHR-S1069",Forrásszöveg!$A$6:$A$2497,0)+5),"Mellékletek")</f>
        <v>Mellékletek</v>
      </c>
    </row>
    <row r="49" customFormat="false" ht="66" hidden="false" customHeight="true" outlineLevel="0" collapsed="false">
      <c r="A49" s="15" t="s">
        <v>159</v>
      </c>
      <c r="B49" s="15" t="s">
        <v>83</v>
      </c>
      <c r="C49" s="15" t="s">
        <v>160</v>
      </c>
      <c r="D49" s="15" t="s">
        <v>161</v>
      </c>
      <c r="E49" s="15" t="str">
        <f aca="false">HYPERLINK("#'Forrásszöveg'!A"&amp;(MATCH("VHR-S0793",Forrásszöveg!$A$6:$A$2497,0)+5),"Teljes bekezdés")</f>
        <v>Teljes bekezdés</v>
      </c>
      <c r="F49" s="15" t="str">
        <f aca="false">HYPERLINK("#'Forrásszöveg'!A"&amp;(MATCH("VHR-S1069",Forrásszöveg!$A$6:$A$2497,0)+5),"Mellékletek")</f>
        <v>Mellékletek</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8354A"/>
    <pageSetUpPr fitToPage="false"/>
  </sheetPr>
  <dimension ref="A1:H2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54"/>
    <col collapsed="false" customWidth="true" hidden="false" outlineLevel="0" max="4" min="4" style="0" width="52"/>
    <col collapsed="false" customWidth="true" hidden="false" outlineLevel="0" max="5" min="5" style="0" width="41"/>
    <col collapsed="false" customWidth="true" hidden="false" outlineLevel="0" max="6" min="6" style="0" width="27"/>
    <col collapsed="false" customWidth="true" hidden="false" outlineLevel="0" max="7" min="7" style="0" width="32"/>
    <col collapsed="false" customWidth="true" hidden="false" outlineLevel="0" max="8" min="8" style="0" width="18"/>
  </cols>
  <sheetData>
    <row r="1" customFormat="false" ht="15" hidden="false" customHeight="false" outlineLevel="0" collapsed="false">
      <c r="A1" s="10"/>
      <c r="B1" s="10"/>
      <c r="C1" s="10"/>
      <c r="D1" s="10"/>
      <c r="E1" s="10"/>
      <c r="F1" s="10"/>
      <c r="G1" s="10"/>
      <c r="H1" s="10"/>
    </row>
    <row r="2" customFormat="false" ht="18.55" hidden="false" customHeight="false" outlineLevel="0" collapsed="false">
      <c r="A2" s="11" t="s">
        <v>3</v>
      </c>
      <c r="B2" s="10"/>
      <c r="C2" s="10"/>
      <c r="D2" s="10"/>
      <c r="E2" s="10"/>
      <c r="F2" s="10"/>
      <c r="G2" s="10"/>
      <c r="H2" s="12" t="str">
        <f aca="false">HYPERLINK("#'Áttekintő'!A1","Áttekintő")</f>
        <v>Áttekintő</v>
      </c>
    </row>
    <row r="3" customFormat="false" ht="15" hidden="false" customHeight="false" outlineLevel="0" collapsed="false">
      <c r="A3" s="13" t="s">
        <v>162</v>
      </c>
      <c r="B3" s="10"/>
      <c r="C3" s="10"/>
      <c r="D3" s="10"/>
      <c r="E3" s="10"/>
      <c r="F3" s="10"/>
      <c r="G3" s="10"/>
      <c r="H3" s="10"/>
    </row>
    <row r="4" customFormat="false" ht="15" hidden="false" customHeight="false" outlineLevel="0" collapsed="false">
      <c r="A4" s="10"/>
      <c r="B4" s="10"/>
      <c r="C4" s="10"/>
      <c r="D4" s="10"/>
      <c r="E4" s="10"/>
      <c r="F4" s="10"/>
      <c r="G4" s="10"/>
      <c r="H4" s="10"/>
    </row>
    <row r="5" customFormat="false" ht="30" hidden="false" customHeight="true" outlineLevel="0" collapsed="false">
      <c r="A5" s="14" t="s">
        <v>19</v>
      </c>
      <c r="B5" s="14" t="s">
        <v>163</v>
      </c>
      <c r="C5" s="14" t="s">
        <v>164</v>
      </c>
      <c r="D5" s="14" t="s">
        <v>165</v>
      </c>
      <c r="E5" s="14" t="s">
        <v>166</v>
      </c>
      <c r="F5" s="14" t="s">
        <v>167</v>
      </c>
      <c r="G5" s="14" t="s">
        <v>168</v>
      </c>
      <c r="H5" s="14" t="s">
        <v>169</v>
      </c>
    </row>
    <row r="6" customFormat="false" ht="52" hidden="false" customHeight="true" outlineLevel="0" collapsed="false">
      <c r="A6" s="15" t="s">
        <v>170</v>
      </c>
      <c r="B6" s="15" t="s">
        <v>171</v>
      </c>
      <c r="C6" s="15" t="s">
        <v>172</v>
      </c>
      <c r="D6" s="15" t="s">
        <v>173</v>
      </c>
      <c r="E6" s="15" t="s">
        <v>174</v>
      </c>
      <c r="F6" s="16" t="str">
        <f aca="false">HYPERLINK("#'Forrásszöveg'!A"&amp;(MATCH("TV-S0241",Forrásszöveg!$A$6:$A$2497,0)+5),"Tv. 6. § (2)")</f>
        <v>Tv. 6. § (2)</v>
      </c>
      <c r="G6" s="15" t="s">
        <v>175</v>
      </c>
      <c r="H6" s="16" t="str">
        <f aca="false">HYPERLINK("#'Forrásszöveg'!A"&amp;(MATCH("TV-S0240",Forrásszöveg!$A$6:$A$2497,0)+5),"6. § eleje")</f>
        <v>6. § eleje</v>
      </c>
    </row>
    <row r="7" customFormat="false" ht="52" hidden="false" customHeight="true" outlineLevel="0" collapsed="false">
      <c r="A7" s="15" t="s">
        <v>176</v>
      </c>
      <c r="B7" s="15" t="s">
        <v>171</v>
      </c>
      <c r="C7" s="15" t="s">
        <v>177</v>
      </c>
      <c r="D7" s="15" t="s">
        <v>178</v>
      </c>
      <c r="E7" s="15" t="s">
        <v>174</v>
      </c>
      <c r="F7" s="16" t="str">
        <f aca="false">HYPERLINK("#'Forrásszöveg'!A"&amp;(MATCH("TV-S0243",Forrásszöveg!$A$6:$A$2497,0)+5),"Tv. 6. § (3) 1.")</f>
        <v>Tv. 6. § (3) 1.</v>
      </c>
      <c r="G7" s="15" t="s">
        <v>175</v>
      </c>
      <c r="H7" s="16" t="str">
        <f aca="false">HYPERLINK("#'Forrásszöveg'!A"&amp;(MATCH("TV-S0240",Forrásszöveg!$A$6:$A$2497,0)+5),"6. § eleje")</f>
        <v>6. § eleje</v>
      </c>
    </row>
    <row r="8" customFormat="false" ht="52" hidden="false" customHeight="true" outlineLevel="0" collapsed="false">
      <c r="A8" s="15" t="s">
        <v>179</v>
      </c>
      <c r="B8" s="15" t="s">
        <v>171</v>
      </c>
      <c r="C8" s="15" t="s">
        <v>180</v>
      </c>
      <c r="D8" s="15" t="s">
        <v>181</v>
      </c>
      <c r="E8" s="15" t="s">
        <v>174</v>
      </c>
      <c r="F8" s="16" t="str">
        <f aca="false">HYPERLINK("#'Forrásszöveg'!A"&amp;(MATCH("TV-S0248",Forrásszöveg!$A$6:$A$2497,0)+5),"Tv. 6. § (3) 2.")</f>
        <v>Tv. 6. § (3) 2.</v>
      </c>
      <c r="G8" s="15" t="s">
        <v>175</v>
      </c>
      <c r="H8" s="16" t="str">
        <f aca="false">HYPERLINK("#'Forrásszöveg'!A"&amp;(MATCH("TV-S0240",Forrásszöveg!$A$6:$A$2497,0)+5),"6. § eleje")</f>
        <v>6. § eleje</v>
      </c>
    </row>
    <row r="9" customFormat="false" ht="52" hidden="false" customHeight="true" outlineLevel="0" collapsed="false">
      <c r="A9" s="15" t="s">
        <v>182</v>
      </c>
      <c r="B9" s="15" t="s">
        <v>171</v>
      </c>
      <c r="C9" s="15" t="s">
        <v>183</v>
      </c>
      <c r="D9" s="15" t="s">
        <v>184</v>
      </c>
      <c r="E9" s="15" t="s">
        <v>174</v>
      </c>
      <c r="F9" s="16" t="str">
        <f aca="false">HYPERLINK("#'Forrásszöveg'!A"&amp;(MATCH("TV-S0249",Forrásszöveg!$A$6:$A$2497,0)+5),"Tv. 6. § (3) 3.")</f>
        <v>Tv. 6. § (3) 3.</v>
      </c>
      <c r="G9" s="15" t="s">
        <v>175</v>
      </c>
      <c r="H9" s="16" t="str">
        <f aca="false">HYPERLINK("#'Forrásszöveg'!A"&amp;(MATCH("TV-S0240",Forrásszöveg!$A$6:$A$2497,0)+5),"6. § eleje")</f>
        <v>6. § eleje</v>
      </c>
    </row>
    <row r="10" customFormat="false" ht="52" hidden="false" customHeight="true" outlineLevel="0" collapsed="false">
      <c r="A10" s="15" t="s">
        <v>185</v>
      </c>
      <c r="B10" s="15" t="s">
        <v>171</v>
      </c>
      <c r="C10" s="15" t="s">
        <v>186</v>
      </c>
      <c r="D10" s="15" t="s">
        <v>181</v>
      </c>
      <c r="E10" s="15" t="s">
        <v>174</v>
      </c>
      <c r="F10" s="16" t="str">
        <f aca="false">HYPERLINK("#'Forrásszöveg'!A"&amp;(MATCH("TV-S0250",Forrásszöveg!$A$6:$A$2497,0)+5),"Tv. 6. § (3) 4.")</f>
        <v>Tv. 6. § (3) 4.</v>
      </c>
      <c r="G10" s="15" t="s">
        <v>175</v>
      </c>
      <c r="H10" s="16" t="str">
        <f aca="false">HYPERLINK("#'Forrásszöveg'!A"&amp;(MATCH("TV-S0240",Forrásszöveg!$A$6:$A$2497,0)+5),"6. § eleje")</f>
        <v>6. § eleje</v>
      </c>
    </row>
    <row r="11" customFormat="false" ht="52" hidden="false" customHeight="true" outlineLevel="0" collapsed="false">
      <c r="A11" s="15" t="s">
        <v>187</v>
      </c>
      <c r="B11" s="15" t="s">
        <v>171</v>
      </c>
      <c r="C11" s="15" t="s">
        <v>188</v>
      </c>
      <c r="D11" s="15" t="s">
        <v>181</v>
      </c>
      <c r="E11" s="15" t="s">
        <v>174</v>
      </c>
      <c r="F11" s="16" t="str">
        <f aca="false">HYPERLINK("#'Forrásszöveg'!A"&amp;(MATCH("TV-S0251",Forrásszöveg!$A$6:$A$2497,0)+5),"Tv. 6. § (3) 5.")</f>
        <v>Tv. 6. § (3) 5.</v>
      </c>
      <c r="G11" s="15" t="s">
        <v>175</v>
      </c>
      <c r="H11" s="16" t="str">
        <f aca="false">HYPERLINK("#'Forrásszöveg'!A"&amp;(MATCH("TV-S0240",Forrásszöveg!$A$6:$A$2497,0)+5),"6. § eleje")</f>
        <v>6. § eleje</v>
      </c>
    </row>
    <row r="12" customFormat="false" ht="52" hidden="false" customHeight="true" outlineLevel="0" collapsed="false">
      <c r="A12" s="15" t="s">
        <v>189</v>
      </c>
      <c r="B12" s="15" t="s">
        <v>171</v>
      </c>
      <c r="C12" s="15" t="s">
        <v>190</v>
      </c>
      <c r="D12" s="15" t="s">
        <v>181</v>
      </c>
      <c r="E12" s="15" t="s">
        <v>174</v>
      </c>
      <c r="F12" s="16" t="str">
        <f aca="false">HYPERLINK("#'Forrásszöveg'!A"&amp;(MATCH("TV-S0252",Forrásszöveg!$A$6:$A$2497,0)+5),"Tv. 6. § (3) 6.")</f>
        <v>Tv. 6. § (3) 6.</v>
      </c>
      <c r="G12" s="15" t="s">
        <v>175</v>
      </c>
      <c r="H12" s="16" t="str">
        <f aca="false">HYPERLINK("#'Forrásszöveg'!A"&amp;(MATCH("TV-S0240",Forrásszöveg!$A$6:$A$2497,0)+5),"6. § eleje")</f>
        <v>6. § eleje</v>
      </c>
    </row>
    <row r="13" customFormat="false" ht="52" hidden="false" customHeight="true" outlineLevel="0" collapsed="false">
      <c r="A13" s="15" t="s">
        <v>191</v>
      </c>
      <c r="B13" s="15" t="s">
        <v>171</v>
      </c>
      <c r="C13" s="15" t="s">
        <v>192</v>
      </c>
      <c r="D13" s="15" t="s">
        <v>181</v>
      </c>
      <c r="E13" s="15" t="s">
        <v>193</v>
      </c>
      <c r="F13" s="16" t="str">
        <f aca="false">HYPERLINK("#'Forrásszöveg'!A"&amp;(MATCH("TV-S0253",Forrásszöveg!$A$6:$A$2497,0)+5),"Tv. 6. § (3) 7.")</f>
        <v>Tv. 6. § (3) 7.</v>
      </c>
      <c r="G13" s="15" t="s">
        <v>175</v>
      </c>
      <c r="H13" s="16" t="str">
        <f aca="false">HYPERLINK("#'Forrásszöveg'!A"&amp;(MATCH("TV-S0240",Forrásszöveg!$A$6:$A$2497,0)+5),"6. § eleje")</f>
        <v>6. § eleje</v>
      </c>
    </row>
    <row r="14" customFormat="false" ht="52" hidden="false" customHeight="true" outlineLevel="0" collapsed="false">
      <c r="A14" s="15" t="s">
        <v>194</v>
      </c>
      <c r="B14" s="15" t="s">
        <v>171</v>
      </c>
      <c r="C14" s="15" t="s">
        <v>195</v>
      </c>
      <c r="D14" s="15" t="s">
        <v>181</v>
      </c>
      <c r="E14" s="15" t="s">
        <v>174</v>
      </c>
      <c r="F14" s="16" t="str">
        <f aca="false">HYPERLINK("#'Forrásszöveg'!A"&amp;(MATCH("TV-S0254",Forrásszöveg!$A$6:$A$2497,0)+5),"Tv. 6. § (3) 8.")</f>
        <v>Tv. 6. § (3) 8.</v>
      </c>
      <c r="G14" s="15" t="s">
        <v>175</v>
      </c>
      <c r="H14" s="16" t="str">
        <f aca="false">HYPERLINK("#'Forrásszöveg'!A"&amp;(MATCH("TV-S0240",Forrásszöveg!$A$6:$A$2497,0)+5),"6. § eleje")</f>
        <v>6. § eleje</v>
      </c>
    </row>
    <row r="15" customFormat="false" ht="52" hidden="false" customHeight="true" outlineLevel="0" collapsed="false">
      <c r="A15" s="15" t="s">
        <v>196</v>
      </c>
      <c r="B15" s="15" t="s">
        <v>171</v>
      </c>
      <c r="C15" s="15" t="s">
        <v>197</v>
      </c>
      <c r="D15" s="15" t="s">
        <v>181</v>
      </c>
      <c r="E15" s="15" t="s">
        <v>174</v>
      </c>
      <c r="F15" s="16" t="str">
        <f aca="false">HYPERLINK("#'Forrásszöveg'!A"&amp;(MATCH("TV-S0255",Forrásszöveg!$A$6:$A$2497,0)+5),"Tv. 6. § (3) 9.")</f>
        <v>Tv. 6. § (3) 9.</v>
      </c>
      <c r="G15" s="15" t="s">
        <v>175</v>
      </c>
      <c r="H15" s="16" t="str">
        <f aca="false">HYPERLINK("#'Forrásszöveg'!A"&amp;(MATCH("TV-S0240",Forrásszöveg!$A$6:$A$2497,0)+5),"6. § eleje")</f>
        <v>6. § eleje</v>
      </c>
    </row>
    <row r="16" customFormat="false" ht="52" hidden="false" customHeight="true" outlineLevel="0" collapsed="false">
      <c r="A16" s="15" t="s">
        <v>198</v>
      </c>
      <c r="B16" s="15" t="s">
        <v>171</v>
      </c>
      <c r="C16" s="15" t="s">
        <v>199</v>
      </c>
      <c r="D16" s="15" t="s">
        <v>181</v>
      </c>
      <c r="E16" s="15" t="s">
        <v>174</v>
      </c>
      <c r="F16" s="16" t="str">
        <f aca="false">HYPERLINK("#'Forrásszöveg'!A"&amp;(MATCH("TV-S0256",Forrásszöveg!$A$6:$A$2497,0)+5),"Tv. 6. § (3) 10.")</f>
        <v>Tv. 6. § (3) 10.</v>
      </c>
      <c r="G16" s="15" t="s">
        <v>175</v>
      </c>
      <c r="H16" s="16" t="str">
        <f aca="false">HYPERLINK("#'Forrásszöveg'!A"&amp;(MATCH("TV-S0240",Forrásszöveg!$A$6:$A$2497,0)+5),"6. § eleje")</f>
        <v>6. § eleje</v>
      </c>
    </row>
    <row r="17" customFormat="false" ht="52" hidden="false" customHeight="true" outlineLevel="0" collapsed="false">
      <c r="A17" s="15" t="s">
        <v>200</v>
      </c>
      <c r="B17" s="15" t="s">
        <v>171</v>
      </c>
      <c r="C17" s="15" t="s">
        <v>201</v>
      </c>
      <c r="D17" s="15" t="s">
        <v>181</v>
      </c>
      <c r="E17" s="15" t="s">
        <v>174</v>
      </c>
      <c r="F17" s="16" t="str">
        <f aca="false">HYPERLINK("#'Forrásszöveg'!A"&amp;(MATCH("TV-S0257",Forrásszöveg!$A$6:$A$2497,0)+5),"Tv. 6. § (3) 11.")</f>
        <v>Tv. 6. § (3) 11.</v>
      </c>
      <c r="G17" s="15" t="s">
        <v>175</v>
      </c>
      <c r="H17" s="16" t="str">
        <f aca="false">HYPERLINK("#'Forrásszöveg'!A"&amp;(MATCH("TV-S0240",Forrásszöveg!$A$6:$A$2497,0)+5),"6. § eleje")</f>
        <v>6. § eleje</v>
      </c>
    </row>
    <row r="18" customFormat="false" ht="52" hidden="false" customHeight="true" outlineLevel="0" collapsed="false">
      <c r="A18" s="15" t="s">
        <v>202</v>
      </c>
      <c r="B18" s="15" t="s">
        <v>171</v>
      </c>
      <c r="C18" s="15" t="s">
        <v>203</v>
      </c>
      <c r="D18" s="15" t="s">
        <v>181</v>
      </c>
      <c r="E18" s="15" t="s">
        <v>174</v>
      </c>
      <c r="F18" s="16" t="str">
        <f aca="false">HYPERLINK("#'Forrásszöveg'!A"&amp;(MATCH("TV-S0258",Forrásszöveg!$A$6:$A$2497,0)+5),"Tv. 6. § (3) 12.")</f>
        <v>Tv. 6. § (3) 12.</v>
      </c>
      <c r="G18" s="15" t="s">
        <v>175</v>
      </c>
      <c r="H18" s="16" t="str">
        <f aca="false">HYPERLINK("#'Forrásszöveg'!A"&amp;(MATCH("TV-S0240",Forrásszöveg!$A$6:$A$2497,0)+5),"6. § eleje")</f>
        <v>6. § eleje</v>
      </c>
    </row>
    <row r="19" customFormat="false" ht="52" hidden="false" customHeight="true" outlineLevel="0" collapsed="false">
      <c r="A19" s="15" t="s">
        <v>204</v>
      </c>
      <c r="B19" s="15" t="s">
        <v>171</v>
      </c>
      <c r="C19" s="15" t="s">
        <v>205</v>
      </c>
      <c r="D19" s="15" t="s">
        <v>181</v>
      </c>
      <c r="E19" s="15" t="s">
        <v>174</v>
      </c>
      <c r="F19" s="16" t="str">
        <f aca="false">HYPERLINK("#'Forrásszöveg'!A"&amp;(MATCH("TV-S0259",Forrásszöveg!$A$6:$A$2497,0)+5),"Tv. 6. § (3) 13.")</f>
        <v>Tv. 6. § (3) 13.</v>
      </c>
      <c r="G19" s="15" t="s">
        <v>175</v>
      </c>
      <c r="H19" s="16" t="str">
        <f aca="false">HYPERLINK("#'Forrásszöveg'!A"&amp;(MATCH("TV-S0240",Forrásszöveg!$A$6:$A$2497,0)+5),"6. § eleje")</f>
        <v>6. § eleje</v>
      </c>
    </row>
    <row r="20" customFormat="false" ht="52" hidden="false" customHeight="true" outlineLevel="0" collapsed="false">
      <c r="A20" s="15" t="s">
        <v>206</v>
      </c>
      <c r="B20" s="15" t="s">
        <v>171</v>
      </c>
      <c r="C20" s="15" t="s">
        <v>207</v>
      </c>
      <c r="D20" s="15" t="s">
        <v>208</v>
      </c>
      <c r="E20" s="15" t="s">
        <v>209</v>
      </c>
      <c r="F20" s="16" t="str">
        <f aca="false">HYPERLINK("#'Forrásszöveg'!A"&amp;(MATCH("TV-S0260",Forrásszöveg!$A$6:$A$2497,0)+5),"Tv. 6. § (4)")</f>
        <v>Tv. 6. § (4)</v>
      </c>
      <c r="G20" s="15" t="s">
        <v>175</v>
      </c>
      <c r="H20" s="16" t="str">
        <f aca="false">HYPERLINK("#'Forrásszöveg'!A"&amp;(MATCH("TV-S0240",Forrásszöveg!$A$6:$A$2497,0)+5),"6. § eleje")</f>
        <v>6. § eleje</v>
      </c>
    </row>
    <row r="21" customFormat="false" ht="52" hidden="false" customHeight="true" outlineLevel="0" collapsed="false">
      <c r="A21" s="15" t="s">
        <v>210</v>
      </c>
      <c r="B21" s="15" t="s">
        <v>171</v>
      </c>
      <c r="C21" s="15" t="s">
        <v>211</v>
      </c>
      <c r="D21" s="15" t="s">
        <v>212</v>
      </c>
      <c r="E21" s="15" t="s">
        <v>174</v>
      </c>
      <c r="F21" s="16" t="str">
        <f aca="false">HYPERLINK("#'Forrásszöveg'!A"&amp;(MATCH("TV-S0262",Forrásszöveg!$A$6:$A$2497,0)+5),"Tv. 6. § (5) a)")</f>
        <v>Tv. 6. § (5) a)</v>
      </c>
      <c r="G21" s="15" t="s">
        <v>175</v>
      </c>
      <c r="H21" s="16" t="str">
        <f aca="false">HYPERLINK("#'Forrásszöveg'!A"&amp;(MATCH("TV-S0240",Forrásszöveg!$A$6:$A$2497,0)+5),"6. § eleje")</f>
        <v>6. § eleje</v>
      </c>
    </row>
    <row r="22" customFormat="false" ht="52" hidden="false" customHeight="true" outlineLevel="0" collapsed="false">
      <c r="A22" s="15" t="s">
        <v>213</v>
      </c>
      <c r="B22" s="15" t="s">
        <v>171</v>
      </c>
      <c r="C22" s="15" t="s">
        <v>214</v>
      </c>
      <c r="D22" s="15" t="s">
        <v>212</v>
      </c>
      <c r="E22" s="15" t="s">
        <v>174</v>
      </c>
      <c r="F22" s="16" t="str">
        <f aca="false">HYPERLINK("#'Forrásszöveg'!A"&amp;(MATCH("TV-S0263",Forrásszöveg!$A$6:$A$2497,0)+5),"Tv. 6. § (5) b)")</f>
        <v>Tv. 6. § (5) b)</v>
      </c>
      <c r="G22" s="15" t="s">
        <v>175</v>
      </c>
      <c r="H22" s="16" t="str">
        <f aca="false">HYPERLINK("#'Forrásszöveg'!A"&amp;(MATCH("TV-S0240",Forrásszöveg!$A$6:$A$2497,0)+5),"6. § eleje")</f>
        <v>6. § eleje</v>
      </c>
    </row>
    <row r="23" customFormat="false" ht="52" hidden="false" customHeight="true" outlineLevel="0" collapsed="false">
      <c r="A23" s="15" t="s">
        <v>215</v>
      </c>
      <c r="B23" s="15" t="s">
        <v>171</v>
      </c>
      <c r="C23" s="15" t="s">
        <v>216</v>
      </c>
      <c r="D23" s="15" t="s">
        <v>212</v>
      </c>
      <c r="E23" s="15" t="s">
        <v>174</v>
      </c>
      <c r="F23" s="16" t="str">
        <f aca="false">HYPERLINK("#'Forrásszöveg'!A"&amp;(MATCH("TV-S0264",Forrásszöveg!$A$6:$A$2497,0)+5),"Tv. 6. § (5) c)")</f>
        <v>Tv. 6. § (5) c)</v>
      </c>
      <c r="G23" s="15" t="s">
        <v>175</v>
      </c>
      <c r="H23" s="16" t="str">
        <f aca="false">HYPERLINK("#'Forrásszöveg'!A"&amp;(MATCH("TV-S0240",Forrásszöveg!$A$6:$A$2497,0)+5),"6. § eleje")</f>
        <v>6. § eleje</v>
      </c>
    </row>
    <row r="24" customFormat="false" ht="52" hidden="false" customHeight="true" outlineLevel="0" collapsed="false">
      <c r="A24" s="15" t="s">
        <v>217</v>
      </c>
      <c r="B24" s="15" t="s">
        <v>171</v>
      </c>
      <c r="C24" s="15" t="s">
        <v>218</v>
      </c>
      <c r="D24" s="15" t="s">
        <v>212</v>
      </c>
      <c r="E24" s="15" t="s">
        <v>174</v>
      </c>
      <c r="F24" s="16" t="str">
        <f aca="false">HYPERLINK("#'Forrásszöveg'!A"&amp;(MATCH("TV-S0265",Forrásszöveg!$A$6:$A$2497,0)+5),"Tv. 6. § (5) d)")</f>
        <v>Tv. 6. § (5) d)</v>
      </c>
      <c r="G24" s="15" t="s">
        <v>175</v>
      </c>
      <c r="H24" s="16" t="str">
        <f aca="false">HYPERLINK("#'Forrásszöveg'!A"&amp;(MATCH("TV-S0240",Forrásszöveg!$A$6:$A$2497,0)+5),"6. § eleje")</f>
        <v>6. § eleje</v>
      </c>
    </row>
    <row r="25" customFormat="false" ht="52" hidden="false" customHeight="true" outlineLevel="0" collapsed="false">
      <c r="A25" s="15" t="s">
        <v>219</v>
      </c>
      <c r="B25" s="15" t="s">
        <v>171</v>
      </c>
      <c r="C25" s="15" t="s">
        <v>220</v>
      </c>
      <c r="D25" s="15" t="s">
        <v>212</v>
      </c>
      <c r="E25" s="15" t="s">
        <v>174</v>
      </c>
      <c r="F25" s="16" t="str">
        <f aca="false">HYPERLINK("#'Forrásszöveg'!A"&amp;(MATCH("TV-S0266",Forrásszöveg!$A$6:$A$2497,0)+5),"Tv. 6. § (5) e)")</f>
        <v>Tv. 6. § (5) e)</v>
      </c>
      <c r="G25" s="15" t="s">
        <v>175</v>
      </c>
      <c r="H25" s="16" t="str">
        <f aca="false">HYPERLINK("#'Forrásszöveg'!A"&amp;(MATCH("TV-S0240",Forrásszöveg!$A$6:$A$2497,0)+5),"6. § eleje")</f>
        <v>6. § eleje</v>
      </c>
    </row>
    <row r="26" customFormat="false" ht="52" hidden="false" customHeight="true" outlineLevel="0" collapsed="false">
      <c r="A26" s="15" t="s">
        <v>221</v>
      </c>
      <c r="B26" s="15" t="s">
        <v>171</v>
      </c>
      <c r="C26" s="15" t="s">
        <v>222</v>
      </c>
      <c r="D26" s="15" t="s">
        <v>212</v>
      </c>
      <c r="E26" s="15" t="s">
        <v>223</v>
      </c>
      <c r="F26" s="16" t="str">
        <f aca="false">HYPERLINK("#'Forrásszöveg'!A"&amp;(MATCH("TV-S0267",Forrásszöveg!$A$6:$A$2497,0)+5),"Tv. 6. § (5) f)")</f>
        <v>Tv. 6. § (5) f)</v>
      </c>
      <c r="G26" s="15" t="s">
        <v>175</v>
      </c>
      <c r="H26" s="16" t="str">
        <f aca="false">HYPERLINK("#'Forrásszöveg'!A"&amp;(MATCH("TV-S0240",Forrásszöveg!$A$6:$A$2497,0)+5),"6. § eleje")</f>
        <v>6. § eleje</v>
      </c>
    </row>
    <row r="27" customFormat="false" ht="52" hidden="false" customHeight="true" outlineLevel="0" collapsed="false">
      <c r="A27" s="15" t="s">
        <v>224</v>
      </c>
      <c r="B27" s="15" t="s">
        <v>171</v>
      </c>
      <c r="C27" s="15" t="s">
        <v>225</v>
      </c>
      <c r="D27" s="15" t="s">
        <v>212</v>
      </c>
      <c r="E27" s="15" t="s">
        <v>174</v>
      </c>
      <c r="F27" s="16" t="str">
        <f aca="false">HYPERLINK("#'Forrásszöveg'!A"&amp;(MATCH("TV-S0268",Forrásszöveg!$A$6:$A$2497,0)+5),"Tv. 6. § (5) g)")</f>
        <v>Tv. 6. § (5) g)</v>
      </c>
      <c r="G27" s="15" t="s">
        <v>175</v>
      </c>
      <c r="H27" s="16" t="str">
        <f aca="false">HYPERLINK("#'Forrásszöveg'!A"&amp;(MATCH("TV-S0240",Forrásszöveg!$A$6:$A$2497,0)+5),"6. § eleje")</f>
        <v>6. § eleje</v>
      </c>
    </row>
    <row r="28" customFormat="false" ht="52" hidden="false" customHeight="true" outlineLevel="0" collapsed="false">
      <c r="A28" s="15" t="s">
        <v>226</v>
      </c>
      <c r="B28" s="15" t="s">
        <v>171</v>
      </c>
      <c r="C28" s="15" t="s">
        <v>227</v>
      </c>
      <c r="D28" s="15" t="s">
        <v>212</v>
      </c>
      <c r="E28" s="15" t="s">
        <v>174</v>
      </c>
      <c r="F28" s="16" t="str">
        <f aca="false">HYPERLINK("#'Forrásszöveg'!A"&amp;(MATCH("TV-S0269",Forrásszöveg!$A$6:$A$2497,0)+5),"Tv. 6. § (5) h)")</f>
        <v>Tv. 6. § (5) h)</v>
      </c>
      <c r="G28" s="15" t="s">
        <v>175</v>
      </c>
      <c r="H28" s="16" t="str">
        <f aca="false">HYPERLINK("#'Forrásszöveg'!A"&amp;(MATCH("TV-S0240",Forrásszöveg!$A$6:$A$2497,0)+5),"6. § eleje")</f>
        <v>6. § eleje</v>
      </c>
    </row>
    <row r="29" customFormat="false" ht="52" hidden="false" customHeight="true" outlineLevel="0" collapsed="false">
      <c r="A29" s="15" t="s">
        <v>228</v>
      </c>
      <c r="B29" s="15" t="s">
        <v>171</v>
      </c>
      <c r="C29" s="15" t="s">
        <v>229</v>
      </c>
      <c r="D29" s="15" t="s">
        <v>230</v>
      </c>
      <c r="E29" s="15" t="s">
        <v>231</v>
      </c>
      <c r="F29" s="16" t="str">
        <f aca="false">HYPERLINK("#'Forrásszöveg'!A"&amp;(MATCH("TV-S0270",Forrásszöveg!$A$6:$A$2497,0)+5),"Tv. 6. § (5) i)")</f>
        <v>Tv. 6. § (5) i)</v>
      </c>
      <c r="G29" s="15" t="s">
        <v>175</v>
      </c>
      <c r="H29" s="16" t="str">
        <f aca="false">HYPERLINK("#'Forrásszöveg'!A"&amp;(MATCH("TV-S0240",Forrásszöveg!$A$6:$A$2497,0)+5),"6. § eleje")</f>
        <v>6. § eleje</v>
      </c>
    </row>
    <row r="30" customFormat="false" ht="52" hidden="false" customHeight="true" outlineLevel="0" collapsed="false">
      <c r="A30" s="15" t="s">
        <v>232</v>
      </c>
      <c r="B30" s="15" t="s">
        <v>171</v>
      </c>
      <c r="C30" s="15" t="s">
        <v>233</v>
      </c>
      <c r="D30" s="15" t="s">
        <v>212</v>
      </c>
      <c r="E30" s="15" t="s">
        <v>174</v>
      </c>
      <c r="F30" s="16" t="str">
        <f aca="false">HYPERLINK("#'Forrásszöveg'!A"&amp;(MATCH("TV-S0271",Forrásszöveg!$A$6:$A$2497,0)+5),"Tv. 6. § (5) j)")</f>
        <v>Tv. 6. § (5) j)</v>
      </c>
      <c r="G30" s="15" t="s">
        <v>175</v>
      </c>
      <c r="H30" s="16" t="str">
        <f aca="false">HYPERLINK("#'Forrásszöveg'!A"&amp;(MATCH("TV-S0240",Forrásszöveg!$A$6:$A$2497,0)+5),"6. § eleje")</f>
        <v>6. § eleje</v>
      </c>
    </row>
    <row r="31" customFormat="false" ht="52" hidden="false" customHeight="true" outlineLevel="0" collapsed="false">
      <c r="A31" s="15" t="s">
        <v>234</v>
      </c>
      <c r="B31" s="15" t="s">
        <v>235</v>
      </c>
      <c r="C31" s="15" t="s">
        <v>236</v>
      </c>
      <c r="D31" s="15" t="s">
        <v>237</v>
      </c>
      <c r="E31" s="15" t="s">
        <v>174</v>
      </c>
      <c r="F31" s="16" t="str">
        <f aca="false">HYPERLINK("#'Forrásszöveg'!A"&amp;(MATCH("TV-S0275",Forrásszöveg!$A$6:$A$2497,0)+5),"Tv. 6. § (9)")</f>
        <v>Tv. 6. § (9)</v>
      </c>
      <c r="G31" s="15" t="s">
        <v>175</v>
      </c>
      <c r="H31" s="16" t="str">
        <f aca="false">HYPERLINK("#'Forrásszöveg'!A"&amp;(MATCH("TV-S0240",Forrásszöveg!$A$6:$A$2497,0)+5),"6. § eleje")</f>
        <v>6. § eleje</v>
      </c>
    </row>
    <row r="32" customFormat="false" ht="52" hidden="false" customHeight="true" outlineLevel="0" collapsed="false">
      <c r="A32" s="15" t="s">
        <v>238</v>
      </c>
      <c r="B32" s="15" t="s">
        <v>235</v>
      </c>
      <c r="C32" s="15" t="s">
        <v>239</v>
      </c>
      <c r="D32" s="15" t="s">
        <v>240</v>
      </c>
      <c r="E32" s="15" t="s">
        <v>174</v>
      </c>
      <c r="F32" s="16" t="str">
        <f aca="false">HYPERLINK("#'Forrásszöveg'!A"&amp;(MATCH("TV-S0279",Forrásszöveg!$A$6:$A$2497,0)+5),"Tv. 6. § (10) c)")</f>
        <v>Tv. 6. § (10) c)</v>
      </c>
      <c r="G32" s="15" t="s">
        <v>175</v>
      </c>
      <c r="H32" s="16" t="str">
        <f aca="false">HYPERLINK("#'Forrásszöveg'!A"&amp;(MATCH("TV-S0240",Forrásszöveg!$A$6:$A$2497,0)+5),"6. § eleje")</f>
        <v>6. § eleje</v>
      </c>
    </row>
    <row r="33" customFormat="false" ht="52" hidden="false" customHeight="true" outlineLevel="0" collapsed="false">
      <c r="A33" s="15" t="s">
        <v>241</v>
      </c>
      <c r="B33" s="15" t="s">
        <v>235</v>
      </c>
      <c r="C33" s="15" t="s">
        <v>242</v>
      </c>
      <c r="D33" s="15" t="s">
        <v>243</v>
      </c>
      <c r="E33" s="15" t="s">
        <v>174</v>
      </c>
      <c r="F33" s="16" t="str">
        <f aca="false">HYPERLINK("#'Forrásszöveg'!A"&amp;(MATCH("TV-S0280",Forrásszöveg!$A$6:$A$2497,0)+5),"Tv. 6. § (11)")</f>
        <v>Tv. 6. § (11)</v>
      </c>
      <c r="G33" s="15" t="s">
        <v>175</v>
      </c>
      <c r="H33" s="16" t="str">
        <f aca="false">HYPERLINK("#'Forrásszöveg'!A"&amp;(MATCH("TV-S0240",Forrásszöveg!$A$6:$A$2497,0)+5),"6. § eleje")</f>
        <v>6. § eleje</v>
      </c>
    </row>
    <row r="34" customFormat="false" ht="52" hidden="false" customHeight="true" outlineLevel="0" collapsed="false">
      <c r="A34" s="15" t="s">
        <v>244</v>
      </c>
      <c r="B34" s="15" t="s">
        <v>235</v>
      </c>
      <c r="C34" s="15" t="s">
        <v>245</v>
      </c>
      <c r="D34" s="15" t="s">
        <v>246</v>
      </c>
      <c r="E34" s="15" t="s">
        <v>247</v>
      </c>
      <c r="F34" s="16" t="str">
        <f aca="false">HYPERLINK("#'Forrásszöveg'!A"&amp;(MATCH("TV-S0282",Forrásszöveg!$A$6:$A$2497,0)+5),"Tv. 7. § (1)")</f>
        <v>Tv. 7. § (1)</v>
      </c>
      <c r="G34" s="15" t="s">
        <v>175</v>
      </c>
      <c r="H34" s="16" t="str">
        <f aca="false">HYPERLINK("#'Forrásszöveg'!A"&amp;(MATCH("TV-S0282",Forrásszöveg!$A$6:$A$2497,0)+5),"7. § eleje")</f>
        <v>7. § eleje</v>
      </c>
    </row>
    <row r="35" customFormat="false" ht="52" hidden="false" customHeight="true" outlineLevel="0" collapsed="false">
      <c r="A35" s="15" t="s">
        <v>248</v>
      </c>
      <c r="B35" s="15" t="s">
        <v>235</v>
      </c>
      <c r="C35" s="15" t="s">
        <v>249</v>
      </c>
      <c r="D35" s="15" t="s">
        <v>250</v>
      </c>
      <c r="E35" s="15" t="s">
        <v>174</v>
      </c>
      <c r="F35" s="16" t="str">
        <f aca="false">HYPERLINK("#'Forrásszöveg'!A"&amp;(MATCH("TV-S0285",Forrásszöveg!$A$6:$A$2497,0)+5),"Tv. 8. § (1)")</f>
        <v>Tv. 8. § (1)</v>
      </c>
      <c r="G35" s="15" t="s">
        <v>175</v>
      </c>
      <c r="H35" s="16" t="str">
        <f aca="false">HYPERLINK("#'Forrásszöveg'!A"&amp;(MATCH("TV-S0285",Forrásszöveg!$A$6:$A$2497,0)+5),"8. § eleje")</f>
        <v>8. § eleje</v>
      </c>
    </row>
    <row r="36" customFormat="false" ht="52" hidden="false" customHeight="true" outlineLevel="0" collapsed="false">
      <c r="A36" s="15" t="s">
        <v>251</v>
      </c>
      <c r="B36" s="15" t="s">
        <v>171</v>
      </c>
      <c r="C36" s="15" t="s">
        <v>252</v>
      </c>
      <c r="D36" s="15" t="s">
        <v>212</v>
      </c>
      <c r="E36" s="15" t="s">
        <v>174</v>
      </c>
      <c r="F36" s="16" t="str">
        <f aca="false">HYPERLINK("#'Forrásszöveg'!A"&amp;(MATCH("TV-S0286",Forrásszöveg!$A$6:$A$2497,0)+5),"Tv. 8. § (2)")</f>
        <v>Tv. 8. § (2)</v>
      </c>
      <c r="G36" s="15" t="s">
        <v>175</v>
      </c>
      <c r="H36" s="16" t="str">
        <f aca="false">HYPERLINK("#'Forrásszöveg'!A"&amp;(MATCH("TV-S0285",Forrásszöveg!$A$6:$A$2497,0)+5),"8. § eleje")</f>
        <v>8. § eleje</v>
      </c>
    </row>
    <row r="37" customFormat="false" ht="52" hidden="false" customHeight="true" outlineLevel="0" collapsed="false">
      <c r="A37" s="15" t="s">
        <v>253</v>
      </c>
      <c r="B37" s="15" t="s">
        <v>171</v>
      </c>
      <c r="C37" s="15" t="s">
        <v>254</v>
      </c>
      <c r="D37" s="15" t="s">
        <v>255</v>
      </c>
      <c r="E37" s="15" t="s">
        <v>256</v>
      </c>
      <c r="F37" s="16" t="str">
        <f aca="false">HYPERLINK("#'Forrásszöveg'!A"&amp;(MATCH("TV-S0288",Forrásszöveg!$A$6:$A$2497,0)+5),"Tv. 8. § (3) a)")</f>
        <v>Tv. 8. § (3) a)</v>
      </c>
      <c r="G37" s="15" t="s">
        <v>175</v>
      </c>
      <c r="H37" s="16" t="str">
        <f aca="false">HYPERLINK("#'Forrásszöveg'!A"&amp;(MATCH("TV-S0285",Forrásszöveg!$A$6:$A$2497,0)+5),"8. § eleje")</f>
        <v>8. § eleje</v>
      </c>
    </row>
    <row r="38" customFormat="false" ht="52" hidden="false" customHeight="true" outlineLevel="0" collapsed="false">
      <c r="A38" s="15" t="s">
        <v>257</v>
      </c>
      <c r="B38" s="15" t="s">
        <v>171</v>
      </c>
      <c r="C38" s="15" t="s">
        <v>258</v>
      </c>
      <c r="D38" s="15" t="s">
        <v>212</v>
      </c>
      <c r="E38" s="15" t="s">
        <v>174</v>
      </c>
      <c r="F38" s="16" t="str">
        <f aca="false">HYPERLINK("#'Forrásszöveg'!A"&amp;(MATCH("TV-S0289",Forrásszöveg!$A$6:$A$2497,0)+5),"Tv. 8. § (3) b)")</f>
        <v>Tv. 8. § (3) b)</v>
      </c>
      <c r="G38" s="15" t="s">
        <v>175</v>
      </c>
      <c r="H38" s="16" t="str">
        <f aca="false">HYPERLINK("#'Forrásszöveg'!A"&amp;(MATCH("TV-S0285",Forrásszöveg!$A$6:$A$2497,0)+5),"8. § eleje")</f>
        <v>8. § eleje</v>
      </c>
    </row>
    <row r="39" customFormat="false" ht="52" hidden="false" customHeight="true" outlineLevel="0" collapsed="false">
      <c r="A39" s="15" t="s">
        <v>259</v>
      </c>
      <c r="B39" s="15" t="s">
        <v>235</v>
      </c>
      <c r="C39" s="15" t="s">
        <v>260</v>
      </c>
      <c r="D39" s="15" t="s">
        <v>261</v>
      </c>
      <c r="E39" s="15" t="s">
        <v>262</v>
      </c>
      <c r="F39" s="16" t="str">
        <f aca="false">HYPERLINK("#'Forrásszöveg'!A"&amp;(MATCH("TV-S0291",Forrásszöveg!$A$6:$A$2497,0)+5),"Tv. 8. § (4) a)")</f>
        <v>Tv. 8. § (4) a)</v>
      </c>
      <c r="G39" s="15" t="s">
        <v>175</v>
      </c>
      <c r="H39" s="16" t="str">
        <f aca="false">HYPERLINK("#'Forrásszöveg'!A"&amp;(MATCH("TV-S0285",Forrásszöveg!$A$6:$A$2497,0)+5),"8. § eleje")</f>
        <v>8. § eleje</v>
      </c>
    </row>
    <row r="40" customFormat="false" ht="52" hidden="false" customHeight="true" outlineLevel="0" collapsed="false">
      <c r="A40" s="15" t="s">
        <v>263</v>
      </c>
      <c r="B40" s="15" t="s">
        <v>235</v>
      </c>
      <c r="C40" s="15" t="s">
        <v>264</v>
      </c>
      <c r="D40" s="15" t="s">
        <v>261</v>
      </c>
      <c r="E40" s="15" t="s">
        <v>262</v>
      </c>
      <c r="F40" s="16" t="str">
        <f aca="false">HYPERLINK("#'Forrásszöveg'!A"&amp;(MATCH("TV-S0292",Forrásszöveg!$A$6:$A$2497,0)+5),"Tv. 8. § (4) b)")</f>
        <v>Tv. 8. § (4) b)</v>
      </c>
      <c r="G40" s="15" t="s">
        <v>175</v>
      </c>
      <c r="H40" s="16" t="str">
        <f aca="false">HYPERLINK("#'Forrásszöveg'!A"&amp;(MATCH("TV-S0285",Forrásszöveg!$A$6:$A$2497,0)+5),"8. § eleje")</f>
        <v>8. § eleje</v>
      </c>
    </row>
    <row r="41" customFormat="false" ht="52" hidden="false" customHeight="true" outlineLevel="0" collapsed="false">
      <c r="A41" s="15" t="s">
        <v>265</v>
      </c>
      <c r="B41" s="15" t="s">
        <v>235</v>
      </c>
      <c r="C41" s="15" t="s">
        <v>266</v>
      </c>
      <c r="D41" s="15" t="s">
        <v>261</v>
      </c>
      <c r="E41" s="15" t="s">
        <v>267</v>
      </c>
      <c r="F41" s="16" t="str">
        <f aca="false">HYPERLINK("#'Forrásszöveg'!A"&amp;(MATCH("TV-S0293",Forrásszöveg!$A$6:$A$2497,0)+5),"Tv. 8. § (4) c)")</f>
        <v>Tv. 8. § (4) c)</v>
      </c>
      <c r="G41" s="15" t="s">
        <v>175</v>
      </c>
      <c r="H41" s="16" t="str">
        <f aca="false">HYPERLINK("#'Forrásszöveg'!A"&amp;(MATCH("TV-S0285",Forrásszöveg!$A$6:$A$2497,0)+5),"8. § eleje")</f>
        <v>8. § eleje</v>
      </c>
    </row>
    <row r="42" customFormat="false" ht="52" hidden="false" customHeight="true" outlineLevel="0" collapsed="false">
      <c r="A42" s="15" t="s">
        <v>268</v>
      </c>
      <c r="B42" s="15" t="s">
        <v>235</v>
      </c>
      <c r="C42" s="15" t="s">
        <v>269</v>
      </c>
      <c r="D42" s="15" t="s">
        <v>261</v>
      </c>
      <c r="E42" s="15" t="s">
        <v>270</v>
      </c>
      <c r="F42" s="16" t="str">
        <f aca="false">HYPERLINK("#'Forrásszöveg'!A"&amp;(MATCH("TV-S0294",Forrásszöveg!$A$6:$A$2497,0)+5),"Tv. 8. § (4) d)")</f>
        <v>Tv. 8. § (4) d)</v>
      </c>
      <c r="G42" s="15" t="s">
        <v>175</v>
      </c>
      <c r="H42" s="16" t="str">
        <f aca="false">HYPERLINK("#'Forrásszöveg'!A"&amp;(MATCH("TV-S0285",Forrásszöveg!$A$6:$A$2497,0)+5),"8. § eleje")</f>
        <v>8. § eleje</v>
      </c>
    </row>
    <row r="43" customFormat="false" ht="52" hidden="false" customHeight="true" outlineLevel="0" collapsed="false">
      <c r="A43" s="15" t="s">
        <v>271</v>
      </c>
      <c r="B43" s="15" t="s">
        <v>235</v>
      </c>
      <c r="C43" s="15" t="s">
        <v>272</v>
      </c>
      <c r="D43" s="15" t="s">
        <v>261</v>
      </c>
      <c r="E43" s="15" t="s">
        <v>273</v>
      </c>
      <c r="F43" s="16" t="str">
        <f aca="false">HYPERLINK("#'Forrásszöveg'!A"&amp;(MATCH("TV-S0295",Forrásszöveg!$A$6:$A$2497,0)+5),"Tv. 8. § (4) e)")</f>
        <v>Tv. 8. § (4) e)</v>
      </c>
      <c r="G43" s="15" t="s">
        <v>175</v>
      </c>
      <c r="H43" s="16" t="str">
        <f aca="false">HYPERLINK("#'Forrásszöveg'!A"&amp;(MATCH("TV-S0285",Forrásszöveg!$A$6:$A$2497,0)+5),"8. § eleje")</f>
        <v>8. § eleje</v>
      </c>
    </row>
    <row r="44" customFormat="false" ht="52" hidden="false" customHeight="true" outlineLevel="0" collapsed="false">
      <c r="A44" s="15" t="s">
        <v>274</v>
      </c>
      <c r="B44" s="15" t="s">
        <v>235</v>
      </c>
      <c r="C44" s="15" t="s">
        <v>275</v>
      </c>
      <c r="D44" s="15" t="s">
        <v>261</v>
      </c>
      <c r="E44" s="15" t="s">
        <v>273</v>
      </c>
      <c r="F44" s="16" t="str">
        <f aca="false">HYPERLINK("#'Forrásszöveg'!A"&amp;(MATCH("TV-S0296",Forrásszöveg!$A$6:$A$2497,0)+5),"Tv. 8. § (4) f)")</f>
        <v>Tv. 8. § (4) f)</v>
      </c>
      <c r="G44" s="15" t="s">
        <v>175</v>
      </c>
      <c r="H44" s="16" t="str">
        <f aca="false">HYPERLINK("#'Forrásszöveg'!A"&amp;(MATCH("TV-S0285",Forrásszöveg!$A$6:$A$2497,0)+5),"8. § eleje")</f>
        <v>8. § eleje</v>
      </c>
    </row>
    <row r="45" customFormat="false" ht="52" hidden="false" customHeight="true" outlineLevel="0" collapsed="false">
      <c r="A45" s="15" t="s">
        <v>276</v>
      </c>
      <c r="B45" s="15" t="s">
        <v>235</v>
      </c>
      <c r="C45" s="15" t="s">
        <v>277</v>
      </c>
      <c r="D45" s="15" t="s">
        <v>278</v>
      </c>
      <c r="E45" s="15" t="s">
        <v>279</v>
      </c>
      <c r="F45" s="16" t="str">
        <f aca="false">HYPERLINK("#'Forrásszöveg'!A"&amp;(MATCH("TV-S0297",Forrásszöveg!$A$6:$A$2497,0)+5),"Tv. 8. § (5)")</f>
        <v>Tv. 8. § (5)</v>
      </c>
      <c r="G45" s="15" t="s">
        <v>175</v>
      </c>
      <c r="H45" s="16" t="str">
        <f aca="false">HYPERLINK("#'Forrásszöveg'!A"&amp;(MATCH("TV-S0285",Forrásszöveg!$A$6:$A$2497,0)+5),"8. § eleje")</f>
        <v>8. § eleje</v>
      </c>
    </row>
    <row r="46" customFormat="false" ht="52" hidden="false" customHeight="true" outlineLevel="0" collapsed="false">
      <c r="A46" s="15" t="s">
        <v>280</v>
      </c>
      <c r="B46" s="15" t="s">
        <v>235</v>
      </c>
      <c r="C46" s="15" t="s">
        <v>281</v>
      </c>
      <c r="D46" s="15" t="s">
        <v>282</v>
      </c>
      <c r="E46" s="15" t="s">
        <v>174</v>
      </c>
      <c r="F46" s="16" t="str">
        <f aca="false">HYPERLINK("#'Forrásszöveg'!A"&amp;(MATCH("TV-S0306",Forrásszöveg!$A$6:$A$2497,0)+5),"Tv. 8. § (7)")</f>
        <v>Tv. 8. § (7)</v>
      </c>
      <c r="G46" s="15" t="s">
        <v>175</v>
      </c>
      <c r="H46" s="16" t="str">
        <f aca="false">HYPERLINK("#'Forrásszöveg'!A"&amp;(MATCH("TV-S0285",Forrásszöveg!$A$6:$A$2497,0)+5),"8. § eleje")</f>
        <v>8. § eleje</v>
      </c>
    </row>
    <row r="47" customFormat="false" ht="38" hidden="false" customHeight="true" outlineLevel="0" collapsed="false">
      <c r="A47" s="15" t="s">
        <v>283</v>
      </c>
      <c r="B47" s="15" t="s">
        <v>235</v>
      </c>
      <c r="C47" s="15" t="s">
        <v>284</v>
      </c>
      <c r="D47" s="15" t="s">
        <v>285</v>
      </c>
      <c r="E47" s="15" t="s">
        <v>174</v>
      </c>
      <c r="F47" s="16" t="str">
        <f aca="false">HYPERLINK("#'Forrásszöveg'!A"&amp;(MATCH("TV-S0308",Forrásszöveg!$A$6:$A$2497,0)+5),"Tv. 9. § (1)")</f>
        <v>Tv. 9. § (1)</v>
      </c>
      <c r="G47" s="15" t="s">
        <v>286</v>
      </c>
      <c r="H47" s="16" t="str">
        <f aca="false">HYPERLINK("#'Forrásszöveg'!A"&amp;(MATCH("TV-S0308",Forrásszöveg!$A$6:$A$2497,0)+5),"9. § eleje")</f>
        <v>9. § eleje</v>
      </c>
    </row>
    <row r="48" customFormat="false" ht="38" hidden="false" customHeight="true" outlineLevel="0" collapsed="false">
      <c r="A48" s="15" t="s">
        <v>287</v>
      </c>
      <c r="B48" s="15" t="s">
        <v>235</v>
      </c>
      <c r="C48" s="15" t="s">
        <v>288</v>
      </c>
      <c r="D48" s="15" t="s">
        <v>285</v>
      </c>
      <c r="E48" s="15" t="s">
        <v>174</v>
      </c>
      <c r="F48" s="16" t="str">
        <f aca="false">HYPERLINK("#'Forrásszöveg'!A"&amp;(MATCH("TV-S0309",Forrásszöveg!$A$6:$A$2497,0)+5),"Tv. 9. § (2)")</f>
        <v>Tv. 9. § (2)</v>
      </c>
      <c r="G48" s="15" t="s">
        <v>286</v>
      </c>
      <c r="H48" s="16" t="str">
        <f aca="false">HYPERLINK("#'Forrásszöveg'!A"&amp;(MATCH("TV-S0308",Forrásszöveg!$A$6:$A$2497,0)+5),"9. § eleje")</f>
        <v>9. § eleje</v>
      </c>
    </row>
    <row r="49" customFormat="false" ht="38" hidden="false" customHeight="true" outlineLevel="0" collapsed="false">
      <c r="A49" s="15" t="s">
        <v>289</v>
      </c>
      <c r="B49" s="15" t="s">
        <v>235</v>
      </c>
      <c r="C49" s="15" t="s">
        <v>290</v>
      </c>
      <c r="D49" s="15" t="s">
        <v>285</v>
      </c>
      <c r="E49" s="15" t="s">
        <v>174</v>
      </c>
      <c r="F49" s="16" t="str">
        <f aca="false">HYPERLINK("#'Forrásszöveg'!A"&amp;(MATCH("TV-S0310",Forrásszöveg!$A$6:$A$2497,0)+5),"Tv. 9. § (3)")</f>
        <v>Tv. 9. § (3)</v>
      </c>
      <c r="G49" s="15" t="s">
        <v>286</v>
      </c>
      <c r="H49" s="16" t="str">
        <f aca="false">HYPERLINK("#'Forrásszöveg'!A"&amp;(MATCH("TV-S0308",Forrásszöveg!$A$6:$A$2497,0)+5),"9. § eleje")</f>
        <v>9. § eleje</v>
      </c>
    </row>
    <row r="50" customFormat="false" ht="38" hidden="false" customHeight="true" outlineLevel="0" collapsed="false">
      <c r="A50" s="15" t="s">
        <v>291</v>
      </c>
      <c r="B50" s="15" t="s">
        <v>235</v>
      </c>
      <c r="C50" s="15" t="s">
        <v>292</v>
      </c>
      <c r="D50" s="15" t="s">
        <v>293</v>
      </c>
      <c r="E50" s="15" t="s">
        <v>174</v>
      </c>
      <c r="F50" s="16" t="str">
        <f aca="false">HYPERLINK("#'Forrásszöveg'!A"&amp;(MATCH("TV-S0312",Forrásszöveg!$A$6:$A$2497,0)+5),"Tv. 9. § (5)")</f>
        <v>Tv. 9. § (5)</v>
      </c>
      <c r="G50" s="15" t="s">
        <v>286</v>
      </c>
      <c r="H50" s="16" t="str">
        <f aca="false">HYPERLINK("#'Forrásszöveg'!A"&amp;(MATCH("TV-S0308",Forrásszöveg!$A$6:$A$2497,0)+5),"9. § eleje")</f>
        <v>9. § eleje</v>
      </c>
    </row>
    <row r="51" customFormat="false" ht="38" hidden="false" customHeight="true" outlineLevel="0" collapsed="false">
      <c r="A51" s="15" t="s">
        <v>294</v>
      </c>
      <c r="B51" s="15" t="s">
        <v>235</v>
      </c>
      <c r="C51" s="15" t="s">
        <v>295</v>
      </c>
      <c r="D51" s="15" t="s">
        <v>296</v>
      </c>
      <c r="E51" s="15" t="s">
        <v>174</v>
      </c>
      <c r="F51" s="16" t="str">
        <f aca="false">HYPERLINK("#'Forrásszöveg'!A"&amp;(MATCH("TV-S0314",Forrásszöveg!$A$6:$A$2497,0)+5),"Tv. 10. § (1)")</f>
        <v>Tv. 10. § (1)</v>
      </c>
      <c r="G51" s="15" t="s">
        <v>297</v>
      </c>
      <c r="H51" s="16" t="str">
        <f aca="false">HYPERLINK("#'Forrásszöveg'!A"&amp;(MATCH("TV-S0314",Forrásszöveg!$A$6:$A$2497,0)+5),"10. § eleje")</f>
        <v>10. § eleje</v>
      </c>
    </row>
    <row r="52" customFormat="false" ht="38" hidden="false" customHeight="true" outlineLevel="0" collapsed="false">
      <c r="A52" s="15" t="s">
        <v>298</v>
      </c>
      <c r="B52" s="15" t="s">
        <v>171</v>
      </c>
      <c r="C52" s="15" t="s">
        <v>299</v>
      </c>
      <c r="D52" s="15" t="s">
        <v>300</v>
      </c>
      <c r="E52" s="15" t="s">
        <v>174</v>
      </c>
      <c r="F52" s="16" t="str">
        <f aca="false">HYPERLINK("#'Forrásszöveg'!A"&amp;(MATCH("TV-S0315",Forrásszöveg!$A$6:$A$2497,0)+5),"Tv. 10. § (2)")</f>
        <v>Tv. 10. § (2)</v>
      </c>
      <c r="G52" s="15" t="s">
        <v>297</v>
      </c>
      <c r="H52" s="16" t="str">
        <f aca="false">HYPERLINK("#'Forrásszöveg'!A"&amp;(MATCH("TV-S0314",Forrásszöveg!$A$6:$A$2497,0)+5),"10. § eleje")</f>
        <v>10. § eleje</v>
      </c>
    </row>
    <row r="53" customFormat="false" ht="38" hidden="false" customHeight="true" outlineLevel="0" collapsed="false">
      <c r="A53" s="15" t="s">
        <v>301</v>
      </c>
      <c r="B53" s="15" t="s">
        <v>235</v>
      </c>
      <c r="C53" s="15" t="s">
        <v>302</v>
      </c>
      <c r="D53" s="15" t="s">
        <v>303</v>
      </c>
      <c r="E53" s="15" t="s">
        <v>174</v>
      </c>
      <c r="F53" s="16" t="str">
        <f aca="false">HYPERLINK("#'Forrásszöveg'!A"&amp;(MATCH("TV-S0315",Forrásszöveg!$A$6:$A$2497,0)+5),"Tv. 10. § (2)")</f>
        <v>Tv. 10. § (2)</v>
      </c>
      <c r="G53" s="15" t="s">
        <v>297</v>
      </c>
      <c r="H53" s="16" t="str">
        <f aca="false">HYPERLINK("#'Forrásszöveg'!A"&amp;(MATCH("TV-S0314",Forrásszöveg!$A$6:$A$2497,0)+5),"10. § eleje")</f>
        <v>10. § eleje</v>
      </c>
    </row>
    <row r="54" customFormat="false" ht="52" hidden="false" customHeight="true" outlineLevel="0" collapsed="false">
      <c r="A54" s="15" t="s">
        <v>304</v>
      </c>
      <c r="B54" s="15" t="s">
        <v>235</v>
      </c>
      <c r="C54" s="15" t="s">
        <v>305</v>
      </c>
      <c r="D54" s="15" t="s">
        <v>306</v>
      </c>
      <c r="E54" s="15" t="s">
        <v>174</v>
      </c>
      <c r="F54" s="16" t="str">
        <f aca="false">HYPERLINK("#'Forrásszöveg'!A"&amp;(MATCH("TV-S0317",Forrásszöveg!$A$6:$A$2497,0)+5),"Tv. 10. § (4)")</f>
        <v>Tv. 10. § (4)</v>
      </c>
      <c r="G54" s="15" t="s">
        <v>297</v>
      </c>
      <c r="H54" s="16" t="str">
        <f aca="false">HYPERLINK("#'Forrásszöveg'!A"&amp;(MATCH("TV-S0314",Forrásszöveg!$A$6:$A$2497,0)+5),"10. § eleje")</f>
        <v>10. § eleje</v>
      </c>
    </row>
    <row r="55" customFormat="false" ht="38" hidden="false" customHeight="true" outlineLevel="0" collapsed="false">
      <c r="A55" s="15" t="s">
        <v>307</v>
      </c>
      <c r="B55" s="15" t="s">
        <v>235</v>
      </c>
      <c r="C55" s="15" t="s">
        <v>308</v>
      </c>
      <c r="D55" s="15" t="s">
        <v>309</v>
      </c>
      <c r="E55" s="15" t="s">
        <v>310</v>
      </c>
      <c r="F55" s="16" t="str">
        <f aca="false">HYPERLINK("#'Forrásszöveg'!A"&amp;(MATCH("TV-S0318",Forrásszöveg!$A$6:$A$2497,0)+5),"Tv. 10. § (5)")</f>
        <v>Tv. 10. § (5)</v>
      </c>
      <c r="G55" s="15" t="s">
        <v>297</v>
      </c>
      <c r="H55" s="16" t="str">
        <f aca="false">HYPERLINK("#'Forrásszöveg'!A"&amp;(MATCH("TV-S0314",Forrásszöveg!$A$6:$A$2497,0)+5),"10. § eleje")</f>
        <v>10. § eleje</v>
      </c>
    </row>
    <row r="56" customFormat="false" ht="38" hidden="false" customHeight="true" outlineLevel="0" collapsed="false">
      <c r="A56" s="15" t="s">
        <v>311</v>
      </c>
      <c r="B56" s="15" t="s">
        <v>235</v>
      </c>
      <c r="C56" s="15" t="s">
        <v>312</v>
      </c>
      <c r="D56" s="15" t="s">
        <v>313</v>
      </c>
      <c r="E56" s="15" t="s">
        <v>314</v>
      </c>
      <c r="F56" s="16" t="str">
        <f aca="false">HYPERLINK("#'Forrásszöveg'!A"&amp;(MATCH("TV-S0319",Forrásszöveg!$A$6:$A$2497,0)+5),"Tv. 10. § (6)")</f>
        <v>Tv. 10. § (6)</v>
      </c>
      <c r="G56" s="15" t="s">
        <v>297</v>
      </c>
      <c r="H56" s="16" t="str">
        <f aca="false">HYPERLINK("#'Forrásszöveg'!A"&amp;(MATCH("TV-S0314",Forrásszöveg!$A$6:$A$2497,0)+5),"10. § eleje")</f>
        <v>10. § eleje</v>
      </c>
    </row>
    <row r="57" customFormat="false" ht="38" hidden="false" customHeight="true" outlineLevel="0" collapsed="false">
      <c r="A57" s="15" t="s">
        <v>315</v>
      </c>
      <c r="B57" s="15" t="s">
        <v>235</v>
      </c>
      <c r="C57" s="15" t="s">
        <v>316</v>
      </c>
      <c r="D57" s="15" t="s">
        <v>317</v>
      </c>
      <c r="E57" s="15" t="s">
        <v>209</v>
      </c>
      <c r="F57" s="16" t="str">
        <f aca="false">HYPERLINK("#'Forrásszöveg'!A"&amp;(MATCH("TV-S0320",Forrásszöveg!$A$6:$A$2497,0)+5),"Tv. 10. § (7)")</f>
        <v>Tv. 10. § (7)</v>
      </c>
      <c r="G57" s="15" t="s">
        <v>297</v>
      </c>
      <c r="H57" s="16" t="str">
        <f aca="false">HYPERLINK("#'Forrásszöveg'!A"&amp;(MATCH("TV-S0314",Forrásszöveg!$A$6:$A$2497,0)+5),"10. § eleje")</f>
        <v>10. § eleje</v>
      </c>
    </row>
    <row r="58" customFormat="false" ht="52" hidden="false" customHeight="true" outlineLevel="0" collapsed="false">
      <c r="A58" s="15" t="s">
        <v>318</v>
      </c>
      <c r="B58" s="15" t="s">
        <v>171</v>
      </c>
      <c r="C58" s="15" t="s">
        <v>319</v>
      </c>
      <c r="D58" s="15" t="s">
        <v>212</v>
      </c>
      <c r="E58" s="15" t="s">
        <v>174</v>
      </c>
      <c r="F58" s="16" t="str">
        <f aca="false">HYPERLINK("#'Forrásszöveg'!A"&amp;(MATCH("TV-S0322",Forrásszöveg!$A$6:$A$2497,0)+5),"Tv. 11. § (1)")</f>
        <v>Tv. 11. § (1)</v>
      </c>
      <c r="G58" s="15" t="s">
        <v>320</v>
      </c>
      <c r="H58" s="16" t="str">
        <f aca="false">HYPERLINK("#'Forrásszöveg'!A"&amp;(MATCH("TV-S0322",Forrásszöveg!$A$6:$A$2497,0)+5),"11. § eleje")</f>
        <v>11. § eleje</v>
      </c>
    </row>
    <row r="59" customFormat="false" ht="52" hidden="false" customHeight="true" outlineLevel="0" collapsed="false">
      <c r="A59" s="15" t="s">
        <v>321</v>
      </c>
      <c r="B59" s="15" t="s">
        <v>235</v>
      </c>
      <c r="C59" s="15" t="s">
        <v>322</v>
      </c>
      <c r="D59" s="15" t="s">
        <v>323</v>
      </c>
      <c r="E59" s="15" t="s">
        <v>174</v>
      </c>
      <c r="F59" s="16" t="str">
        <f aca="false">HYPERLINK("#'Forrásszöveg'!A"&amp;(MATCH("TV-S0323",Forrásszöveg!$A$6:$A$2497,0)+5),"Tv. 11. § (2)")</f>
        <v>Tv. 11. § (2)</v>
      </c>
      <c r="G59" s="15" t="s">
        <v>320</v>
      </c>
      <c r="H59" s="16" t="str">
        <f aca="false">HYPERLINK("#'Forrásszöveg'!A"&amp;(MATCH("TV-S0322",Forrásszöveg!$A$6:$A$2497,0)+5),"11. § eleje")</f>
        <v>11. § eleje</v>
      </c>
    </row>
    <row r="60" customFormat="false" ht="52" hidden="false" customHeight="true" outlineLevel="0" collapsed="false">
      <c r="A60" s="15" t="s">
        <v>324</v>
      </c>
      <c r="B60" s="15" t="s">
        <v>171</v>
      </c>
      <c r="C60" s="15" t="s">
        <v>325</v>
      </c>
      <c r="D60" s="15" t="s">
        <v>212</v>
      </c>
      <c r="E60" s="15" t="s">
        <v>174</v>
      </c>
      <c r="F60" s="16" t="str">
        <f aca="false">HYPERLINK("#'Forrásszöveg'!A"&amp;(MATCH("TV-S0334",Forrásszöveg!$A$6:$A$2497,0)+5),"Tv. 11. § (6) a)")</f>
        <v>Tv. 11. § (6) a)</v>
      </c>
      <c r="G60" s="15" t="s">
        <v>320</v>
      </c>
      <c r="H60" s="16" t="str">
        <f aca="false">HYPERLINK("#'Forrásszöveg'!A"&amp;(MATCH("TV-S0322",Forrásszöveg!$A$6:$A$2497,0)+5),"11. § eleje")</f>
        <v>11. § eleje</v>
      </c>
    </row>
    <row r="61" customFormat="false" ht="52" hidden="false" customHeight="true" outlineLevel="0" collapsed="false">
      <c r="A61" s="15" t="s">
        <v>326</v>
      </c>
      <c r="B61" s="15" t="s">
        <v>171</v>
      </c>
      <c r="C61" s="15" t="s">
        <v>327</v>
      </c>
      <c r="D61" s="15" t="s">
        <v>212</v>
      </c>
      <c r="E61" s="15" t="s">
        <v>174</v>
      </c>
      <c r="F61" s="16" t="str">
        <f aca="false">HYPERLINK("#'Forrásszöveg'!A"&amp;(MATCH("TV-S0335",Forrásszöveg!$A$6:$A$2497,0)+5),"Tv. 11. § (6) b)")</f>
        <v>Tv. 11. § (6) b)</v>
      </c>
      <c r="G61" s="15" t="s">
        <v>320</v>
      </c>
      <c r="H61" s="16" t="str">
        <f aca="false">HYPERLINK("#'Forrásszöveg'!A"&amp;(MATCH("TV-S0322",Forrásszöveg!$A$6:$A$2497,0)+5),"11. § eleje")</f>
        <v>11. § eleje</v>
      </c>
    </row>
    <row r="62" customFormat="false" ht="52" hidden="false" customHeight="true" outlineLevel="0" collapsed="false">
      <c r="A62" s="15" t="s">
        <v>328</v>
      </c>
      <c r="B62" s="15" t="s">
        <v>171</v>
      </c>
      <c r="C62" s="15" t="s">
        <v>329</v>
      </c>
      <c r="D62" s="15" t="s">
        <v>212</v>
      </c>
      <c r="E62" s="15" t="s">
        <v>174</v>
      </c>
      <c r="F62" s="16" t="str">
        <f aca="false">HYPERLINK("#'Forrásszöveg'!A"&amp;(MATCH("TV-S0336",Forrásszöveg!$A$6:$A$2497,0)+5),"Tv. 11. § (6) c)")</f>
        <v>Tv. 11. § (6) c)</v>
      </c>
      <c r="G62" s="15" t="s">
        <v>320</v>
      </c>
      <c r="H62" s="16" t="str">
        <f aca="false">HYPERLINK("#'Forrásszöveg'!A"&amp;(MATCH("TV-S0322",Forrásszöveg!$A$6:$A$2497,0)+5),"11. § eleje")</f>
        <v>11. § eleje</v>
      </c>
    </row>
    <row r="63" customFormat="false" ht="52" hidden="false" customHeight="true" outlineLevel="0" collapsed="false">
      <c r="A63" s="15" t="s">
        <v>330</v>
      </c>
      <c r="B63" s="15" t="s">
        <v>171</v>
      </c>
      <c r="C63" s="15" t="s">
        <v>331</v>
      </c>
      <c r="D63" s="15" t="s">
        <v>212</v>
      </c>
      <c r="E63" s="15" t="s">
        <v>174</v>
      </c>
      <c r="F63" s="16" t="str">
        <f aca="false">HYPERLINK("#'Forrásszöveg'!A"&amp;(MATCH("TV-S0337",Forrásszöveg!$A$6:$A$2497,0)+5),"Tv. 11. § (6) d)")</f>
        <v>Tv. 11. § (6) d)</v>
      </c>
      <c r="G63" s="15" t="s">
        <v>320</v>
      </c>
      <c r="H63" s="16" t="str">
        <f aca="false">HYPERLINK("#'Forrásszöveg'!A"&amp;(MATCH("TV-S0322",Forrásszöveg!$A$6:$A$2497,0)+5),"11. § eleje")</f>
        <v>11. § eleje</v>
      </c>
    </row>
    <row r="64" customFormat="false" ht="52" hidden="false" customHeight="true" outlineLevel="0" collapsed="false">
      <c r="A64" s="15" t="s">
        <v>332</v>
      </c>
      <c r="B64" s="15" t="s">
        <v>333</v>
      </c>
      <c r="C64" s="15" t="s">
        <v>334</v>
      </c>
      <c r="D64" s="15" t="s">
        <v>335</v>
      </c>
      <c r="E64" s="15" t="s">
        <v>174</v>
      </c>
      <c r="F64" s="16" t="str">
        <f aca="false">HYPERLINK("#'Forrásszöveg'!A"&amp;(MATCH("TV-S0338",Forrásszöveg!$A$6:$A$2497,0)+5),"Tv. 11. § (7)")</f>
        <v>Tv. 11. § (7)</v>
      </c>
      <c r="G64" s="15" t="s">
        <v>320</v>
      </c>
      <c r="H64" s="16" t="str">
        <f aca="false">HYPERLINK("#'Forrásszöveg'!A"&amp;(MATCH("TV-S0322",Forrásszöveg!$A$6:$A$2497,0)+5),"11. § eleje")</f>
        <v>11. § eleje</v>
      </c>
    </row>
    <row r="65" customFormat="false" ht="52" hidden="false" customHeight="true" outlineLevel="0" collapsed="false">
      <c r="A65" s="15" t="s">
        <v>336</v>
      </c>
      <c r="B65" s="15" t="s">
        <v>333</v>
      </c>
      <c r="C65" s="15" t="s">
        <v>337</v>
      </c>
      <c r="D65" s="15" t="s">
        <v>338</v>
      </c>
      <c r="E65" s="15" t="s">
        <v>174</v>
      </c>
      <c r="F65" s="16" t="str">
        <f aca="false">HYPERLINK("#'Forrásszöveg'!A"&amp;(MATCH("TV-S0339",Forrásszöveg!$A$6:$A$2497,0)+5),"Tv. 11. § (8)")</f>
        <v>Tv. 11. § (8)</v>
      </c>
      <c r="G65" s="15" t="s">
        <v>320</v>
      </c>
      <c r="H65" s="16" t="str">
        <f aca="false">HYPERLINK("#'Forrásszöveg'!A"&amp;(MATCH("TV-S0322",Forrásszöveg!$A$6:$A$2497,0)+5),"11. § eleje")</f>
        <v>11. § eleje</v>
      </c>
    </row>
    <row r="66" customFormat="false" ht="52" hidden="false" customHeight="true" outlineLevel="0" collapsed="false">
      <c r="A66" s="15" t="s">
        <v>339</v>
      </c>
      <c r="B66" s="15" t="s">
        <v>171</v>
      </c>
      <c r="C66" s="15" t="s">
        <v>340</v>
      </c>
      <c r="D66" s="15" t="s">
        <v>341</v>
      </c>
      <c r="E66" s="15" t="s">
        <v>174</v>
      </c>
      <c r="F66" s="16" t="str">
        <f aca="false">HYPERLINK("#'Forrásszöveg'!A"&amp;(MATCH("TV-S0341",Forrásszöveg!$A$6:$A$2497,0)+5),"Tv. 11. § (10)")</f>
        <v>Tv. 11. § (10)</v>
      </c>
      <c r="G66" s="15" t="s">
        <v>320</v>
      </c>
      <c r="H66" s="16" t="str">
        <f aca="false">HYPERLINK("#'Forrásszöveg'!A"&amp;(MATCH("TV-S0322",Forrásszöveg!$A$6:$A$2497,0)+5),"11. § eleje")</f>
        <v>11. § eleje</v>
      </c>
    </row>
    <row r="67" customFormat="false" ht="52" hidden="false" customHeight="true" outlineLevel="0" collapsed="false">
      <c r="A67" s="15" t="s">
        <v>342</v>
      </c>
      <c r="B67" s="15" t="s">
        <v>343</v>
      </c>
      <c r="C67" s="15" t="s">
        <v>344</v>
      </c>
      <c r="D67" s="15" t="s">
        <v>212</v>
      </c>
      <c r="E67" s="15" t="s">
        <v>174</v>
      </c>
      <c r="F67" s="16" t="str">
        <f aca="false">HYPERLINK("#'Forrásszöveg'!A"&amp;(MATCH("TV-S0344",Forrásszöveg!$A$6:$A$2497,0)+5),"Tv. 11. § (13)")</f>
        <v>Tv. 11. § (13)</v>
      </c>
      <c r="G67" s="15" t="s">
        <v>320</v>
      </c>
      <c r="H67" s="16" t="str">
        <f aca="false">HYPERLINK("#'Forrásszöveg'!A"&amp;(MATCH("TV-S0322",Forrásszöveg!$A$6:$A$2497,0)+5),"11. § eleje")</f>
        <v>11. § eleje</v>
      </c>
    </row>
    <row r="68" customFormat="false" ht="52" hidden="false" customHeight="true" outlineLevel="0" collapsed="false">
      <c r="A68" s="15" t="s">
        <v>345</v>
      </c>
      <c r="B68" s="15" t="s">
        <v>235</v>
      </c>
      <c r="C68" s="15" t="s">
        <v>346</v>
      </c>
      <c r="D68" s="15" t="s">
        <v>347</v>
      </c>
      <c r="E68" s="15" t="s">
        <v>174</v>
      </c>
      <c r="F68" s="16" t="str">
        <f aca="false">HYPERLINK("#'Forrásszöveg'!A"&amp;(MATCH("TV-S0360",Forrásszöveg!$A$6:$A$2497,0)+5),"Tv. 13. § (2)")</f>
        <v>Tv. 13. § (2)</v>
      </c>
      <c r="G68" s="15" t="s">
        <v>348</v>
      </c>
      <c r="H68" s="16" t="str">
        <f aca="false">HYPERLINK("#'Forrásszöveg'!A"&amp;(MATCH("TV-S0357",Forrásszöveg!$A$6:$A$2497,0)+5),"13. § eleje")</f>
        <v>13. § eleje</v>
      </c>
    </row>
    <row r="69" customFormat="false" ht="52" hidden="false" customHeight="true" outlineLevel="0" collapsed="false">
      <c r="A69" s="15" t="s">
        <v>349</v>
      </c>
      <c r="B69" s="15" t="s">
        <v>235</v>
      </c>
      <c r="C69" s="15" t="s">
        <v>350</v>
      </c>
      <c r="D69" s="15" t="s">
        <v>347</v>
      </c>
      <c r="E69" s="15" t="s">
        <v>174</v>
      </c>
      <c r="F69" s="16" t="str">
        <f aca="false">HYPERLINK("#'Forrásszöveg'!A"&amp;(MATCH("TV-S0361",Forrásszöveg!$A$6:$A$2497,0)+5),"Tv. 13. § (3)")</f>
        <v>Tv. 13. § (3)</v>
      </c>
      <c r="G69" s="15" t="s">
        <v>348</v>
      </c>
      <c r="H69" s="16" t="str">
        <f aca="false">HYPERLINK("#'Forrásszöveg'!A"&amp;(MATCH("TV-S0357",Forrásszöveg!$A$6:$A$2497,0)+5),"13. § eleje")</f>
        <v>13. § eleje</v>
      </c>
    </row>
    <row r="70" customFormat="false" ht="52" hidden="false" customHeight="true" outlineLevel="0" collapsed="false">
      <c r="A70" s="15" t="s">
        <v>351</v>
      </c>
      <c r="B70" s="15" t="s">
        <v>235</v>
      </c>
      <c r="C70" s="15" t="s">
        <v>352</v>
      </c>
      <c r="D70" s="15" t="s">
        <v>353</v>
      </c>
      <c r="E70" s="15" t="s">
        <v>174</v>
      </c>
      <c r="F70" s="16" t="str">
        <f aca="false">HYPERLINK("#'Forrásszöveg'!A"&amp;(MATCH("TV-S0364",Forrásszöveg!$A$6:$A$2497,0)+5),"Tv. 13. § (4)")</f>
        <v>Tv. 13. § (4)</v>
      </c>
      <c r="G70" s="15" t="s">
        <v>348</v>
      </c>
      <c r="H70" s="16" t="str">
        <f aca="false">HYPERLINK("#'Forrásszöveg'!A"&amp;(MATCH("TV-S0357",Forrásszöveg!$A$6:$A$2497,0)+5),"13. § eleje")</f>
        <v>13. § eleje</v>
      </c>
    </row>
    <row r="71" customFormat="false" ht="52" hidden="false" customHeight="true" outlineLevel="0" collapsed="false">
      <c r="A71" s="15" t="s">
        <v>354</v>
      </c>
      <c r="B71" s="15" t="s">
        <v>235</v>
      </c>
      <c r="C71" s="15" t="s">
        <v>355</v>
      </c>
      <c r="D71" s="15" t="s">
        <v>353</v>
      </c>
      <c r="E71" s="15" t="s">
        <v>174</v>
      </c>
      <c r="F71" s="16" t="str">
        <f aca="false">HYPERLINK("#'Forrásszöveg'!A"&amp;(MATCH("TV-S0365",Forrásszöveg!$A$6:$A$2497,0)+5),"Tv. 13. § (5)")</f>
        <v>Tv. 13. § (5)</v>
      </c>
      <c r="G71" s="15" t="s">
        <v>348</v>
      </c>
      <c r="H71" s="16" t="str">
        <f aca="false">HYPERLINK("#'Forrásszöveg'!A"&amp;(MATCH("TV-S0357",Forrásszöveg!$A$6:$A$2497,0)+5),"13. § eleje")</f>
        <v>13. § eleje</v>
      </c>
    </row>
    <row r="72" customFormat="false" ht="52" hidden="false" customHeight="true" outlineLevel="0" collapsed="false">
      <c r="A72" s="15" t="s">
        <v>356</v>
      </c>
      <c r="B72" s="15" t="s">
        <v>235</v>
      </c>
      <c r="C72" s="15" t="s">
        <v>357</v>
      </c>
      <c r="D72" s="15" t="s">
        <v>353</v>
      </c>
      <c r="E72" s="15" t="s">
        <v>174</v>
      </c>
      <c r="F72" s="16" t="str">
        <f aca="false">HYPERLINK("#'Forrásszöveg'!A"&amp;(MATCH("TV-S0366",Forrásszöveg!$A$6:$A$2497,0)+5),"Tv. 13. § (6)")</f>
        <v>Tv. 13. § (6)</v>
      </c>
      <c r="G72" s="15" t="s">
        <v>348</v>
      </c>
      <c r="H72" s="16" t="str">
        <f aca="false">HYPERLINK("#'Forrásszöveg'!A"&amp;(MATCH("TV-S0357",Forrásszöveg!$A$6:$A$2497,0)+5),"13. § eleje")</f>
        <v>13. § eleje</v>
      </c>
    </row>
    <row r="73" customFormat="false" ht="52" hidden="false" customHeight="true" outlineLevel="0" collapsed="false">
      <c r="A73" s="15" t="s">
        <v>358</v>
      </c>
      <c r="B73" s="15" t="s">
        <v>235</v>
      </c>
      <c r="C73" s="15" t="s">
        <v>359</v>
      </c>
      <c r="D73" s="15" t="s">
        <v>360</v>
      </c>
      <c r="E73" s="15" t="s">
        <v>361</v>
      </c>
      <c r="F73" s="16" t="str">
        <f aca="false">HYPERLINK("#'Forrásszöveg'!A"&amp;(MATCH("TV-S0368",Forrásszöveg!$A$6:$A$2497,0)+5),"Tv. 13. § (8)")</f>
        <v>Tv. 13. § (8)</v>
      </c>
      <c r="G73" s="15" t="s">
        <v>348</v>
      </c>
      <c r="H73" s="16" t="str">
        <f aca="false">HYPERLINK("#'Forrásszöveg'!A"&amp;(MATCH("TV-S0357",Forrásszöveg!$A$6:$A$2497,0)+5),"13. § eleje")</f>
        <v>13. § eleje</v>
      </c>
    </row>
    <row r="74" customFormat="false" ht="52" hidden="false" customHeight="true" outlineLevel="0" collapsed="false">
      <c r="A74" s="15" t="s">
        <v>362</v>
      </c>
      <c r="B74" s="15" t="s">
        <v>235</v>
      </c>
      <c r="C74" s="15" t="s">
        <v>363</v>
      </c>
      <c r="D74" s="15" t="s">
        <v>364</v>
      </c>
      <c r="E74" s="15" t="s">
        <v>365</v>
      </c>
      <c r="F74" s="16" t="str">
        <f aca="false">HYPERLINK("#'Forrásszöveg'!A"&amp;(MATCH("TV-S0370",Forrásszöveg!$A$6:$A$2497,0)+5),"Tv. 13. § (10)")</f>
        <v>Tv. 13. § (10)</v>
      </c>
      <c r="G74" s="15" t="s">
        <v>348</v>
      </c>
      <c r="H74" s="16" t="str">
        <f aca="false">HYPERLINK("#'Forrásszöveg'!A"&amp;(MATCH("TV-S0357",Forrásszöveg!$A$6:$A$2497,0)+5),"13. § eleje")</f>
        <v>13. § eleje</v>
      </c>
    </row>
    <row r="75" customFormat="false" ht="52" hidden="false" customHeight="true" outlineLevel="0" collapsed="false">
      <c r="A75" s="15" t="s">
        <v>366</v>
      </c>
      <c r="B75" s="15" t="s">
        <v>367</v>
      </c>
      <c r="C75" s="15" t="s">
        <v>368</v>
      </c>
      <c r="D75" s="15" t="s">
        <v>369</v>
      </c>
      <c r="E75" s="15" t="s">
        <v>370</v>
      </c>
      <c r="F75" s="16" t="str">
        <f aca="false">HYPERLINK("#'Forrásszöveg'!A"&amp;(MATCH("TV-S0371",Forrásszöveg!$A$6:$A$2497,0)+5),"Tv. 13. § (11)")</f>
        <v>Tv. 13. § (11)</v>
      </c>
      <c r="G75" s="15" t="s">
        <v>348</v>
      </c>
      <c r="H75" s="16" t="str">
        <f aca="false">HYPERLINK("#'Forrásszöveg'!A"&amp;(MATCH("TV-S0357",Forrásszöveg!$A$6:$A$2497,0)+5),"13. § eleje")</f>
        <v>13. § eleje</v>
      </c>
    </row>
    <row r="76" customFormat="false" ht="52" hidden="false" customHeight="true" outlineLevel="0" collapsed="false">
      <c r="A76" s="15" t="s">
        <v>371</v>
      </c>
      <c r="B76" s="15" t="s">
        <v>235</v>
      </c>
      <c r="C76" s="15" t="s">
        <v>372</v>
      </c>
      <c r="D76" s="15" t="s">
        <v>373</v>
      </c>
      <c r="E76" s="15" t="s">
        <v>174</v>
      </c>
      <c r="F76" s="16" t="str">
        <f aca="false">HYPERLINK("#'Forrásszöveg'!A"&amp;(MATCH("TV-S0377",Forrásszöveg!$A$6:$A$2497,0)+5),"Tv. 14. § (2)")</f>
        <v>Tv. 14. § (2)</v>
      </c>
      <c r="G76" s="15" t="s">
        <v>348</v>
      </c>
      <c r="H76" s="16" t="str">
        <f aca="false">HYPERLINK("#'Forrásszöveg'!A"&amp;(MATCH("TV-S0373",Forrásszöveg!$A$6:$A$2497,0)+5),"14. § eleje")</f>
        <v>14. § eleje</v>
      </c>
    </row>
    <row r="77" customFormat="false" ht="52" hidden="false" customHeight="true" outlineLevel="0" collapsed="false">
      <c r="A77" s="15" t="s">
        <v>374</v>
      </c>
      <c r="B77" s="15" t="s">
        <v>235</v>
      </c>
      <c r="C77" s="15" t="s">
        <v>375</v>
      </c>
      <c r="D77" s="15" t="s">
        <v>376</v>
      </c>
      <c r="E77" s="15" t="s">
        <v>174</v>
      </c>
      <c r="F77" s="16" t="str">
        <f aca="false">HYPERLINK("#'Forrásszöveg'!A"&amp;(MATCH("TV-S0379",Forrásszöveg!$A$6:$A$2497,0)+5),"Tv. 14. § (3) a)")</f>
        <v>Tv. 14. § (3) a)</v>
      </c>
      <c r="G77" s="15" t="s">
        <v>348</v>
      </c>
      <c r="H77" s="16" t="str">
        <f aca="false">HYPERLINK("#'Forrásszöveg'!A"&amp;(MATCH("TV-S0373",Forrásszöveg!$A$6:$A$2497,0)+5),"14. § eleje")</f>
        <v>14. § eleje</v>
      </c>
    </row>
    <row r="78" customFormat="false" ht="52" hidden="false" customHeight="true" outlineLevel="0" collapsed="false">
      <c r="A78" s="15" t="s">
        <v>377</v>
      </c>
      <c r="B78" s="15" t="s">
        <v>235</v>
      </c>
      <c r="C78" s="15" t="s">
        <v>378</v>
      </c>
      <c r="D78" s="15" t="s">
        <v>376</v>
      </c>
      <c r="E78" s="15" t="s">
        <v>174</v>
      </c>
      <c r="F78" s="16" t="str">
        <f aca="false">HYPERLINK("#'Forrásszöveg'!A"&amp;(MATCH("TV-S0380",Forrásszöveg!$A$6:$A$2497,0)+5),"Tv. 14. § (3) b)")</f>
        <v>Tv. 14. § (3) b)</v>
      </c>
      <c r="G78" s="15" t="s">
        <v>348</v>
      </c>
      <c r="H78" s="16" t="str">
        <f aca="false">HYPERLINK("#'Forrásszöveg'!A"&amp;(MATCH("TV-S0373",Forrásszöveg!$A$6:$A$2497,0)+5),"14. § eleje")</f>
        <v>14. § eleje</v>
      </c>
    </row>
    <row r="79" customFormat="false" ht="52" hidden="false" customHeight="true" outlineLevel="0" collapsed="false">
      <c r="A79" s="15" t="s">
        <v>379</v>
      </c>
      <c r="B79" s="15" t="s">
        <v>235</v>
      </c>
      <c r="C79" s="15" t="s">
        <v>380</v>
      </c>
      <c r="D79" s="15" t="s">
        <v>381</v>
      </c>
      <c r="E79" s="15" t="s">
        <v>382</v>
      </c>
      <c r="F79" s="16" t="str">
        <f aca="false">HYPERLINK("#'Forrásszöveg'!A"&amp;(MATCH("TV-S0382",Forrásszöveg!$A$6:$A$2497,0)+5),"Tv. 14. § (5)")</f>
        <v>Tv. 14. § (5)</v>
      </c>
      <c r="G79" s="15" t="s">
        <v>348</v>
      </c>
      <c r="H79" s="16" t="str">
        <f aca="false">HYPERLINK("#'Forrásszöveg'!A"&amp;(MATCH("TV-S0373",Forrásszöveg!$A$6:$A$2497,0)+5),"14. § eleje")</f>
        <v>14. § eleje</v>
      </c>
    </row>
    <row r="80" customFormat="false" ht="52" hidden="false" customHeight="true" outlineLevel="0" collapsed="false">
      <c r="A80" s="15" t="s">
        <v>383</v>
      </c>
      <c r="B80" s="15" t="s">
        <v>235</v>
      </c>
      <c r="C80" s="15" t="s">
        <v>384</v>
      </c>
      <c r="D80" s="15" t="s">
        <v>385</v>
      </c>
      <c r="E80" s="15" t="s">
        <v>174</v>
      </c>
      <c r="F80" s="16" t="str">
        <f aca="false">HYPERLINK("#'Forrásszöveg'!A"&amp;(MATCH("TV-S0384",Forrásszöveg!$A$6:$A$2497,0)+5),"Tv. 15. § (2)")</f>
        <v>Tv. 15. § (2)</v>
      </c>
      <c r="G80" s="15" t="s">
        <v>348</v>
      </c>
      <c r="H80" s="16" t="str">
        <f aca="false">HYPERLINK("#'Forrásszöveg'!A"&amp;(MATCH("TV-S0383",Forrásszöveg!$A$6:$A$2497,0)+5),"15. § eleje")</f>
        <v>15. § eleje</v>
      </c>
    </row>
    <row r="81" customFormat="false" ht="38" hidden="false" customHeight="true" outlineLevel="0" collapsed="false">
      <c r="A81" s="15" t="s">
        <v>386</v>
      </c>
      <c r="B81" s="15" t="s">
        <v>235</v>
      </c>
      <c r="C81" s="15" t="s">
        <v>387</v>
      </c>
      <c r="D81" s="15" t="s">
        <v>388</v>
      </c>
      <c r="E81" s="15" t="s">
        <v>389</v>
      </c>
      <c r="F81" s="16" t="str">
        <f aca="false">HYPERLINK("#'Forrásszöveg'!A"&amp;(MATCH("TV-S0387",Forrásszöveg!$A$6:$A$2497,0)+5),"Tv. 16. § (1)")</f>
        <v>Tv. 16. § (1)</v>
      </c>
      <c r="G81" s="15" t="s">
        <v>390</v>
      </c>
      <c r="H81" s="16" t="str">
        <f aca="false">HYPERLINK("#'Forrásszöveg'!A"&amp;(MATCH("TV-S0387",Forrásszöveg!$A$6:$A$2497,0)+5),"16. § eleje")</f>
        <v>16. § eleje</v>
      </c>
    </row>
    <row r="82" customFormat="false" ht="38" hidden="false" customHeight="true" outlineLevel="0" collapsed="false">
      <c r="A82" s="15" t="s">
        <v>391</v>
      </c>
      <c r="B82" s="15" t="s">
        <v>235</v>
      </c>
      <c r="C82" s="15" t="s">
        <v>392</v>
      </c>
      <c r="D82" s="15" t="s">
        <v>393</v>
      </c>
      <c r="E82" s="15" t="s">
        <v>394</v>
      </c>
      <c r="F82" s="16" t="str">
        <f aca="false">HYPERLINK("#'Forrásszöveg'!A"&amp;(MATCH("TV-S0389",Forrásszöveg!$A$6:$A$2497,0)+5),"Tv. 16. § (2) a)")</f>
        <v>Tv. 16. § (2) a)</v>
      </c>
      <c r="G82" s="15" t="s">
        <v>390</v>
      </c>
      <c r="H82" s="16" t="str">
        <f aca="false">HYPERLINK("#'Forrásszöveg'!A"&amp;(MATCH("TV-S0387",Forrásszöveg!$A$6:$A$2497,0)+5),"16. § eleje")</f>
        <v>16. § eleje</v>
      </c>
    </row>
    <row r="83" customFormat="false" ht="38" hidden="false" customHeight="true" outlineLevel="0" collapsed="false">
      <c r="A83" s="15" t="s">
        <v>395</v>
      </c>
      <c r="B83" s="15" t="s">
        <v>235</v>
      </c>
      <c r="C83" s="15" t="s">
        <v>396</v>
      </c>
      <c r="D83" s="15" t="s">
        <v>397</v>
      </c>
      <c r="E83" s="15" t="s">
        <v>398</v>
      </c>
      <c r="F83" s="16" t="str">
        <f aca="false">HYPERLINK("#'Forrásszöveg'!A"&amp;(MATCH("TV-S0390",Forrásszöveg!$A$6:$A$2497,0)+5),"Tv. 16. § (2) b)")</f>
        <v>Tv. 16. § (2) b)</v>
      </c>
      <c r="G83" s="15" t="s">
        <v>390</v>
      </c>
      <c r="H83" s="16" t="str">
        <f aca="false">HYPERLINK("#'Forrásszöveg'!A"&amp;(MATCH("TV-S0387",Forrásszöveg!$A$6:$A$2497,0)+5),"16. § eleje")</f>
        <v>16. § eleje</v>
      </c>
    </row>
    <row r="84" customFormat="false" ht="38" hidden="false" customHeight="true" outlineLevel="0" collapsed="false">
      <c r="A84" s="15" t="s">
        <v>399</v>
      </c>
      <c r="B84" s="15" t="s">
        <v>235</v>
      </c>
      <c r="C84" s="15" t="s">
        <v>400</v>
      </c>
      <c r="D84" s="15" t="s">
        <v>401</v>
      </c>
      <c r="E84" s="15" t="s">
        <v>174</v>
      </c>
      <c r="F84" s="16" t="str">
        <f aca="false">HYPERLINK("#'Forrásszöveg'!A"&amp;(MATCH("TV-S0391",Forrásszöveg!$A$6:$A$2497,0)+5),"Tv. 16. § (3)")</f>
        <v>Tv. 16. § (3)</v>
      </c>
      <c r="G84" s="15" t="s">
        <v>390</v>
      </c>
      <c r="H84" s="16" t="str">
        <f aca="false">HYPERLINK("#'Forrásszöveg'!A"&amp;(MATCH("TV-S0387",Forrásszöveg!$A$6:$A$2497,0)+5),"16. § eleje")</f>
        <v>16. § eleje</v>
      </c>
    </row>
    <row r="85" customFormat="false" ht="38" hidden="false" customHeight="true" outlineLevel="0" collapsed="false">
      <c r="A85" s="15" t="s">
        <v>402</v>
      </c>
      <c r="B85" s="15" t="s">
        <v>235</v>
      </c>
      <c r="C85" s="15" t="s">
        <v>403</v>
      </c>
      <c r="D85" s="15" t="s">
        <v>404</v>
      </c>
      <c r="E85" s="15" t="s">
        <v>174</v>
      </c>
      <c r="F85" s="16" t="str">
        <f aca="false">HYPERLINK("#'Forrásszöveg'!A"&amp;(MATCH("TV-S0395",Forrásszöveg!$A$6:$A$2497,0)+5),"Tv. 17. § (1)")</f>
        <v>Tv. 17. § (1)</v>
      </c>
      <c r="G85" s="15" t="s">
        <v>405</v>
      </c>
      <c r="H85" s="16" t="str">
        <f aca="false">HYPERLINK("#'Forrásszöveg'!A"&amp;(MATCH("TV-S0395",Forrásszöveg!$A$6:$A$2497,0)+5),"17. § eleje")</f>
        <v>17. § eleje</v>
      </c>
    </row>
    <row r="86" customFormat="false" ht="38" hidden="false" customHeight="true" outlineLevel="0" collapsed="false">
      <c r="A86" s="15" t="s">
        <v>406</v>
      </c>
      <c r="B86" s="15" t="s">
        <v>407</v>
      </c>
      <c r="C86" s="15" t="s">
        <v>408</v>
      </c>
      <c r="D86" s="15" t="s">
        <v>409</v>
      </c>
      <c r="E86" s="15" t="s">
        <v>174</v>
      </c>
      <c r="F86" s="16" t="str">
        <f aca="false">HYPERLINK("#'Forrásszöveg'!A"&amp;(MATCH("TV-S0396",Forrásszöveg!$A$6:$A$2497,0)+5),"Tv. 17. § (2)")</f>
        <v>Tv. 17. § (2)</v>
      </c>
      <c r="G86" s="15" t="s">
        <v>405</v>
      </c>
      <c r="H86" s="16" t="str">
        <f aca="false">HYPERLINK("#'Forrásszöveg'!A"&amp;(MATCH("TV-S0395",Forrásszöveg!$A$6:$A$2497,0)+5),"17. § eleje")</f>
        <v>17. § eleje</v>
      </c>
    </row>
    <row r="87" customFormat="false" ht="38" hidden="false" customHeight="true" outlineLevel="0" collapsed="false">
      <c r="A87" s="15" t="s">
        <v>410</v>
      </c>
      <c r="B87" s="15" t="s">
        <v>235</v>
      </c>
      <c r="C87" s="15" t="s">
        <v>411</v>
      </c>
      <c r="D87" s="15" t="s">
        <v>412</v>
      </c>
      <c r="E87" s="15" t="s">
        <v>174</v>
      </c>
      <c r="F87" s="16" t="str">
        <f aca="false">HYPERLINK("#'Forrásszöveg'!A"&amp;(MATCH("TV-S0397",Forrásszöveg!$A$6:$A$2497,0)+5),"Tv. 17. § (3)")</f>
        <v>Tv. 17. § (3)</v>
      </c>
      <c r="G87" s="15" t="s">
        <v>405</v>
      </c>
      <c r="H87" s="16" t="str">
        <f aca="false">HYPERLINK("#'Forrásszöveg'!A"&amp;(MATCH("TV-S0395",Forrásszöveg!$A$6:$A$2497,0)+5),"17. § eleje")</f>
        <v>17. § eleje</v>
      </c>
    </row>
    <row r="88" customFormat="false" ht="52" hidden="false" customHeight="true" outlineLevel="0" collapsed="false">
      <c r="A88" s="15" t="s">
        <v>413</v>
      </c>
      <c r="B88" s="15" t="s">
        <v>367</v>
      </c>
      <c r="C88" s="15" t="s">
        <v>414</v>
      </c>
      <c r="D88" s="15" t="s">
        <v>212</v>
      </c>
      <c r="E88" s="15" t="s">
        <v>174</v>
      </c>
      <c r="F88" s="16" t="str">
        <f aca="false">HYPERLINK("#'Forrásszöveg'!A"&amp;(MATCH("TV-S0400",Forrásszöveg!$A$6:$A$2497,0)+5),"Tv. 18. § (1) a)")</f>
        <v>Tv. 18. § (1) a)</v>
      </c>
      <c r="G88" s="15" t="s">
        <v>415</v>
      </c>
      <c r="H88" s="16" t="str">
        <f aca="false">HYPERLINK("#'Forrásszöveg'!A"&amp;(MATCH("TV-S0399",Forrásszöveg!$A$6:$A$2497,0)+5),"18. § eleje")</f>
        <v>18. § eleje</v>
      </c>
    </row>
    <row r="89" customFormat="false" ht="52" hidden="false" customHeight="true" outlineLevel="0" collapsed="false">
      <c r="A89" s="15" t="s">
        <v>416</v>
      </c>
      <c r="B89" s="15" t="s">
        <v>367</v>
      </c>
      <c r="C89" s="15" t="s">
        <v>417</v>
      </c>
      <c r="D89" s="15" t="s">
        <v>212</v>
      </c>
      <c r="E89" s="15" t="s">
        <v>174</v>
      </c>
      <c r="F89" s="16" t="str">
        <f aca="false">HYPERLINK("#'Forrásszöveg'!A"&amp;(MATCH("TV-S0401",Forrásszöveg!$A$6:$A$2497,0)+5),"Tv. 18. § (1) b)")</f>
        <v>Tv. 18. § (1) b)</v>
      </c>
      <c r="G89" s="15" t="s">
        <v>415</v>
      </c>
      <c r="H89" s="16" t="str">
        <f aca="false">HYPERLINK("#'Forrásszöveg'!A"&amp;(MATCH("TV-S0399",Forrásszöveg!$A$6:$A$2497,0)+5),"18. § eleje")</f>
        <v>18. § eleje</v>
      </c>
    </row>
    <row r="90" customFormat="false" ht="52" hidden="false" customHeight="true" outlineLevel="0" collapsed="false">
      <c r="A90" s="15" t="s">
        <v>418</v>
      </c>
      <c r="B90" s="15" t="s">
        <v>367</v>
      </c>
      <c r="C90" s="15" t="s">
        <v>419</v>
      </c>
      <c r="D90" s="15" t="s">
        <v>212</v>
      </c>
      <c r="E90" s="15" t="s">
        <v>174</v>
      </c>
      <c r="F90" s="16" t="str">
        <f aca="false">HYPERLINK("#'Forrásszöveg'!A"&amp;(MATCH("TV-S0402",Forrásszöveg!$A$6:$A$2497,0)+5),"Tv. 18. § (1) c)")</f>
        <v>Tv. 18. § (1) c)</v>
      </c>
      <c r="G90" s="15" t="s">
        <v>415</v>
      </c>
      <c r="H90" s="16" t="str">
        <f aca="false">HYPERLINK("#'Forrásszöveg'!A"&amp;(MATCH("TV-S0399",Forrásszöveg!$A$6:$A$2497,0)+5),"18. § eleje")</f>
        <v>18. § eleje</v>
      </c>
    </row>
    <row r="91" customFormat="false" ht="52" hidden="false" customHeight="true" outlineLevel="0" collapsed="false">
      <c r="A91" s="15" t="s">
        <v>420</v>
      </c>
      <c r="B91" s="15" t="s">
        <v>367</v>
      </c>
      <c r="C91" s="15" t="s">
        <v>421</v>
      </c>
      <c r="D91" s="15" t="s">
        <v>422</v>
      </c>
      <c r="E91" s="15" t="s">
        <v>174</v>
      </c>
      <c r="F91" s="16" t="str">
        <f aca="false">HYPERLINK("#'Forrásszöveg'!A"&amp;(MATCH("TV-S0404",Forrásszöveg!$A$6:$A$2497,0)+5),"Tv. 18. § (1) e)")</f>
        <v>Tv. 18. § (1) e)</v>
      </c>
      <c r="G91" s="15" t="s">
        <v>415</v>
      </c>
      <c r="H91" s="16" t="str">
        <f aca="false">HYPERLINK("#'Forrásszöveg'!A"&amp;(MATCH("TV-S0399",Forrásszöveg!$A$6:$A$2497,0)+5),"18. § eleje")</f>
        <v>18. § eleje</v>
      </c>
    </row>
    <row r="92" customFormat="false" ht="52" hidden="false" customHeight="true" outlineLevel="0" collapsed="false">
      <c r="A92" s="15" t="s">
        <v>423</v>
      </c>
      <c r="B92" s="15" t="s">
        <v>367</v>
      </c>
      <c r="C92" s="15" t="s">
        <v>424</v>
      </c>
      <c r="D92" s="15" t="s">
        <v>212</v>
      </c>
      <c r="E92" s="15" t="s">
        <v>425</v>
      </c>
      <c r="F92" s="16" t="str">
        <f aca="false">HYPERLINK("#'Forrásszöveg'!A"&amp;(MATCH("TV-S0406",Forrásszöveg!$A$6:$A$2497,0)+5),"Tv. 18. § (1) f) fa)")</f>
        <v>Tv. 18. § (1) f) fa)</v>
      </c>
      <c r="G92" s="15" t="s">
        <v>415</v>
      </c>
      <c r="H92" s="16" t="str">
        <f aca="false">HYPERLINK("#'Forrásszöveg'!A"&amp;(MATCH("TV-S0399",Forrásszöveg!$A$6:$A$2497,0)+5),"18. § eleje")</f>
        <v>18. § eleje</v>
      </c>
    </row>
    <row r="93" customFormat="false" ht="52" hidden="false" customHeight="true" outlineLevel="0" collapsed="false">
      <c r="A93" s="15" t="s">
        <v>426</v>
      </c>
      <c r="B93" s="15" t="s">
        <v>367</v>
      </c>
      <c r="C93" s="15" t="s">
        <v>427</v>
      </c>
      <c r="D93" s="15" t="s">
        <v>212</v>
      </c>
      <c r="E93" s="15" t="s">
        <v>174</v>
      </c>
      <c r="F93" s="16" t="str">
        <f aca="false">HYPERLINK("#'Forrásszöveg'!A"&amp;(MATCH("TV-S0407",Forrásszöveg!$A$6:$A$2497,0)+5),"Tv. 18. § (1) f) fb)")</f>
        <v>Tv. 18. § (1) f) fb)</v>
      </c>
      <c r="G93" s="15" t="s">
        <v>415</v>
      </c>
      <c r="H93" s="16" t="str">
        <f aca="false">HYPERLINK("#'Forrásszöveg'!A"&amp;(MATCH("TV-S0399",Forrásszöveg!$A$6:$A$2497,0)+5),"18. § eleje")</f>
        <v>18. § eleje</v>
      </c>
    </row>
    <row r="94" customFormat="false" ht="52" hidden="false" customHeight="true" outlineLevel="0" collapsed="false">
      <c r="A94" s="15" t="s">
        <v>428</v>
      </c>
      <c r="B94" s="15" t="s">
        <v>367</v>
      </c>
      <c r="C94" s="15" t="s">
        <v>429</v>
      </c>
      <c r="D94" s="15" t="s">
        <v>212</v>
      </c>
      <c r="E94" s="15" t="s">
        <v>174</v>
      </c>
      <c r="F94" s="16" t="str">
        <f aca="false">HYPERLINK("#'Forrásszöveg'!A"&amp;(MATCH("TV-S0408",Forrásszöveg!$A$6:$A$2497,0)+5),"Tv. 18. § (1) f) fc)")</f>
        <v>Tv. 18. § (1) f) fc)</v>
      </c>
      <c r="G94" s="15" t="s">
        <v>415</v>
      </c>
      <c r="H94" s="16" t="str">
        <f aca="false">HYPERLINK("#'Forrásszöveg'!A"&amp;(MATCH("TV-S0399",Forrásszöveg!$A$6:$A$2497,0)+5),"18. § eleje")</f>
        <v>18. § eleje</v>
      </c>
    </row>
    <row r="95" customFormat="false" ht="52" hidden="false" customHeight="true" outlineLevel="0" collapsed="false">
      <c r="A95" s="15" t="s">
        <v>430</v>
      </c>
      <c r="B95" s="15" t="s">
        <v>367</v>
      </c>
      <c r="C95" s="15" t="s">
        <v>431</v>
      </c>
      <c r="D95" s="15" t="s">
        <v>212</v>
      </c>
      <c r="E95" s="15" t="s">
        <v>174</v>
      </c>
      <c r="F95" s="16" t="str">
        <f aca="false">HYPERLINK("#'Forrásszöveg'!A"&amp;(MATCH("TV-S0409",Forrásszöveg!$A$6:$A$2497,0)+5),"Tv. 18. § (1) f) fd)")</f>
        <v>Tv. 18. § (1) f) fd)</v>
      </c>
      <c r="G95" s="15" t="s">
        <v>415</v>
      </c>
      <c r="H95" s="16" t="str">
        <f aca="false">HYPERLINK("#'Forrásszöveg'!A"&amp;(MATCH("TV-S0399",Forrásszöveg!$A$6:$A$2497,0)+5),"18. § eleje")</f>
        <v>18. § eleje</v>
      </c>
    </row>
    <row r="96" customFormat="false" ht="52" hidden="false" customHeight="true" outlineLevel="0" collapsed="false">
      <c r="A96" s="15" t="s">
        <v>432</v>
      </c>
      <c r="B96" s="15" t="s">
        <v>367</v>
      </c>
      <c r="C96" s="15" t="s">
        <v>433</v>
      </c>
      <c r="D96" s="15" t="s">
        <v>212</v>
      </c>
      <c r="E96" s="15" t="s">
        <v>174</v>
      </c>
      <c r="F96" s="16" t="str">
        <f aca="false">HYPERLINK("#'Forrásszöveg'!A"&amp;(MATCH("TV-S0410",Forrásszöveg!$A$6:$A$2497,0)+5),"Tv. 18. § (1) g)")</f>
        <v>Tv. 18. § (1) g)</v>
      </c>
      <c r="G96" s="15" t="s">
        <v>415</v>
      </c>
      <c r="H96" s="16" t="str">
        <f aca="false">HYPERLINK("#'Forrásszöveg'!A"&amp;(MATCH("TV-S0399",Forrásszöveg!$A$6:$A$2497,0)+5),"18. § eleje")</f>
        <v>18. § eleje</v>
      </c>
    </row>
    <row r="97" customFormat="false" ht="52" hidden="false" customHeight="true" outlineLevel="0" collapsed="false">
      <c r="A97" s="15" t="s">
        <v>434</v>
      </c>
      <c r="B97" s="15" t="s">
        <v>367</v>
      </c>
      <c r="C97" s="15" t="s">
        <v>435</v>
      </c>
      <c r="D97" s="15" t="s">
        <v>212</v>
      </c>
      <c r="E97" s="15" t="s">
        <v>174</v>
      </c>
      <c r="F97" s="16" t="str">
        <f aca="false">HYPERLINK("#'Forrásszöveg'!A"&amp;(MATCH("TV-S0411",Forrásszöveg!$A$6:$A$2497,0)+5),"Tv. 18. § (1) h)")</f>
        <v>Tv. 18. § (1) h)</v>
      </c>
      <c r="G97" s="15" t="s">
        <v>415</v>
      </c>
      <c r="H97" s="16" t="str">
        <f aca="false">HYPERLINK("#'Forrásszöveg'!A"&amp;(MATCH("TV-S0399",Forrásszöveg!$A$6:$A$2497,0)+5),"18. § eleje")</f>
        <v>18. § eleje</v>
      </c>
    </row>
    <row r="98" customFormat="false" ht="38" hidden="false" customHeight="true" outlineLevel="0" collapsed="false">
      <c r="A98" s="15" t="s">
        <v>436</v>
      </c>
      <c r="B98" s="15" t="s">
        <v>437</v>
      </c>
      <c r="C98" s="15" t="s">
        <v>438</v>
      </c>
      <c r="D98" s="15" t="s">
        <v>212</v>
      </c>
      <c r="E98" s="15" t="s">
        <v>174</v>
      </c>
      <c r="F98" s="16" t="str">
        <f aca="false">HYPERLINK("#'Forrásszöveg'!A"&amp;(MATCH("TV-S0413",Forrásszöveg!$A$6:$A$2497,0)+5),"Tv. 18. § (2) a)")</f>
        <v>Tv. 18. § (2) a)</v>
      </c>
      <c r="G98" s="15" t="s">
        <v>415</v>
      </c>
      <c r="H98" s="16" t="str">
        <f aca="false">HYPERLINK("#'Forrásszöveg'!A"&amp;(MATCH("TV-S0399",Forrásszöveg!$A$6:$A$2497,0)+5),"18. § eleje")</f>
        <v>18. § eleje</v>
      </c>
    </row>
    <row r="99" customFormat="false" ht="38" hidden="false" customHeight="true" outlineLevel="0" collapsed="false">
      <c r="A99" s="15" t="s">
        <v>439</v>
      </c>
      <c r="B99" s="15" t="s">
        <v>437</v>
      </c>
      <c r="C99" s="15" t="s">
        <v>440</v>
      </c>
      <c r="D99" s="15" t="s">
        <v>212</v>
      </c>
      <c r="E99" s="15" t="s">
        <v>174</v>
      </c>
      <c r="F99" s="16" t="str">
        <f aca="false">HYPERLINK("#'Forrásszöveg'!A"&amp;(MATCH("TV-S0414",Forrásszöveg!$A$6:$A$2497,0)+5),"Tv. 18. § (2) b)")</f>
        <v>Tv. 18. § (2) b)</v>
      </c>
      <c r="G99" s="15" t="s">
        <v>415</v>
      </c>
      <c r="H99" s="16" t="str">
        <f aca="false">HYPERLINK("#'Forrásszöveg'!A"&amp;(MATCH("TV-S0399",Forrásszöveg!$A$6:$A$2497,0)+5),"18. § eleje")</f>
        <v>18. § eleje</v>
      </c>
    </row>
    <row r="100" customFormat="false" ht="38" hidden="false" customHeight="true" outlineLevel="0" collapsed="false">
      <c r="A100" s="15" t="s">
        <v>441</v>
      </c>
      <c r="B100" s="15" t="s">
        <v>437</v>
      </c>
      <c r="C100" s="15" t="s">
        <v>442</v>
      </c>
      <c r="D100" s="15" t="s">
        <v>212</v>
      </c>
      <c r="E100" s="15" t="s">
        <v>174</v>
      </c>
      <c r="F100" s="16" t="str">
        <f aca="false">HYPERLINK("#'Forrásszöveg'!A"&amp;(MATCH("TV-S0415",Forrásszöveg!$A$6:$A$2497,0)+5),"Tv. 18. § (2) c)")</f>
        <v>Tv. 18. § (2) c)</v>
      </c>
      <c r="G100" s="15" t="s">
        <v>415</v>
      </c>
      <c r="H100" s="16" t="str">
        <f aca="false">HYPERLINK("#'Forrásszöveg'!A"&amp;(MATCH("TV-S0399",Forrásszöveg!$A$6:$A$2497,0)+5),"18. § eleje")</f>
        <v>18. § eleje</v>
      </c>
    </row>
    <row r="101" customFormat="false" ht="38" hidden="false" customHeight="true" outlineLevel="0" collapsed="false">
      <c r="A101" s="15" t="s">
        <v>443</v>
      </c>
      <c r="B101" s="15" t="s">
        <v>444</v>
      </c>
      <c r="C101" s="15" t="s">
        <v>445</v>
      </c>
      <c r="D101" s="15" t="s">
        <v>446</v>
      </c>
      <c r="E101" s="15" t="s">
        <v>174</v>
      </c>
      <c r="F101" s="16" t="str">
        <f aca="false">HYPERLINK("#'Forrásszöveg'!A"&amp;(MATCH("TV-S0416",Forrásszöveg!$A$6:$A$2497,0)+5),"Tv. 18. § (3)")</f>
        <v>Tv. 18. § (3)</v>
      </c>
      <c r="G101" s="15" t="s">
        <v>415</v>
      </c>
      <c r="H101" s="16" t="str">
        <f aca="false">HYPERLINK("#'Forrásszöveg'!A"&amp;(MATCH("TV-S0399",Forrásszöveg!$A$6:$A$2497,0)+5),"18. § eleje")</f>
        <v>18. § eleje</v>
      </c>
    </row>
    <row r="102" customFormat="false" ht="38" hidden="false" customHeight="true" outlineLevel="0" collapsed="false">
      <c r="A102" s="15" t="s">
        <v>447</v>
      </c>
      <c r="B102" s="15" t="s">
        <v>343</v>
      </c>
      <c r="C102" s="15" t="s">
        <v>448</v>
      </c>
      <c r="D102" s="15" t="s">
        <v>212</v>
      </c>
      <c r="E102" s="15" t="s">
        <v>174</v>
      </c>
      <c r="F102" s="16" t="str">
        <f aca="false">HYPERLINK("#'Forrásszöveg'!A"&amp;(MATCH("TV-S0417",Forrásszöveg!$A$6:$A$2497,0)+5),"Tv. 18. § (4)")</f>
        <v>Tv. 18. § (4)</v>
      </c>
      <c r="G102" s="15" t="s">
        <v>415</v>
      </c>
      <c r="H102" s="16" t="str">
        <f aca="false">HYPERLINK("#'Forrásszöveg'!A"&amp;(MATCH("TV-S0399",Forrásszöveg!$A$6:$A$2497,0)+5),"18. § eleje")</f>
        <v>18. § eleje</v>
      </c>
    </row>
    <row r="103" customFormat="false" ht="52" hidden="false" customHeight="true" outlineLevel="0" collapsed="false">
      <c r="A103" s="15" t="s">
        <v>449</v>
      </c>
      <c r="B103" s="15" t="s">
        <v>450</v>
      </c>
      <c r="C103" s="15" t="s">
        <v>451</v>
      </c>
      <c r="D103" s="15" t="s">
        <v>212</v>
      </c>
      <c r="E103" s="15" t="s">
        <v>174</v>
      </c>
      <c r="F103" s="16" t="str">
        <f aca="false">HYPERLINK("#'Forrásszöveg'!A"&amp;(MATCH("TV-S0420",Forrásszöveg!$A$6:$A$2497,0)+5),"Tv. 19. § (1)")</f>
        <v>Tv. 19. § (1)</v>
      </c>
      <c r="G103" s="15" t="s">
        <v>452</v>
      </c>
      <c r="H103" s="16" t="str">
        <f aca="false">HYPERLINK("#'Forrásszöveg'!A"&amp;(MATCH("TV-S0420",Forrásszöveg!$A$6:$A$2497,0)+5),"19. § eleje")</f>
        <v>19. § eleje</v>
      </c>
    </row>
    <row r="104" customFormat="false" ht="52" hidden="false" customHeight="true" outlineLevel="0" collapsed="false">
      <c r="A104" s="15" t="s">
        <v>453</v>
      </c>
      <c r="B104" s="15" t="s">
        <v>437</v>
      </c>
      <c r="C104" s="15" t="s">
        <v>454</v>
      </c>
      <c r="D104" s="15" t="s">
        <v>455</v>
      </c>
      <c r="E104" s="15" t="s">
        <v>174</v>
      </c>
      <c r="F104" s="16" t="str">
        <f aca="false">HYPERLINK("#'Forrásszöveg'!A"&amp;(MATCH("TV-S0420",Forrásszöveg!$A$6:$A$2497,0)+5),"Tv. 19. § (1)")</f>
        <v>Tv. 19. § (1)</v>
      </c>
      <c r="G104" s="15" t="s">
        <v>452</v>
      </c>
      <c r="H104" s="16" t="str">
        <f aca="false">HYPERLINK("#'Forrásszöveg'!A"&amp;(MATCH("TV-S0420",Forrásszöveg!$A$6:$A$2497,0)+5),"19. § eleje")</f>
        <v>19. § eleje</v>
      </c>
    </row>
    <row r="105" customFormat="false" ht="52" hidden="false" customHeight="true" outlineLevel="0" collapsed="false">
      <c r="A105" s="15" t="s">
        <v>456</v>
      </c>
      <c r="B105" s="15" t="s">
        <v>450</v>
      </c>
      <c r="C105" s="15" t="s">
        <v>457</v>
      </c>
      <c r="D105" s="15" t="s">
        <v>212</v>
      </c>
      <c r="E105" s="15" t="s">
        <v>174</v>
      </c>
      <c r="F105" s="16" t="str">
        <f aca="false">HYPERLINK("#'Forrásszöveg'!A"&amp;(MATCH("TV-S0422",Forrásszöveg!$A$6:$A$2497,0)+5),"Tv. 19. § (2) a)")</f>
        <v>Tv. 19. § (2) a)</v>
      </c>
      <c r="G105" s="15" t="s">
        <v>452</v>
      </c>
      <c r="H105" s="16" t="str">
        <f aca="false">HYPERLINK("#'Forrásszöveg'!A"&amp;(MATCH("TV-S0420",Forrásszöveg!$A$6:$A$2497,0)+5),"19. § eleje")</f>
        <v>19. § eleje</v>
      </c>
    </row>
    <row r="106" customFormat="false" ht="52" hidden="false" customHeight="true" outlineLevel="0" collapsed="false">
      <c r="A106" s="15" t="s">
        <v>458</v>
      </c>
      <c r="B106" s="15" t="s">
        <v>450</v>
      </c>
      <c r="C106" s="15" t="s">
        <v>459</v>
      </c>
      <c r="D106" s="15" t="s">
        <v>212</v>
      </c>
      <c r="E106" s="15" t="s">
        <v>174</v>
      </c>
      <c r="F106" s="16" t="str">
        <f aca="false">HYPERLINK("#'Forrásszöveg'!A"&amp;(MATCH("TV-S0423",Forrásszöveg!$A$6:$A$2497,0)+5),"Tv. 19. § (2) b)")</f>
        <v>Tv. 19. § (2) b)</v>
      </c>
      <c r="G106" s="15" t="s">
        <v>452</v>
      </c>
      <c r="H106" s="16" t="str">
        <f aca="false">HYPERLINK("#'Forrásszöveg'!A"&amp;(MATCH("TV-S0420",Forrásszöveg!$A$6:$A$2497,0)+5),"19. § eleje")</f>
        <v>19. § eleje</v>
      </c>
    </row>
    <row r="107" customFormat="false" ht="52" hidden="false" customHeight="true" outlineLevel="0" collapsed="false">
      <c r="A107" s="15" t="s">
        <v>460</v>
      </c>
      <c r="B107" s="15" t="s">
        <v>450</v>
      </c>
      <c r="C107" s="15" t="s">
        <v>461</v>
      </c>
      <c r="D107" s="15" t="s">
        <v>212</v>
      </c>
      <c r="E107" s="15" t="s">
        <v>174</v>
      </c>
      <c r="F107" s="16" t="str">
        <f aca="false">HYPERLINK("#'Forrásszöveg'!A"&amp;(MATCH("TV-S0424",Forrásszöveg!$A$6:$A$2497,0)+5),"Tv. 19. § (2) c)")</f>
        <v>Tv. 19. § (2) c)</v>
      </c>
      <c r="G107" s="15" t="s">
        <v>452</v>
      </c>
      <c r="H107" s="16" t="str">
        <f aca="false">HYPERLINK("#'Forrásszöveg'!A"&amp;(MATCH("TV-S0420",Forrásszöveg!$A$6:$A$2497,0)+5),"19. § eleje")</f>
        <v>19. § eleje</v>
      </c>
    </row>
    <row r="108" customFormat="false" ht="52" hidden="false" customHeight="true" outlineLevel="0" collapsed="false">
      <c r="A108" s="15" t="s">
        <v>462</v>
      </c>
      <c r="B108" s="15" t="s">
        <v>450</v>
      </c>
      <c r="C108" s="15" t="s">
        <v>419</v>
      </c>
      <c r="D108" s="15" t="s">
        <v>212</v>
      </c>
      <c r="E108" s="15" t="s">
        <v>174</v>
      </c>
      <c r="F108" s="16" t="str">
        <f aca="false">HYPERLINK("#'Forrásszöveg'!A"&amp;(MATCH("TV-S0425",Forrásszöveg!$A$6:$A$2497,0)+5),"Tv. 19. § (2) d)")</f>
        <v>Tv. 19. § (2) d)</v>
      </c>
      <c r="G108" s="15" t="s">
        <v>452</v>
      </c>
      <c r="H108" s="16" t="str">
        <f aca="false">HYPERLINK("#'Forrásszöveg'!A"&amp;(MATCH("TV-S0420",Forrásszöveg!$A$6:$A$2497,0)+5),"19. § eleje")</f>
        <v>19. § eleje</v>
      </c>
    </row>
    <row r="109" customFormat="false" ht="52" hidden="false" customHeight="true" outlineLevel="0" collapsed="false">
      <c r="A109" s="15" t="s">
        <v>463</v>
      </c>
      <c r="B109" s="15" t="s">
        <v>450</v>
      </c>
      <c r="C109" s="15" t="s">
        <v>424</v>
      </c>
      <c r="D109" s="15" t="s">
        <v>212</v>
      </c>
      <c r="E109" s="15" t="s">
        <v>425</v>
      </c>
      <c r="F109" s="16" t="str">
        <f aca="false">HYPERLINK("#'Forrásszöveg'!A"&amp;(MATCH("TV-S0427",Forrásszöveg!$A$6:$A$2497,0)+5),"Tv. 19. § (2) e) ea)")</f>
        <v>Tv. 19. § (2) e) ea)</v>
      </c>
      <c r="G109" s="15" t="s">
        <v>452</v>
      </c>
      <c r="H109" s="16" t="str">
        <f aca="false">HYPERLINK("#'Forrásszöveg'!A"&amp;(MATCH("TV-S0420",Forrásszöveg!$A$6:$A$2497,0)+5),"19. § eleje")</f>
        <v>19. § eleje</v>
      </c>
    </row>
    <row r="110" customFormat="false" ht="52" hidden="false" customHeight="true" outlineLevel="0" collapsed="false">
      <c r="A110" s="15" t="s">
        <v>464</v>
      </c>
      <c r="B110" s="15" t="s">
        <v>450</v>
      </c>
      <c r="C110" s="15" t="s">
        <v>427</v>
      </c>
      <c r="D110" s="15" t="s">
        <v>212</v>
      </c>
      <c r="E110" s="15" t="s">
        <v>174</v>
      </c>
      <c r="F110" s="16" t="str">
        <f aca="false">HYPERLINK("#'Forrásszöveg'!A"&amp;(MATCH("TV-S0428",Forrásszöveg!$A$6:$A$2497,0)+5),"Tv. 19. § (2) e) eb)")</f>
        <v>Tv. 19. § (2) e) eb)</v>
      </c>
      <c r="G110" s="15" t="s">
        <v>452</v>
      </c>
      <c r="H110" s="16" t="str">
        <f aca="false">HYPERLINK("#'Forrásszöveg'!A"&amp;(MATCH("TV-S0420",Forrásszöveg!$A$6:$A$2497,0)+5),"19. § eleje")</f>
        <v>19. § eleje</v>
      </c>
    </row>
    <row r="111" customFormat="false" ht="52" hidden="false" customHeight="true" outlineLevel="0" collapsed="false">
      <c r="A111" s="15" t="s">
        <v>465</v>
      </c>
      <c r="B111" s="15" t="s">
        <v>450</v>
      </c>
      <c r="C111" s="15" t="s">
        <v>466</v>
      </c>
      <c r="D111" s="15" t="s">
        <v>212</v>
      </c>
      <c r="E111" s="15" t="s">
        <v>174</v>
      </c>
      <c r="F111" s="16" t="str">
        <f aca="false">HYPERLINK("#'Forrásszöveg'!A"&amp;(MATCH("TV-S0429",Forrásszöveg!$A$6:$A$2497,0)+5),"Tv. 19. § (2) e) ec)")</f>
        <v>Tv. 19. § (2) e) ec)</v>
      </c>
      <c r="G111" s="15" t="s">
        <v>452</v>
      </c>
      <c r="H111" s="16" t="str">
        <f aca="false">HYPERLINK("#'Forrásszöveg'!A"&amp;(MATCH("TV-S0420",Forrásszöveg!$A$6:$A$2497,0)+5),"19. § eleje")</f>
        <v>19. § eleje</v>
      </c>
    </row>
    <row r="112" customFormat="false" ht="52" hidden="false" customHeight="true" outlineLevel="0" collapsed="false">
      <c r="A112" s="15" t="s">
        <v>467</v>
      </c>
      <c r="B112" s="15" t="s">
        <v>450</v>
      </c>
      <c r="C112" s="15" t="s">
        <v>468</v>
      </c>
      <c r="D112" s="15" t="s">
        <v>212</v>
      </c>
      <c r="E112" s="15" t="s">
        <v>174</v>
      </c>
      <c r="F112" s="16" t="str">
        <f aca="false">HYPERLINK("#'Forrásszöveg'!A"&amp;(MATCH("TV-S0430",Forrásszöveg!$A$6:$A$2497,0)+5),"Tv. 19. § (2) e) ed)")</f>
        <v>Tv. 19. § (2) e) ed)</v>
      </c>
      <c r="G112" s="15" t="s">
        <v>452</v>
      </c>
      <c r="H112" s="16" t="str">
        <f aca="false">HYPERLINK("#'Forrásszöveg'!A"&amp;(MATCH("TV-S0420",Forrásszöveg!$A$6:$A$2497,0)+5),"19. § eleje")</f>
        <v>19. § eleje</v>
      </c>
    </row>
    <row r="113" customFormat="false" ht="52" hidden="false" customHeight="true" outlineLevel="0" collapsed="false">
      <c r="A113" s="15" t="s">
        <v>469</v>
      </c>
      <c r="B113" s="15" t="s">
        <v>450</v>
      </c>
      <c r="C113" s="15" t="s">
        <v>470</v>
      </c>
      <c r="D113" s="15" t="s">
        <v>212</v>
      </c>
      <c r="E113" s="15" t="s">
        <v>174</v>
      </c>
      <c r="F113" s="16" t="str">
        <f aca="false">HYPERLINK("#'Forrásszöveg'!A"&amp;(MATCH("TV-S0431",Forrásszöveg!$A$6:$A$2497,0)+5),"Tv. 19. § (2) f)")</f>
        <v>Tv. 19. § (2) f)</v>
      </c>
      <c r="G113" s="15" t="s">
        <v>452</v>
      </c>
      <c r="H113" s="16" t="str">
        <f aca="false">HYPERLINK("#'Forrásszöveg'!A"&amp;(MATCH("TV-S0420",Forrásszöveg!$A$6:$A$2497,0)+5),"19. § eleje")</f>
        <v>19. § eleje</v>
      </c>
    </row>
    <row r="114" customFormat="false" ht="52" hidden="false" customHeight="true" outlineLevel="0" collapsed="false">
      <c r="A114" s="15" t="s">
        <v>471</v>
      </c>
      <c r="B114" s="15" t="s">
        <v>450</v>
      </c>
      <c r="C114" s="15" t="s">
        <v>472</v>
      </c>
      <c r="D114" s="15" t="s">
        <v>212</v>
      </c>
      <c r="E114" s="15" t="s">
        <v>174</v>
      </c>
      <c r="F114" s="16" t="str">
        <f aca="false">HYPERLINK("#'Forrásszöveg'!A"&amp;(MATCH("TV-S0432",Forrásszöveg!$A$6:$A$2497,0)+5),"Tv. 19. § (2) g)")</f>
        <v>Tv. 19. § (2) g)</v>
      </c>
      <c r="G114" s="15" t="s">
        <v>452</v>
      </c>
      <c r="H114" s="16" t="str">
        <f aca="false">HYPERLINK("#'Forrásszöveg'!A"&amp;(MATCH("TV-S0420",Forrásszöveg!$A$6:$A$2497,0)+5),"19. § eleje")</f>
        <v>19. § eleje</v>
      </c>
    </row>
    <row r="115" customFormat="false" ht="52" hidden="false" customHeight="true" outlineLevel="0" collapsed="false">
      <c r="A115" s="15" t="s">
        <v>473</v>
      </c>
      <c r="B115" s="15" t="s">
        <v>437</v>
      </c>
      <c r="C115" s="15" t="s">
        <v>474</v>
      </c>
      <c r="D115" s="15" t="s">
        <v>212</v>
      </c>
      <c r="E115" s="15" t="s">
        <v>174</v>
      </c>
      <c r="F115" s="16" t="str">
        <f aca="false">HYPERLINK("#'Forrásszöveg'!A"&amp;(MATCH("TV-S0434",Forrásszöveg!$A$6:$A$2497,0)+5),"Tv. 19. § (3) a)")</f>
        <v>Tv. 19. § (3) a)</v>
      </c>
      <c r="G115" s="15" t="s">
        <v>452</v>
      </c>
      <c r="H115" s="16" t="str">
        <f aca="false">HYPERLINK("#'Forrásszöveg'!A"&amp;(MATCH("TV-S0420",Forrásszöveg!$A$6:$A$2497,0)+5),"19. § eleje")</f>
        <v>19. § eleje</v>
      </c>
    </row>
    <row r="116" customFormat="false" ht="52" hidden="false" customHeight="true" outlineLevel="0" collapsed="false">
      <c r="A116" s="15" t="s">
        <v>475</v>
      </c>
      <c r="B116" s="15" t="s">
        <v>437</v>
      </c>
      <c r="C116" s="15" t="s">
        <v>476</v>
      </c>
      <c r="D116" s="15" t="s">
        <v>212</v>
      </c>
      <c r="E116" s="15" t="s">
        <v>174</v>
      </c>
      <c r="F116" s="16" t="str">
        <f aca="false">HYPERLINK("#'Forrásszöveg'!A"&amp;(MATCH("TV-S0435",Forrásszöveg!$A$6:$A$2497,0)+5),"Tv. 19. § (3) b)")</f>
        <v>Tv. 19. § (3) b)</v>
      </c>
      <c r="G116" s="15" t="s">
        <v>452</v>
      </c>
      <c r="H116" s="16" t="str">
        <f aca="false">HYPERLINK("#'Forrásszöveg'!A"&amp;(MATCH("TV-S0420",Forrásszöveg!$A$6:$A$2497,0)+5),"19. § eleje")</f>
        <v>19. § eleje</v>
      </c>
    </row>
    <row r="117" customFormat="false" ht="52" hidden="false" customHeight="true" outlineLevel="0" collapsed="false">
      <c r="A117" s="15" t="s">
        <v>477</v>
      </c>
      <c r="B117" s="15" t="s">
        <v>437</v>
      </c>
      <c r="C117" s="15" t="s">
        <v>478</v>
      </c>
      <c r="D117" s="15" t="s">
        <v>212</v>
      </c>
      <c r="E117" s="15" t="s">
        <v>174</v>
      </c>
      <c r="F117" s="16" t="str">
        <f aca="false">HYPERLINK("#'Forrásszöveg'!A"&amp;(MATCH("TV-S0436",Forrásszöveg!$A$6:$A$2497,0)+5),"Tv. 19. § (3) c)")</f>
        <v>Tv. 19. § (3) c)</v>
      </c>
      <c r="G117" s="15" t="s">
        <v>452</v>
      </c>
      <c r="H117" s="16" t="str">
        <f aca="false">HYPERLINK("#'Forrásszöveg'!A"&amp;(MATCH("TV-S0420",Forrásszöveg!$A$6:$A$2497,0)+5),"19. § eleje")</f>
        <v>19. § eleje</v>
      </c>
    </row>
    <row r="118" customFormat="false" ht="38" hidden="false" customHeight="true" outlineLevel="0" collapsed="false">
      <c r="A118" s="15" t="s">
        <v>479</v>
      </c>
      <c r="B118" s="15" t="s">
        <v>235</v>
      </c>
      <c r="C118" s="15" t="s">
        <v>480</v>
      </c>
      <c r="D118" s="15" t="s">
        <v>481</v>
      </c>
      <c r="E118" s="15" t="s">
        <v>174</v>
      </c>
      <c r="F118" s="16" t="str">
        <f aca="false">HYPERLINK("#'Forrásszöveg'!A"&amp;(MATCH("TV-S0941",Forrásszöveg!$A$6:$A$2497,0)+5),"Tv. 65. § (4)")</f>
        <v>Tv. 65. § (4)</v>
      </c>
      <c r="G118" s="15" t="s">
        <v>482</v>
      </c>
      <c r="H118" s="16" t="str">
        <f aca="false">HYPERLINK("#'Forrásszöveg'!A"&amp;(MATCH("TV-S0938",Forrásszöveg!$A$6:$A$2497,0)+5),"65. § eleje")</f>
        <v>65. § eleje</v>
      </c>
    </row>
    <row r="119" customFormat="false" ht="38" hidden="false" customHeight="true" outlineLevel="0" collapsed="false">
      <c r="A119" s="15" t="s">
        <v>483</v>
      </c>
      <c r="B119" s="15" t="s">
        <v>235</v>
      </c>
      <c r="C119" s="15" t="s">
        <v>484</v>
      </c>
      <c r="D119" s="15" t="s">
        <v>481</v>
      </c>
      <c r="E119" s="15" t="s">
        <v>174</v>
      </c>
      <c r="F119" s="16" t="str">
        <f aca="false">HYPERLINK("#'Forrásszöveg'!A"&amp;(MATCH("TV-S0942",Forrásszöveg!$A$6:$A$2497,0)+5),"Tv. 65. § (5)")</f>
        <v>Tv. 65. § (5)</v>
      </c>
      <c r="G119" s="15" t="s">
        <v>482</v>
      </c>
      <c r="H119" s="16" t="str">
        <f aca="false">HYPERLINK("#'Forrásszöveg'!A"&amp;(MATCH("TV-S0938",Forrásszöveg!$A$6:$A$2497,0)+5),"65. § eleje")</f>
        <v>65. § eleje</v>
      </c>
    </row>
    <row r="120" customFormat="false" ht="38" hidden="false" customHeight="true" outlineLevel="0" collapsed="false">
      <c r="A120" s="15" t="s">
        <v>485</v>
      </c>
      <c r="B120" s="15" t="s">
        <v>235</v>
      </c>
      <c r="C120" s="15" t="s">
        <v>470</v>
      </c>
      <c r="D120" s="15" t="s">
        <v>486</v>
      </c>
      <c r="E120" s="15" t="s">
        <v>487</v>
      </c>
      <c r="F120" s="16" t="str">
        <f aca="false">HYPERLINK("#'Forrásszöveg'!A"&amp;(MATCH("TV-S0947",Forrásszöveg!$A$6:$A$2497,0)+5),"Tv. 66. § (1)")</f>
        <v>Tv. 66. § (1)</v>
      </c>
      <c r="G120" s="15" t="s">
        <v>488</v>
      </c>
      <c r="H120" s="16" t="str">
        <f aca="false">HYPERLINK("#'Forrásszöveg'!A"&amp;(MATCH("TV-S0947",Forrásszöveg!$A$6:$A$2497,0)+5),"66. § eleje")</f>
        <v>66. § eleje</v>
      </c>
    </row>
    <row r="121" customFormat="false" ht="38" hidden="false" customHeight="true" outlineLevel="0" collapsed="false">
      <c r="A121" s="15" t="s">
        <v>489</v>
      </c>
      <c r="B121" s="15" t="s">
        <v>235</v>
      </c>
      <c r="C121" s="15" t="s">
        <v>490</v>
      </c>
      <c r="D121" s="15" t="s">
        <v>491</v>
      </c>
      <c r="E121" s="15" t="s">
        <v>492</v>
      </c>
      <c r="F121" s="16" t="str">
        <f aca="false">HYPERLINK("#'Forrásszöveg'!A"&amp;(MATCH("TV-S0948",Forrásszöveg!$A$6:$A$2497,0)+5),"Tv. 66. § (2)")</f>
        <v>Tv. 66. § (2)</v>
      </c>
      <c r="G121" s="15" t="s">
        <v>488</v>
      </c>
      <c r="H121" s="16" t="str">
        <f aca="false">HYPERLINK("#'Forrásszöveg'!A"&amp;(MATCH("TV-S0947",Forrásszöveg!$A$6:$A$2497,0)+5),"66. § eleje")</f>
        <v>66. § eleje</v>
      </c>
    </row>
    <row r="122" customFormat="false" ht="38" hidden="false" customHeight="true" outlineLevel="0" collapsed="false">
      <c r="A122" s="15" t="s">
        <v>493</v>
      </c>
      <c r="B122" s="15" t="s">
        <v>235</v>
      </c>
      <c r="C122" s="15" t="s">
        <v>494</v>
      </c>
      <c r="D122" s="15" t="s">
        <v>495</v>
      </c>
      <c r="E122" s="15" t="s">
        <v>174</v>
      </c>
      <c r="F122" s="16" t="str">
        <f aca="false">HYPERLINK("#'Forrásszöveg'!A"&amp;(MATCH("TV-S0950",Forrásszöveg!$A$6:$A$2497,0)+5),"Tv. 66. § (4)")</f>
        <v>Tv. 66. § (4)</v>
      </c>
      <c r="G122" s="15" t="s">
        <v>488</v>
      </c>
      <c r="H122" s="16" t="str">
        <f aca="false">HYPERLINK("#'Forrásszöveg'!A"&amp;(MATCH("TV-S0947",Forrásszöveg!$A$6:$A$2497,0)+5),"66. § eleje")</f>
        <v>66. § eleje</v>
      </c>
    </row>
    <row r="123" customFormat="false" ht="38" hidden="false" customHeight="true" outlineLevel="0" collapsed="false">
      <c r="A123" s="15" t="s">
        <v>496</v>
      </c>
      <c r="B123" s="15" t="s">
        <v>497</v>
      </c>
      <c r="C123" s="15" t="s">
        <v>498</v>
      </c>
      <c r="D123" s="15" t="s">
        <v>499</v>
      </c>
      <c r="E123" s="15" t="s">
        <v>223</v>
      </c>
      <c r="F123" s="16" t="str">
        <f aca="false">HYPERLINK("#'Forrásszöveg'!A"&amp;(MATCH("TV-S0951",Forrásszöveg!$A$6:$A$2497,0)+5),"Tv. 66. § (5)")</f>
        <v>Tv. 66. § (5)</v>
      </c>
      <c r="G123" s="15" t="s">
        <v>488</v>
      </c>
      <c r="H123" s="16" t="str">
        <f aca="false">HYPERLINK("#'Forrásszöveg'!A"&amp;(MATCH("TV-S0947",Forrásszöveg!$A$6:$A$2497,0)+5),"66. § eleje")</f>
        <v>66. § eleje</v>
      </c>
    </row>
    <row r="124" customFormat="false" ht="38" hidden="false" customHeight="true" outlineLevel="0" collapsed="false">
      <c r="A124" s="15" t="s">
        <v>500</v>
      </c>
      <c r="B124" s="15" t="s">
        <v>497</v>
      </c>
      <c r="C124" s="15" t="s">
        <v>501</v>
      </c>
      <c r="D124" s="15" t="s">
        <v>499</v>
      </c>
      <c r="E124" s="15" t="s">
        <v>223</v>
      </c>
      <c r="F124" s="16" t="str">
        <f aca="false">HYPERLINK("#'Forrásszöveg'!A"&amp;(MATCH("TV-S0952",Forrásszöveg!$A$6:$A$2497,0)+5),"Tv. 66. § (6)")</f>
        <v>Tv. 66. § (6)</v>
      </c>
      <c r="G124" s="15" t="s">
        <v>488</v>
      </c>
      <c r="H124" s="16" t="str">
        <f aca="false">HYPERLINK("#'Forrásszöveg'!A"&amp;(MATCH("TV-S0947",Forrásszöveg!$A$6:$A$2497,0)+5),"66. § eleje")</f>
        <v>66. § eleje</v>
      </c>
    </row>
    <row r="125" customFormat="false" ht="38" hidden="false" customHeight="true" outlineLevel="0" collapsed="false">
      <c r="A125" s="15" t="s">
        <v>502</v>
      </c>
      <c r="B125" s="15" t="s">
        <v>235</v>
      </c>
      <c r="C125" s="15" t="s">
        <v>503</v>
      </c>
      <c r="D125" s="15" t="s">
        <v>504</v>
      </c>
      <c r="E125" s="15" t="s">
        <v>174</v>
      </c>
      <c r="F125" s="16" t="str">
        <f aca="false">HYPERLINK("#'Forrásszöveg'!A"&amp;(MATCH("TV-S0966",Forrásszöveg!$A$6:$A$2497,0)+5),"Tv. 70. § (1)")</f>
        <v>Tv. 70. § (1)</v>
      </c>
      <c r="G125" s="15" t="s">
        <v>505</v>
      </c>
      <c r="H125" s="16" t="str">
        <f aca="false">HYPERLINK("#'Forrásszöveg'!A"&amp;(MATCH("TV-S0966",Forrásszöveg!$A$6:$A$2497,0)+5),"70. § eleje")</f>
        <v>70. § eleje</v>
      </c>
    </row>
    <row r="126" customFormat="false" ht="38" hidden="false" customHeight="true" outlineLevel="0" collapsed="false">
      <c r="A126" s="15" t="s">
        <v>506</v>
      </c>
      <c r="B126" s="15" t="s">
        <v>235</v>
      </c>
      <c r="C126" s="15" t="s">
        <v>507</v>
      </c>
      <c r="D126" s="15" t="s">
        <v>508</v>
      </c>
      <c r="E126" s="15" t="s">
        <v>174</v>
      </c>
      <c r="F126" s="16" t="str">
        <f aca="false">HYPERLINK("#'Forrásszöveg'!A"&amp;(MATCH("TV-S0982",Forrásszöveg!$A$6:$A$2497,0)+5),"Tv. 70. § (7)")</f>
        <v>Tv. 70. § (7)</v>
      </c>
      <c r="G126" s="15" t="s">
        <v>505</v>
      </c>
      <c r="H126" s="16" t="str">
        <f aca="false">HYPERLINK("#'Forrásszöveg'!A"&amp;(MATCH("TV-S0966",Forrásszöveg!$A$6:$A$2497,0)+5),"70. § eleje")</f>
        <v>70. § eleje</v>
      </c>
    </row>
    <row r="127" customFormat="false" ht="38" hidden="false" customHeight="true" outlineLevel="0" collapsed="false">
      <c r="A127" s="15" t="s">
        <v>509</v>
      </c>
      <c r="B127" s="15" t="s">
        <v>235</v>
      </c>
      <c r="C127" s="15" t="s">
        <v>510</v>
      </c>
      <c r="D127" s="15" t="s">
        <v>511</v>
      </c>
      <c r="E127" s="15" t="s">
        <v>174</v>
      </c>
      <c r="F127" s="16" t="str">
        <f aca="false">HYPERLINK("#'Forrásszöveg'!A"&amp;(MATCH("TV-S0983",Forrásszöveg!$A$6:$A$2497,0)+5),"Tv. 70. § (8)")</f>
        <v>Tv. 70. § (8)</v>
      </c>
      <c r="G127" s="15" t="s">
        <v>505</v>
      </c>
      <c r="H127" s="16" t="str">
        <f aca="false">HYPERLINK("#'Forrásszöveg'!A"&amp;(MATCH("TV-S0966",Forrásszöveg!$A$6:$A$2497,0)+5),"70. § eleje")</f>
        <v>70. § eleje</v>
      </c>
    </row>
    <row r="128" customFormat="false" ht="38" hidden="false" customHeight="true" outlineLevel="0" collapsed="false">
      <c r="A128" s="15" t="s">
        <v>512</v>
      </c>
      <c r="B128" s="15" t="s">
        <v>235</v>
      </c>
      <c r="C128" s="15" t="s">
        <v>513</v>
      </c>
      <c r="D128" s="15" t="s">
        <v>514</v>
      </c>
      <c r="E128" s="15" t="s">
        <v>515</v>
      </c>
      <c r="F128" s="16" t="str">
        <f aca="false">HYPERLINK("#'Forrásszöveg'!A"&amp;(MATCH("TV-S1224",Forrásszöveg!$A$6:$A$2497,0)+5),"Tv. 89. § (1a)")</f>
        <v>Tv. 89. § (1a)</v>
      </c>
      <c r="G128" s="15" t="s">
        <v>516</v>
      </c>
      <c r="H128" s="16" t="str">
        <f aca="false">HYPERLINK("#'Forrásszöveg'!A"&amp;(MATCH("TV-S1223",Forrásszöveg!$A$6:$A$2497,0)+5),"89. § eleje")</f>
        <v>89. § eleje</v>
      </c>
    </row>
    <row r="129" customFormat="false" ht="38" hidden="false" customHeight="true" outlineLevel="0" collapsed="false">
      <c r="A129" s="15" t="s">
        <v>517</v>
      </c>
      <c r="B129" s="15" t="s">
        <v>235</v>
      </c>
      <c r="C129" s="15" t="s">
        <v>518</v>
      </c>
      <c r="D129" s="15" t="s">
        <v>519</v>
      </c>
      <c r="E129" s="15" t="s">
        <v>520</v>
      </c>
      <c r="F129" s="16" t="str">
        <f aca="false">HYPERLINK("#'Forrásszöveg'!A"&amp;(MATCH("TV-S1225",Forrásszöveg!$A$6:$A$2497,0)+5),"Tv. 89. § (2)")</f>
        <v>Tv. 89. § (2)</v>
      </c>
      <c r="G129" s="15" t="s">
        <v>516</v>
      </c>
      <c r="H129" s="16" t="str">
        <f aca="false">HYPERLINK("#'Forrásszöveg'!A"&amp;(MATCH("TV-S1223",Forrásszöveg!$A$6:$A$2497,0)+5),"89. § eleje")</f>
        <v>89. § eleje</v>
      </c>
    </row>
    <row r="130" customFormat="false" ht="38" hidden="false" customHeight="true" outlineLevel="0" collapsed="false">
      <c r="A130" s="15" t="s">
        <v>521</v>
      </c>
      <c r="B130" s="15" t="s">
        <v>235</v>
      </c>
      <c r="C130" s="15" t="s">
        <v>522</v>
      </c>
      <c r="D130" s="15" t="s">
        <v>523</v>
      </c>
      <c r="E130" s="15" t="s">
        <v>174</v>
      </c>
      <c r="F130" s="16" t="str">
        <f aca="false">HYPERLINK("#'Forrásszöveg'!A"&amp;(MATCH("VHR-S0084",Forrásszöveg!$A$6:$A$2497,0)+5),"Vhr. 3. § (1)")</f>
        <v>Vhr. 3. § (1)</v>
      </c>
      <c r="G130" s="15" t="s">
        <v>286</v>
      </c>
      <c r="H130" s="16" t="str">
        <f aca="false">HYPERLINK("#'Forrásszöveg'!A"&amp;(MATCH("VHR-S0084",Forrásszöveg!$A$6:$A$2497,0)+5),"3. § eleje")</f>
        <v>3. § eleje</v>
      </c>
    </row>
    <row r="131" customFormat="false" ht="52" hidden="false" customHeight="true" outlineLevel="0" collapsed="false">
      <c r="A131" s="15" t="s">
        <v>524</v>
      </c>
      <c r="B131" s="15" t="s">
        <v>235</v>
      </c>
      <c r="C131" s="15" t="s">
        <v>525</v>
      </c>
      <c r="D131" s="15" t="s">
        <v>526</v>
      </c>
      <c r="E131" s="15" t="s">
        <v>527</v>
      </c>
      <c r="F131" s="16" t="str">
        <f aca="false">HYPERLINK("#'Forrásszöveg'!A"&amp;(MATCH("VHR-S0086",Forrásszöveg!$A$6:$A$2497,0)+5),"Vhr. 3. § (2) a)")</f>
        <v>Vhr. 3. § (2) a)</v>
      </c>
      <c r="G131" s="15" t="s">
        <v>286</v>
      </c>
      <c r="H131" s="16" t="str">
        <f aca="false">HYPERLINK("#'Forrásszöveg'!A"&amp;(MATCH("VHR-S0084",Forrásszöveg!$A$6:$A$2497,0)+5),"3. § eleje")</f>
        <v>3. § eleje</v>
      </c>
    </row>
    <row r="132" customFormat="false" ht="52" hidden="false" customHeight="true" outlineLevel="0" collapsed="false">
      <c r="A132" s="15" t="s">
        <v>528</v>
      </c>
      <c r="B132" s="15" t="s">
        <v>235</v>
      </c>
      <c r="C132" s="15" t="s">
        <v>529</v>
      </c>
      <c r="D132" s="15" t="s">
        <v>530</v>
      </c>
      <c r="E132" s="15" t="s">
        <v>527</v>
      </c>
      <c r="F132" s="16" t="str">
        <f aca="false">HYPERLINK("#'Forrásszöveg'!A"&amp;(MATCH("VHR-S0087",Forrásszöveg!$A$6:$A$2497,0)+5),"Vhr. 3. § (2) b)")</f>
        <v>Vhr. 3. § (2) b)</v>
      </c>
      <c r="G132" s="15" t="s">
        <v>286</v>
      </c>
      <c r="H132" s="16" t="str">
        <f aca="false">HYPERLINK("#'Forrásszöveg'!A"&amp;(MATCH("VHR-S0084",Forrásszöveg!$A$6:$A$2497,0)+5),"3. § eleje")</f>
        <v>3. § eleje</v>
      </c>
    </row>
    <row r="133" customFormat="false" ht="38" hidden="false" customHeight="true" outlineLevel="0" collapsed="false">
      <c r="A133" s="15" t="s">
        <v>531</v>
      </c>
      <c r="B133" s="15" t="s">
        <v>235</v>
      </c>
      <c r="C133" s="15" t="s">
        <v>532</v>
      </c>
      <c r="D133" s="15" t="s">
        <v>533</v>
      </c>
      <c r="E133" s="15" t="s">
        <v>174</v>
      </c>
      <c r="F133" s="16" t="str">
        <f aca="false">HYPERLINK("#'Forrásszöveg'!A"&amp;(MATCH("VHR-S0091",Forrásszöveg!$A$6:$A$2497,0)+5),"Vhr. 3. § (5)")</f>
        <v>Vhr. 3. § (5)</v>
      </c>
      <c r="G133" s="15" t="s">
        <v>286</v>
      </c>
      <c r="H133" s="16" t="str">
        <f aca="false">HYPERLINK("#'Forrásszöveg'!A"&amp;(MATCH("VHR-S0084",Forrásszöveg!$A$6:$A$2497,0)+5),"3. § eleje")</f>
        <v>3. § eleje</v>
      </c>
    </row>
    <row r="134" customFormat="false" ht="38" hidden="false" customHeight="true" outlineLevel="0" collapsed="false">
      <c r="A134" s="15" t="s">
        <v>534</v>
      </c>
      <c r="B134" s="15" t="s">
        <v>235</v>
      </c>
      <c r="C134" s="15" t="s">
        <v>535</v>
      </c>
      <c r="D134" s="15" t="s">
        <v>536</v>
      </c>
      <c r="E134" s="15" t="s">
        <v>174</v>
      </c>
      <c r="F134" s="16" t="str">
        <f aca="false">HYPERLINK("#'Forrásszöveg'!A"&amp;(MATCH("VHR-S0093",Forrásszöveg!$A$6:$A$2497,0)+5),"Vhr. 4. § (1)")</f>
        <v>Vhr. 4. § (1)</v>
      </c>
      <c r="G134" s="15" t="s">
        <v>537</v>
      </c>
      <c r="H134" s="16" t="str">
        <f aca="false">HYPERLINK("#'Forrásszöveg'!A"&amp;(MATCH("VHR-S0093",Forrásszöveg!$A$6:$A$2497,0)+5),"4. § eleje")</f>
        <v>4. § eleje</v>
      </c>
    </row>
    <row r="135" customFormat="false" ht="52" hidden="false" customHeight="true" outlineLevel="0" collapsed="false">
      <c r="A135" s="15" t="s">
        <v>538</v>
      </c>
      <c r="B135" s="15" t="s">
        <v>235</v>
      </c>
      <c r="C135" s="15" t="s">
        <v>539</v>
      </c>
      <c r="D135" s="15" t="s">
        <v>540</v>
      </c>
      <c r="E135" s="15" t="s">
        <v>541</v>
      </c>
      <c r="F135" s="16" t="str">
        <f aca="false">HYPERLINK("#'Forrásszöveg'!A"&amp;(MATCH("VHR-S0094",Forrásszöveg!$A$6:$A$2497,0)+5),"Vhr. 4. § (2)")</f>
        <v>Vhr. 4. § (2)</v>
      </c>
      <c r="G135" s="15" t="s">
        <v>537</v>
      </c>
      <c r="H135" s="16" t="str">
        <f aca="false">HYPERLINK("#'Forrásszöveg'!A"&amp;(MATCH("VHR-S0093",Forrásszöveg!$A$6:$A$2497,0)+5),"4. § eleje")</f>
        <v>4. § eleje</v>
      </c>
    </row>
    <row r="136" customFormat="false" ht="38" hidden="false" customHeight="true" outlineLevel="0" collapsed="false">
      <c r="A136" s="15" t="s">
        <v>542</v>
      </c>
      <c r="B136" s="15" t="s">
        <v>235</v>
      </c>
      <c r="C136" s="15" t="s">
        <v>543</v>
      </c>
      <c r="D136" s="15" t="s">
        <v>544</v>
      </c>
      <c r="E136" s="15" t="s">
        <v>174</v>
      </c>
      <c r="F136" s="16" t="str">
        <f aca="false">HYPERLINK("#'Forrásszöveg'!A"&amp;(MATCH("VHR-S0096",Forrásszöveg!$A$6:$A$2497,0)+5),"Vhr. 5. § (1)")</f>
        <v>Vhr. 5. § (1)</v>
      </c>
      <c r="G136" s="15" t="s">
        <v>545</v>
      </c>
      <c r="H136" s="16" t="str">
        <f aca="false">HYPERLINK("#'Forrásszöveg'!A"&amp;(MATCH("VHR-S0096",Forrásszöveg!$A$6:$A$2497,0)+5),"5. § eleje")</f>
        <v>5. § eleje</v>
      </c>
    </row>
    <row r="137" customFormat="false" ht="38" hidden="false" customHeight="true" outlineLevel="0" collapsed="false">
      <c r="A137" s="15" t="s">
        <v>546</v>
      </c>
      <c r="B137" s="15" t="s">
        <v>235</v>
      </c>
      <c r="C137" s="15" t="s">
        <v>547</v>
      </c>
      <c r="D137" s="15" t="s">
        <v>548</v>
      </c>
      <c r="E137" s="15" t="s">
        <v>549</v>
      </c>
      <c r="F137" s="16" t="str">
        <f aca="false">HYPERLINK("#'Forrásszöveg'!A"&amp;(MATCH("VHR-S0097",Forrásszöveg!$A$6:$A$2497,0)+5),"Vhr. 5. § (2)")</f>
        <v>Vhr. 5. § (2)</v>
      </c>
      <c r="G137" s="15" t="s">
        <v>545</v>
      </c>
      <c r="H137" s="16" t="str">
        <f aca="false">HYPERLINK("#'Forrásszöveg'!A"&amp;(MATCH("VHR-S0096",Forrásszöveg!$A$6:$A$2497,0)+5),"5. § eleje")</f>
        <v>5. § eleje</v>
      </c>
    </row>
    <row r="138" customFormat="false" ht="38" hidden="false" customHeight="true" outlineLevel="0" collapsed="false">
      <c r="A138" s="15" t="s">
        <v>550</v>
      </c>
      <c r="B138" s="15" t="s">
        <v>235</v>
      </c>
      <c r="C138" s="15" t="s">
        <v>551</v>
      </c>
      <c r="D138" s="15" t="s">
        <v>552</v>
      </c>
      <c r="E138" s="15" t="s">
        <v>174</v>
      </c>
      <c r="F138" s="16" t="str">
        <f aca="false">HYPERLINK("#'Forrásszöveg'!A"&amp;(MATCH("VHR-S0099",Forrásszöveg!$A$6:$A$2497,0)+5),"Vhr. 6. §")</f>
        <v>Vhr. 6. §</v>
      </c>
      <c r="G138" s="15" t="s">
        <v>553</v>
      </c>
      <c r="H138" s="16" t="str">
        <f aca="false">HYPERLINK("#'Forrásszöveg'!A"&amp;(MATCH("VHR-S0099",Forrásszöveg!$A$6:$A$2497,0)+5),"6. § eleje")</f>
        <v>6. § eleje</v>
      </c>
    </row>
    <row r="139" customFormat="false" ht="38" hidden="false" customHeight="true" outlineLevel="0" collapsed="false">
      <c r="A139" s="15" t="s">
        <v>554</v>
      </c>
      <c r="B139" s="15" t="s">
        <v>235</v>
      </c>
      <c r="C139" s="15" t="s">
        <v>555</v>
      </c>
      <c r="D139" s="15" t="s">
        <v>556</v>
      </c>
      <c r="E139" s="15" t="s">
        <v>174</v>
      </c>
      <c r="F139" s="16" t="str">
        <f aca="false">HYPERLINK("#'Forrásszöveg'!A"&amp;(MATCH("VHR-S0103",Forrásszöveg!$A$6:$A$2497,0)+5),"Vhr. 7. §")</f>
        <v>Vhr. 7. §</v>
      </c>
      <c r="G139" s="15" t="s">
        <v>553</v>
      </c>
      <c r="H139" s="16" t="str">
        <f aca="false">HYPERLINK("#'Forrásszöveg'!A"&amp;(MATCH("VHR-S0103",Forrásszöveg!$A$6:$A$2497,0)+5),"7. § eleje")</f>
        <v>7. § eleje</v>
      </c>
    </row>
    <row r="140" customFormat="false" ht="38" hidden="false" customHeight="true" outlineLevel="0" collapsed="false">
      <c r="A140" s="15" t="s">
        <v>557</v>
      </c>
      <c r="B140" s="15" t="s">
        <v>235</v>
      </c>
      <c r="C140" s="15" t="s">
        <v>558</v>
      </c>
      <c r="D140" s="15" t="s">
        <v>559</v>
      </c>
      <c r="E140" s="15" t="s">
        <v>174</v>
      </c>
      <c r="F140" s="16" t="str">
        <f aca="false">HYPERLINK("#'Forrásszöveg'!A"&amp;(MATCH("VHR-S0105",Forrásszöveg!$A$6:$A$2497,0)+5),"Vhr. 8. § (1)")</f>
        <v>Vhr. 8. § (1)</v>
      </c>
      <c r="G140" s="15" t="s">
        <v>560</v>
      </c>
      <c r="H140" s="16" t="str">
        <f aca="false">HYPERLINK("#'Forrásszöveg'!A"&amp;(MATCH("VHR-S0105",Forrásszöveg!$A$6:$A$2497,0)+5),"8. § eleje")</f>
        <v>8. § eleje</v>
      </c>
    </row>
    <row r="141" customFormat="false" ht="38" hidden="false" customHeight="true" outlineLevel="0" collapsed="false">
      <c r="A141" s="15" t="s">
        <v>561</v>
      </c>
      <c r="B141" s="15" t="s">
        <v>235</v>
      </c>
      <c r="C141" s="15" t="s">
        <v>562</v>
      </c>
      <c r="D141" s="15" t="s">
        <v>563</v>
      </c>
      <c r="E141" s="15" t="s">
        <v>174</v>
      </c>
      <c r="F141" s="16" t="str">
        <f aca="false">HYPERLINK("#'Forrásszöveg'!A"&amp;(MATCH("VHR-S0106",Forrásszöveg!$A$6:$A$2497,0)+5),"Vhr. 8. § (2)")</f>
        <v>Vhr. 8. § (2)</v>
      </c>
      <c r="G141" s="15" t="s">
        <v>560</v>
      </c>
      <c r="H141" s="16" t="str">
        <f aca="false">HYPERLINK("#'Forrásszöveg'!A"&amp;(MATCH("VHR-S0105",Forrásszöveg!$A$6:$A$2497,0)+5),"8. § eleje")</f>
        <v>8. § eleje</v>
      </c>
    </row>
    <row r="142" customFormat="false" ht="38" hidden="false" customHeight="true" outlineLevel="0" collapsed="false">
      <c r="A142" s="15" t="s">
        <v>564</v>
      </c>
      <c r="B142" s="15" t="s">
        <v>565</v>
      </c>
      <c r="C142" s="15" t="s">
        <v>566</v>
      </c>
      <c r="D142" s="15" t="s">
        <v>567</v>
      </c>
      <c r="E142" s="15" t="s">
        <v>568</v>
      </c>
      <c r="F142" s="16" t="str">
        <f aca="false">HYPERLINK("#'Forrásszöveg'!A"&amp;(MATCH("VHR-S0111",Forrásszöveg!$A$6:$A$2497,0)+5),"Vhr. 9. § (1)")</f>
        <v>Vhr. 9. § (1)</v>
      </c>
      <c r="G142" s="15" t="s">
        <v>560</v>
      </c>
      <c r="H142" s="16" t="str">
        <f aca="false">HYPERLINK("#'Forrásszöveg'!A"&amp;(MATCH("VHR-S0111",Forrásszöveg!$A$6:$A$2497,0)+5),"9. § eleje")</f>
        <v>9. § eleje</v>
      </c>
    </row>
    <row r="143" customFormat="false" ht="38" hidden="false" customHeight="true" outlineLevel="0" collapsed="false">
      <c r="A143" s="15" t="s">
        <v>569</v>
      </c>
      <c r="B143" s="15" t="s">
        <v>235</v>
      </c>
      <c r="C143" s="15" t="s">
        <v>570</v>
      </c>
      <c r="D143" s="15" t="s">
        <v>571</v>
      </c>
      <c r="E143" s="15" t="s">
        <v>572</v>
      </c>
      <c r="F143" s="16" t="str">
        <f aca="false">HYPERLINK("#'Forrásszöveg'!A"&amp;(MATCH("VHR-S0112",Forrásszöveg!$A$6:$A$2497,0)+5),"Vhr. 9. § (2)")</f>
        <v>Vhr. 9. § (2)</v>
      </c>
      <c r="G143" s="15" t="s">
        <v>560</v>
      </c>
      <c r="H143" s="16" t="str">
        <f aca="false">HYPERLINK("#'Forrásszöveg'!A"&amp;(MATCH("VHR-S0111",Forrásszöveg!$A$6:$A$2497,0)+5),"9. § eleje")</f>
        <v>9. § eleje</v>
      </c>
    </row>
    <row r="144" customFormat="false" ht="38" hidden="false" customHeight="true" outlineLevel="0" collapsed="false">
      <c r="A144" s="15" t="s">
        <v>573</v>
      </c>
      <c r="B144" s="15" t="s">
        <v>343</v>
      </c>
      <c r="C144" s="15" t="s">
        <v>574</v>
      </c>
      <c r="D144" s="15" t="s">
        <v>575</v>
      </c>
      <c r="E144" s="15" t="s">
        <v>174</v>
      </c>
      <c r="F144" s="16" t="str">
        <f aca="false">HYPERLINK("#'Forrásszöveg'!A"&amp;(MATCH("VHR-S0113",Forrásszöveg!$A$6:$A$2497,0)+5),"Vhr. 9. § (3)")</f>
        <v>Vhr. 9. § (3)</v>
      </c>
      <c r="G144" s="15" t="s">
        <v>560</v>
      </c>
      <c r="H144" s="16" t="str">
        <f aca="false">HYPERLINK("#'Forrásszöveg'!A"&amp;(MATCH("VHR-S0111",Forrásszöveg!$A$6:$A$2497,0)+5),"9. § eleje")</f>
        <v>9. § eleje</v>
      </c>
    </row>
    <row r="145" customFormat="false" ht="52" hidden="false" customHeight="true" outlineLevel="0" collapsed="false">
      <c r="A145" s="15" t="s">
        <v>576</v>
      </c>
      <c r="B145" s="15" t="s">
        <v>235</v>
      </c>
      <c r="C145" s="15" t="s">
        <v>577</v>
      </c>
      <c r="D145" s="15" t="s">
        <v>578</v>
      </c>
      <c r="E145" s="15" t="s">
        <v>579</v>
      </c>
      <c r="F145" s="16" t="str">
        <f aca="false">HYPERLINK("#'Forrásszöveg'!A"&amp;(MATCH("VHR-S0115",Forrásszöveg!$A$6:$A$2497,0)+5),"Vhr. 10. § (1)")</f>
        <v>Vhr. 10. § (1)</v>
      </c>
      <c r="G145" s="15" t="s">
        <v>580</v>
      </c>
      <c r="H145" s="16" t="str">
        <f aca="false">HYPERLINK("#'Forrásszöveg'!A"&amp;(MATCH("VHR-S0115",Forrásszöveg!$A$6:$A$2497,0)+5),"10. § eleje")</f>
        <v>10. § eleje</v>
      </c>
    </row>
    <row r="146" customFormat="false" ht="38" hidden="false" customHeight="true" outlineLevel="0" collapsed="false">
      <c r="A146" s="15" t="s">
        <v>581</v>
      </c>
      <c r="B146" s="15" t="s">
        <v>235</v>
      </c>
      <c r="C146" s="15" t="s">
        <v>582</v>
      </c>
      <c r="D146" s="15" t="s">
        <v>583</v>
      </c>
      <c r="E146" s="15" t="s">
        <v>174</v>
      </c>
      <c r="F146" s="16" t="str">
        <f aca="false">HYPERLINK("#'Forrásszöveg'!A"&amp;(MATCH("VHR-S0120",Forrásszöveg!$A$6:$A$2497,0)+5),"Vhr. 10. § (2)")</f>
        <v>Vhr. 10. § (2)</v>
      </c>
      <c r="G146" s="15" t="s">
        <v>580</v>
      </c>
      <c r="H146" s="16" t="str">
        <f aca="false">HYPERLINK("#'Forrásszöveg'!A"&amp;(MATCH("VHR-S0115",Forrásszöveg!$A$6:$A$2497,0)+5),"10. § eleje")</f>
        <v>10. § eleje</v>
      </c>
    </row>
    <row r="147" customFormat="false" ht="38" hidden="false" customHeight="true" outlineLevel="0" collapsed="false">
      <c r="A147" s="15" t="s">
        <v>584</v>
      </c>
      <c r="B147" s="15" t="s">
        <v>235</v>
      </c>
      <c r="C147" s="15" t="s">
        <v>585</v>
      </c>
      <c r="D147" s="15" t="s">
        <v>586</v>
      </c>
      <c r="E147" s="15" t="s">
        <v>587</v>
      </c>
      <c r="F147" s="16" t="str">
        <f aca="false">HYPERLINK("#'Forrásszöveg'!A"&amp;(MATCH("VHR-S0122",Forrásszöveg!$A$6:$A$2497,0)+5),"Vhr. 10. § (4)")</f>
        <v>Vhr. 10. § (4)</v>
      </c>
      <c r="G147" s="15" t="s">
        <v>580</v>
      </c>
      <c r="H147" s="16" t="str">
        <f aca="false">HYPERLINK("#'Forrásszöveg'!A"&amp;(MATCH("VHR-S0115",Forrásszöveg!$A$6:$A$2497,0)+5),"10. § eleje")</f>
        <v>10. § eleje</v>
      </c>
    </row>
    <row r="148" customFormat="false" ht="38" hidden="false" customHeight="true" outlineLevel="0" collapsed="false">
      <c r="A148" s="15" t="s">
        <v>588</v>
      </c>
      <c r="B148" s="15" t="s">
        <v>235</v>
      </c>
      <c r="C148" s="15" t="s">
        <v>589</v>
      </c>
      <c r="D148" s="15" t="s">
        <v>590</v>
      </c>
      <c r="E148" s="15" t="s">
        <v>174</v>
      </c>
      <c r="F148" s="16" t="str">
        <f aca="false">HYPERLINK("#'Forrásszöveg'!A"&amp;(MATCH("VHR-S0124",Forrásszöveg!$A$6:$A$2497,0)+5),"Vhr. 10. § (6)")</f>
        <v>Vhr. 10. § (6)</v>
      </c>
      <c r="G148" s="15" t="s">
        <v>580</v>
      </c>
      <c r="H148" s="16" t="str">
        <f aca="false">HYPERLINK("#'Forrásszöveg'!A"&amp;(MATCH("VHR-S0115",Forrásszöveg!$A$6:$A$2497,0)+5),"10. § eleje")</f>
        <v>10. § eleje</v>
      </c>
    </row>
    <row r="149" customFormat="false" ht="52" hidden="false" customHeight="true" outlineLevel="0" collapsed="false">
      <c r="A149" s="15" t="s">
        <v>591</v>
      </c>
      <c r="B149" s="15" t="s">
        <v>171</v>
      </c>
      <c r="C149" s="15" t="s">
        <v>592</v>
      </c>
      <c r="D149" s="15" t="s">
        <v>593</v>
      </c>
      <c r="E149" s="15" t="s">
        <v>174</v>
      </c>
      <c r="F149" s="16" t="str">
        <f aca="false">HYPERLINK("#'Forrásszöveg'!A"&amp;(MATCH("VHR-S0128",Forrásszöveg!$A$6:$A$2497,0)+5),"Vhr. 11. § (2) a)")</f>
        <v>Vhr. 11. § (2) a)</v>
      </c>
      <c r="G149" s="15" t="s">
        <v>320</v>
      </c>
      <c r="H149" s="16" t="str">
        <f aca="false">HYPERLINK("#'Forrásszöveg'!A"&amp;(MATCH("VHR-S0126",Forrásszöveg!$A$6:$A$2497,0)+5),"11. § eleje")</f>
        <v>11. § eleje</v>
      </c>
    </row>
    <row r="150" customFormat="false" ht="52" hidden="false" customHeight="true" outlineLevel="0" collapsed="false">
      <c r="A150" s="15" t="s">
        <v>594</v>
      </c>
      <c r="B150" s="15" t="s">
        <v>171</v>
      </c>
      <c r="C150" s="15" t="s">
        <v>595</v>
      </c>
      <c r="D150" s="15" t="s">
        <v>593</v>
      </c>
      <c r="E150" s="15" t="s">
        <v>174</v>
      </c>
      <c r="F150" s="16" t="str">
        <f aca="false">HYPERLINK("#'Forrásszöveg'!A"&amp;(MATCH("VHR-S0129",Forrásszöveg!$A$6:$A$2497,0)+5),"Vhr. 11. § (2) b)")</f>
        <v>Vhr. 11. § (2) b)</v>
      </c>
      <c r="G150" s="15" t="s">
        <v>320</v>
      </c>
      <c r="H150" s="16" t="str">
        <f aca="false">HYPERLINK("#'Forrásszöveg'!A"&amp;(MATCH("VHR-S0126",Forrásszöveg!$A$6:$A$2497,0)+5),"11. § eleje")</f>
        <v>11. § eleje</v>
      </c>
    </row>
    <row r="151" customFormat="false" ht="52" hidden="false" customHeight="true" outlineLevel="0" collapsed="false">
      <c r="A151" s="15" t="s">
        <v>596</v>
      </c>
      <c r="B151" s="15" t="s">
        <v>235</v>
      </c>
      <c r="C151" s="15" t="s">
        <v>597</v>
      </c>
      <c r="D151" s="15" t="s">
        <v>598</v>
      </c>
      <c r="E151" s="15" t="s">
        <v>174</v>
      </c>
      <c r="F151" s="16" t="str">
        <f aca="false">HYPERLINK("#'Forrásszöveg'!A"&amp;(MATCH("VHR-S0130",Forrásszöveg!$A$6:$A$2497,0)+5),"Vhr. 11. § (3)")</f>
        <v>Vhr. 11. § (3)</v>
      </c>
      <c r="G151" s="15" t="s">
        <v>320</v>
      </c>
      <c r="H151" s="16" t="str">
        <f aca="false">HYPERLINK("#'Forrásszöveg'!A"&amp;(MATCH("VHR-S0126",Forrásszöveg!$A$6:$A$2497,0)+5),"11. § eleje")</f>
        <v>11. § eleje</v>
      </c>
    </row>
    <row r="152" customFormat="false" ht="52" hidden="false" customHeight="true" outlineLevel="0" collapsed="false">
      <c r="A152" s="15" t="s">
        <v>599</v>
      </c>
      <c r="B152" s="15" t="s">
        <v>235</v>
      </c>
      <c r="C152" s="15" t="s">
        <v>600</v>
      </c>
      <c r="D152" s="15" t="s">
        <v>601</v>
      </c>
      <c r="E152" s="15" t="s">
        <v>174</v>
      </c>
      <c r="F152" s="16" t="str">
        <f aca="false">HYPERLINK("#'Forrásszöveg'!A"&amp;(MATCH("VHR-S0131",Forrásszöveg!$A$6:$A$2497,0)+5),"Vhr. 11. § (4)")</f>
        <v>Vhr. 11. § (4)</v>
      </c>
      <c r="G152" s="15" t="s">
        <v>320</v>
      </c>
      <c r="H152" s="16" t="str">
        <f aca="false">HYPERLINK("#'Forrásszöveg'!A"&amp;(MATCH("VHR-S0126",Forrásszöveg!$A$6:$A$2497,0)+5),"11. § eleje")</f>
        <v>11. § eleje</v>
      </c>
    </row>
    <row r="153" customFormat="false" ht="52" hidden="false" customHeight="true" outlineLevel="0" collapsed="false">
      <c r="A153" s="15" t="s">
        <v>602</v>
      </c>
      <c r="B153" s="15" t="s">
        <v>171</v>
      </c>
      <c r="C153" s="15" t="s">
        <v>603</v>
      </c>
      <c r="D153" s="15" t="s">
        <v>604</v>
      </c>
      <c r="E153" s="15" t="s">
        <v>174</v>
      </c>
      <c r="F153" s="16" t="str">
        <f aca="false">HYPERLINK("#'Forrásszöveg'!A"&amp;(MATCH("VHR-S0136",Forrásszöveg!$A$6:$A$2497,0)+5),"Vhr. 11. § (5)")</f>
        <v>Vhr. 11. § (5)</v>
      </c>
      <c r="G153" s="15" t="s">
        <v>320</v>
      </c>
      <c r="H153" s="16" t="str">
        <f aca="false">HYPERLINK("#'Forrásszöveg'!A"&amp;(MATCH("VHR-S0126",Forrásszöveg!$A$6:$A$2497,0)+5),"11. § eleje")</f>
        <v>11. § eleje</v>
      </c>
    </row>
    <row r="154" customFormat="false" ht="52" hidden="false" customHeight="true" outlineLevel="0" collapsed="false">
      <c r="A154" s="15" t="s">
        <v>605</v>
      </c>
      <c r="B154" s="15" t="s">
        <v>333</v>
      </c>
      <c r="C154" s="15" t="s">
        <v>606</v>
      </c>
      <c r="D154" s="15" t="s">
        <v>607</v>
      </c>
      <c r="E154" s="15" t="s">
        <v>174</v>
      </c>
      <c r="F154" s="16" t="str">
        <f aca="false">HYPERLINK("#'Forrásszöveg'!A"&amp;(MATCH("VHR-S0140",Forrásszöveg!$A$6:$A$2497,0)+5),"Vhr. 12. § (2) a)")</f>
        <v>Vhr. 12. § (2) a)</v>
      </c>
      <c r="G154" s="15" t="s">
        <v>320</v>
      </c>
      <c r="H154" s="16" t="str">
        <f aca="false">HYPERLINK("#'Forrásszöveg'!A"&amp;(MATCH("VHR-S0138",Forrásszöveg!$A$6:$A$2497,0)+5),"12. § eleje")</f>
        <v>12. § eleje</v>
      </c>
    </row>
    <row r="155" customFormat="false" ht="52" hidden="false" customHeight="true" outlineLevel="0" collapsed="false">
      <c r="A155" s="15" t="s">
        <v>608</v>
      </c>
      <c r="B155" s="15" t="s">
        <v>333</v>
      </c>
      <c r="C155" s="15" t="s">
        <v>609</v>
      </c>
      <c r="D155" s="15" t="s">
        <v>607</v>
      </c>
      <c r="E155" s="15" t="s">
        <v>174</v>
      </c>
      <c r="F155" s="16" t="str">
        <f aca="false">HYPERLINK("#'Forrásszöveg'!A"&amp;(MATCH("VHR-S0141",Forrásszöveg!$A$6:$A$2497,0)+5),"Vhr. 12. § (2) b)")</f>
        <v>Vhr. 12. § (2) b)</v>
      </c>
      <c r="G155" s="15" t="s">
        <v>320</v>
      </c>
      <c r="H155" s="16" t="str">
        <f aca="false">HYPERLINK("#'Forrásszöveg'!A"&amp;(MATCH("VHR-S0138",Forrásszöveg!$A$6:$A$2497,0)+5),"12. § eleje")</f>
        <v>12. § eleje</v>
      </c>
    </row>
    <row r="156" customFormat="false" ht="52" hidden="false" customHeight="true" outlineLevel="0" collapsed="false">
      <c r="A156" s="15" t="s">
        <v>610</v>
      </c>
      <c r="B156" s="15" t="s">
        <v>333</v>
      </c>
      <c r="C156" s="15" t="s">
        <v>611</v>
      </c>
      <c r="D156" s="15" t="s">
        <v>607</v>
      </c>
      <c r="E156" s="15" t="s">
        <v>174</v>
      </c>
      <c r="F156" s="16" t="str">
        <f aca="false">HYPERLINK("#'Forrásszöveg'!A"&amp;(MATCH("VHR-S0142",Forrásszöveg!$A$6:$A$2497,0)+5),"Vhr. 12. § (2) c)")</f>
        <v>Vhr. 12. § (2) c)</v>
      </c>
      <c r="G156" s="15" t="s">
        <v>320</v>
      </c>
      <c r="H156" s="16" t="str">
        <f aca="false">HYPERLINK("#'Forrásszöveg'!A"&amp;(MATCH("VHR-S0138",Forrásszöveg!$A$6:$A$2497,0)+5),"12. § eleje")</f>
        <v>12. § eleje</v>
      </c>
    </row>
    <row r="157" customFormat="false" ht="52" hidden="false" customHeight="true" outlineLevel="0" collapsed="false">
      <c r="A157" s="15" t="s">
        <v>612</v>
      </c>
      <c r="B157" s="15" t="s">
        <v>333</v>
      </c>
      <c r="C157" s="15" t="s">
        <v>613</v>
      </c>
      <c r="D157" s="15" t="s">
        <v>607</v>
      </c>
      <c r="E157" s="15" t="s">
        <v>174</v>
      </c>
      <c r="F157" s="16" t="str">
        <f aca="false">HYPERLINK("#'Forrásszöveg'!A"&amp;(MATCH("VHR-S0143",Forrásszöveg!$A$6:$A$2497,0)+5),"Vhr. 12. § (2) d)")</f>
        <v>Vhr. 12. § (2) d)</v>
      </c>
      <c r="G157" s="15" t="s">
        <v>320</v>
      </c>
      <c r="H157" s="16" t="str">
        <f aca="false">HYPERLINK("#'Forrásszöveg'!A"&amp;(MATCH("VHR-S0138",Forrásszöveg!$A$6:$A$2497,0)+5),"12. § eleje")</f>
        <v>12. § eleje</v>
      </c>
    </row>
    <row r="158" customFormat="false" ht="52" hidden="false" customHeight="true" outlineLevel="0" collapsed="false">
      <c r="A158" s="15" t="s">
        <v>614</v>
      </c>
      <c r="B158" s="15" t="s">
        <v>333</v>
      </c>
      <c r="C158" s="15" t="s">
        <v>615</v>
      </c>
      <c r="D158" s="15" t="s">
        <v>607</v>
      </c>
      <c r="E158" s="15" t="s">
        <v>174</v>
      </c>
      <c r="F158" s="16" t="str">
        <f aca="false">HYPERLINK("#'Forrásszöveg'!A"&amp;(MATCH("VHR-S0144",Forrásszöveg!$A$6:$A$2497,0)+5),"Vhr. 12. § (2) e)")</f>
        <v>Vhr. 12. § (2) e)</v>
      </c>
      <c r="G158" s="15" t="s">
        <v>320</v>
      </c>
      <c r="H158" s="16" t="str">
        <f aca="false">HYPERLINK("#'Forrásszöveg'!A"&amp;(MATCH("VHR-S0138",Forrásszöveg!$A$6:$A$2497,0)+5),"12. § eleje")</f>
        <v>12. § eleje</v>
      </c>
    </row>
    <row r="159" customFormat="false" ht="52" hidden="false" customHeight="true" outlineLevel="0" collapsed="false">
      <c r="A159" s="15" t="s">
        <v>616</v>
      </c>
      <c r="B159" s="15" t="s">
        <v>333</v>
      </c>
      <c r="C159" s="15" t="s">
        <v>617</v>
      </c>
      <c r="D159" s="15" t="s">
        <v>607</v>
      </c>
      <c r="E159" s="15" t="s">
        <v>174</v>
      </c>
      <c r="F159" s="16" t="str">
        <f aca="false">HYPERLINK("#'Forrásszöveg'!A"&amp;(MATCH("VHR-S0145",Forrásszöveg!$A$6:$A$2497,0)+5),"Vhr. 12. § (2) f)")</f>
        <v>Vhr. 12. § (2) f)</v>
      </c>
      <c r="G159" s="15" t="s">
        <v>320</v>
      </c>
      <c r="H159" s="16" t="str">
        <f aca="false">HYPERLINK("#'Forrásszöveg'!A"&amp;(MATCH("VHR-S0138",Forrásszöveg!$A$6:$A$2497,0)+5),"12. § eleje")</f>
        <v>12. § eleje</v>
      </c>
    </row>
    <row r="160" customFormat="false" ht="52" hidden="false" customHeight="true" outlineLevel="0" collapsed="false">
      <c r="A160" s="15" t="s">
        <v>618</v>
      </c>
      <c r="B160" s="15" t="s">
        <v>333</v>
      </c>
      <c r="C160" s="15" t="s">
        <v>619</v>
      </c>
      <c r="D160" s="15" t="s">
        <v>607</v>
      </c>
      <c r="E160" s="15" t="s">
        <v>174</v>
      </c>
      <c r="F160" s="16" t="str">
        <f aca="false">HYPERLINK("#'Forrásszöveg'!A"&amp;(MATCH("VHR-S0146",Forrásszöveg!$A$6:$A$2497,0)+5),"Vhr. 12. § (2) g)")</f>
        <v>Vhr. 12. § (2) g)</v>
      </c>
      <c r="G160" s="15" t="s">
        <v>320</v>
      </c>
      <c r="H160" s="16" t="str">
        <f aca="false">HYPERLINK("#'Forrásszöveg'!A"&amp;(MATCH("VHR-S0138",Forrásszöveg!$A$6:$A$2497,0)+5),"12. § eleje")</f>
        <v>12. § eleje</v>
      </c>
    </row>
    <row r="161" customFormat="false" ht="52" hidden="false" customHeight="true" outlineLevel="0" collapsed="false">
      <c r="A161" s="15" t="s">
        <v>620</v>
      </c>
      <c r="B161" s="15" t="s">
        <v>333</v>
      </c>
      <c r="C161" s="15" t="s">
        <v>621</v>
      </c>
      <c r="D161" s="15" t="s">
        <v>607</v>
      </c>
      <c r="E161" s="15" t="s">
        <v>174</v>
      </c>
      <c r="F161" s="16" t="str">
        <f aca="false">HYPERLINK("#'Forrásszöveg'!A"&amp;(MATCH("VHR-S0147",Forrásszöveg!$A$6:$A$2497,0)+5),"Vhr. 12. § (2) h)")</f>
        <v>Vhr. 12. § (2) h)</v>
      </c>
      <c r="G161" s="15" t="s">
        <v>320</v>
      </c>
      <c r="H161" s="16" t="str">
        <f aca="false">HYPERLINK("#'Forrásszöveg'!A"&amp;(MATCH("VHR-S0138",Forrásszöveg!$A$6:$A$2497,0)+5),"12. § eleje")</f>
        <v>12. § eleje</v>
      </c>
    </row>
    <row r="162" customFormat="false" ht="52" hidden="false" customHeight="true" outlineLevel="0" collapsed="false">
      <c r="A162" s="15" t="s">
        <v>622</v>
      </c>
      <c r="B162" s="15" t="s">
        <v>333</v>
      </c>
      <c r="C162" s="15" t="s">
        <v>623</v>
      </c>
      <c r="D162" s="15" t="s">
        <v>607</v>
      </c>
      <c r="E162" s="15" t="s">
        <v>174</v>
      </c>
      <c r="F162" s="16" t="str">
        <f aca="false">HYPERLINK("#'Forrásszöveg'!A"&amp;(MATCH("VHR-S0148",Forrásszöveg!$A$6:$A$2497,0)+5),"Vhr. 12. § (2) i)")</f>
        <v>Vhr. 12. § (2) i)</v>
      </c>
      <c r="G162" s="15" t="s">
        <v>320</v>
      </c>
      <c r="H162" s="16" t="str">
        <f aca="false">HYPERLINK("#'Forrásszöveg'!A"&amp;(MATCH("VHR-S0138",Forrásszöveg!$A$6:$A$2497,0)+5),"12. § eleje")</f>
        <v>12. § eleje</v>
      </c>
    </row>
    <row r="163" customFormat="false" ht="52" hidden="false" customHeight="true" outlineLevel="0" collapsed="false">
      <c r="A163" s="15" t="s">
        <v>624</v>
      </c>
      <c r="B163" s="15" t="s">
        <v>333</v>
      </c>
      <c r="C163" s="15" t="s">
        <v>625</v>
      </c>
      <c r="D163" s="15" t="s">
        <v>607</v>
      </c>
      <c r="E163" s="15" t="s">
        <v>174</v>
      </c>
      <c r="F163" s="16" t="str">
        <f aca="false">HYPERLINK("#'Forrásszöveg'!A"&amp;(MATCH("VHR-S0149",Forrásszöveg!$A$6:$A$2497,0)+5),"Vhr. 12. § (2) j)")</f>
        <v>Vhr. 12. § (2) j)</v>
      </c>
      <c r="G163" s="15" t="s">
        <v>320</v>
      </c>
      <c r="H163" s="16" t="str">
        <f aca="false">HYPERLINK("#'Forrásszöveg'!A"&amp;(MATCH("VHR-S0138",Forrásszöveg!$A$6:$A$2497,0)+5),"12. § eleje")</f>
        <v>12. § eleje</v>
      </c>
    </row>
    <row r="164" customFormat="false" ht="52" hidden="false" customHeight="true" outlineLevel="0" collapsed="false">
      <c r="A164" s="15" t="s">
        <v>626</v>
      </c>
      <c r="B164" s="15" t="s">
        <v>333</v>
      </c>
      <c r="C164" s="15" t="s">
        <v>627</v>
      </c>
      <c r="D164" s="15" t="s">
        <v>607</v>
      </c>
      <c r="E164" s="15" t="s">
        <v>628</v>
      </c>
      <c r="F164" s="16" t="str">
        <f aca="false">HYPERLINK("#'Forrásszöveg'!A"&amp;(MATCH("VHR-S0150",Forrásszöveg!$A$6:$A$2497,0)+5),"Vhr. 12. § (2) k)")</f>
        <v>Vhr. 12. § (2) k)</v>
      </c>
      <c r="G164" s="15" t="s">
        <v>320</v>
      </c>
      <c r="H164" s="16" t="str">
        <f aca="false">HYPERLINK("#'Forrásszöveg'!A"&amp;(MATCH("VHR-S0138",Forrásszöveg!$A$6:$A$2497,0)+5),"12. § eleje")</f>
        <v>12. § eleje</v>
      </c>
    </row>
    <row r="165" customFormat="false" ht="52" hidden="false" customHeight="true" outlineLevel="0" collapsed="false">
      <c r="A165" s="15" t="s">
        <v>629</v>
      </c>
      <c r="B165" s="15" t="s">
        <v>333</v>
      </c>
      <c r="C165" s="15" t="s">
        <v>630</v>
      </c>
      <c r="D165" s="15" t="s">
        <v>607</v>
      </c>
      <c r="E165" s="15" t="s">
        <v>174</v>
      </c>
      <c r="F165" s="16" t="str">
        <f aca="false">HYPERLINK("#'Forrásszöveg'!A"&amp;(MATCH("VHR-S0151",Forrásszöveg!$A$6:$A$2497,0)+5),"Vhr. 12. § (2) l)")</f>
        <v>Vhr. 12. § (2) l)</v>
      </c>
      <c r="G165" s="15" t="s">
        <v>320</v>
      </c>
      <c r="H165" s="16" t="str">
        <f aca="false">HYPERLINK("#'Forrásszöveg'!A"&amp;(MATCH("VHR-S0138",Forrásszöveg!$A$6:$A$2497,0)+5),"12. § eleje")</f>
        <v>12. § eleje</v>
      </c>
    </row>
    <row r="166" customFormat="false" ht="52" hidden="false" customHeight="true" outlineLevel="0" collapsed="false">
      <c r="A166" s="15" t="s">
        <v>631</v>
      </c>
      <c r="B166" s="15" t="s">
        <v>333</v>
      </c>
      <c r="C166" s="15" t="s">
        <v>632</v>
      </c>
      <c r="D166" s="15" t="s">
        <v>607</v>
      </c>
      <c r="E166" s="15" t="s">
        <v>174</v>
      </c>
      <c r="F166" s="16" t="str">
        <f aca="false">HYPERLINK("#'Forrásszöveg'!A"&amp;(MATCH("VHR-S0152",Forrásszöveg!$A$6:$A$2497,0)+5),"Vhr. 12. § (2) m)")</f>
        <v>Vhr. 12. § (2) m)</v>
      </c>
      <c r="G166" s="15" t="s">
        <v>320</v>
      </c>
      <c r="H166" s="16" t="str">
        <f aca="false">HYPERLINK("#'Forrásszöveg'!A"&amp;(MATCH("VHR-S0138",Forrásszöveg!$A$6:$A$2497,0)+5),"12. § eleje")</f>
        <v>12. § eleje</v>
      </c>
    </row>
    <row r="167" customFormat="false" ht="52" hidden="false" customHeight="true" outlineLevel="0" collapsed="false">
      <c r="A167" s="15" t="s">
        <v>633</v>
      </c>
      <c r="B167" s="15" t="s">
        <v>333</v>
      </c>
      <c r="C167" s="15" t="s">
        <v>634</v>
      </c>
      <c r="D167" s="15" t="s">
        <v>607</v>
      </c>
      <c r="E167" s="15" t="s">
        <v>174</v>
      </c>
      <c r="F167" s="16" t="str">
        <f aca="false">HYPERLINK("#'Forrásszöveg'!A"&amp;(MATCH("VHR-S0153",Forrásszöveg!$A$6:$A$2497,0)+5),"Vhr. 12. § (2) n)")</f>
        <v>Vhr. 12. § (2) n)</v>
      </c>
      <c r="G167" s="15" t="s">
        <v>320</v>
      </c>
      <c r="H167" s="16" t="str">
        <f aca="false">HYPERLINK("#'Forrásszöveg'!A"&amp;(MATCH("VHR-S0138",Forrásszöveg!$A$6:$A$2497,0)+5),"12. § eleje")</f>
        <v>12. § eleje</v>
      </c>
    </row>
    <row r="168" customFormat="false" ht="52" hidden="false" customHeight="true" outlineLevel="0" collapsed="false">
      <c r="A168" s="15" t="s">
        <v>635</v>
      </c>
      <c r="B168" s="15" t="s">
        <v>333</v>
      </c>
      <c r="C168" s="15" t="s">
        <v>636</v>
      </c>
      <c r="D168" s="15" t="s">
        <v>637</v>
      </c>
      <c r="E168" s="15" t="s">
        <v>638</v>
      </c>
      <c r="F168" s="16" t="str">
        <f aca="false">HYPERLINK("#'Forrásszöveg'!A"&amp;(MATCH("VHR-S0154",Forrásszöveg!$A$6:$A$2497,0)+5),"Vhr. 12. § (3)")</f>
        <v>Vhr. 12. § (3)</v>
      </c>
      <c r="G168" s="15" t="s">
        <v>320</v>
      </c>
      <c r="H168" s="16" t="str">
        <f aca="false">HYPERLINK("#'Forrásszöveg'!A"&amp;(MATCH("VHR-S0138",Forrásszöveg!$A$6:$A$2497,0)+5),"12. § eleje")</f>
        <v>12. § eleje</v>
      </c>
    </row>
    <row r="169" customFormat="false" ht="66" hidden="false" customHeight="true" outlineLevel="0" collapsed="false">
      <c r="A169" s="15" t="s">
        <v>639</v>
      </c>
      <c r="B169" s="15" t="s">
        <v>235</v>
      </c>
      <c r="C169" s="15" t="s">
        <v>640</v>
      </c>
      <c r="D169" s="15" t="s">
        <v>641</v>
      </c>
      <c r="E169" s="15" t="s">
        <v>174</v>
      </c>
      <c r="F169" s="16" t="str">
        <f aca="false">HYPERLINK("#'Forrásszöveg'!A"&amp;(MATCH("VHR-S0156",Forrásszöveg!$A$6:$A$2497,0)+5),"Vhr. 13. § (1)")</f>
        <v>Vhr. 13. § (1)</v>
      </c>
      <c r="G169" s="15" t="s">
        <v>642</v>
      </c>
      <c r="H169" s="16" t="str">
        <f aca="false">HYPERLINK("#'Forrásszöveg'!A"&amp;(MATCH("VHR-S0156",Forrásszöveg!$A$6:$A$2497,0)+5),"13. § eleje")</f>
        <v>13. § eleje</v>
      </c>
    </row>
    <row r="170" customFormat="false" ht="66" hidden="false" customHeight="true" outlineLevel="0" collapsed="false">
      <c r="A170" s="15" t="s">
        <v>643</v>
      </c>
      <c r="B170" s="15" t="s">
        <v>235</v>
      </c>
      <c r="C170" s="15" t="s">
        <v>644</v>
      </c>
      <c r="D170" s="15" t="s">
        <v>645</v>
      </c>
      <c r="E170" s="15" t="s">
        <v>174</v>
      </c>
      <c r="F170" s="16" t="str">
        <f aca="false">HYPERLINK("#'Forrásszöveg'!A"&amp;(MATCH("VHR-S0157",Forrásszöveg!$A$6:$A$2497,0)+5),"Vhr. 13. § (2)")</f>
        <v>Vhr. 13. § (2)</v>
      </c>
      <c r="G170" s="15" t="s">
        <v>642</v>
      </c>
      <c r="H170" s="16" t="str">
        <f aca="false">HYPERLINK("#'Forrásszöveg'!A"&amp;(MATCH("VHR-S0156",Forrásszöveg!$A$6:$A$2497,0)+5),"13. § eleje")</f>
        <v>13. § eleje</v>
      </c>
    </row>
    <row r="171" customFormat="false" ht="66" hidden="false" customHeight="true" outlineLevel="0" collapsed="false">
      <c r="A171" s="15" t="s">
        <v>646</v>
      </c>
      <c r="B171" s="15" t="s">
        <v>171</v>
      </c>
      <c r="C171" s="15" t="s">
        <v>647</v>
      </c>
      <c r="D171" s="15" t="s">
        <v>648</v>
      </c>
      <c r="E171" s="15" t="s">
        <v>174</v>
      </c>
      <c r="F171" s="16" t="str">
        <f aca="false">HYPERLINK("#'Forrásszöveg'!A"&amp;(MATCH("VHR-S0159",Forrásszöveg!$A$6:$A$2497,0)+5),"Vhr. 13. § (4)")</f>
        <v>Vhr. 13. § (4)</v>
      </c>
      <c r="G171" s="15" t="s">
        <v>642</v>
      </c>
      <c r="H171" s="16" t="str">
        <f aca="false">HYPERLINK("#'Forrásszöveg'!A"&amp;(MATCH("VHR-S0156",Forrásszöveg!$A$6:$A$2497,0)+5),"13. § eleje")</f>
        <v>13. § eleje</v>
      </c>
    </row>
    <row r="172" customFormat="false" ht="66" hidden="false" customHeight="true" outlineLevel="0" collapsed="false">
      <c r="A172" s="15" t="s">
        <v>649</v>
      </c>
      <c r="B172" s="15" t="s">
        <v>235</v>
      </c>
      <c r="C172" s="15" t="s">
        <v>650</v>
      </c>
      <c r="D172" s="15" t="s">
        <v>651</v>
      </c>
      <c r="E172" s="15" t="s">
        <v>174</v>
      </c>
      <c r="F172" s="16" t="str">
        <f aca="false">HYPERLINK("#'Forrásszöveg'!A"&amp;(MATCH("VHR-S0160",Forrásszöveg!$A$6:$A$2497,0)+5),"Vhr. 13. § (5)")</f>
        <v>Vhr. 13. § (5)</v>
      </c>
      <c r="G172" s="15" t="s">
        <v>642</v>
      </c>
      <c r="H172" s="16" t="str">
        <f aca="false">HYPERLINK("#'Forrásszöveg'!A"&amp;(MATCH("VHR-S0156",Forrásszöveg!$A$6:$A$2497,0)+5),"13. § eleje")</f>
        <v>13. § eleje</v>
      </c>
    </row>
    <row r="173" customFormat="false" ht="66" hidden="false" customHeight="true" outlineLevel="0" collapsed="false">
      <c r="A173" s="15" t="s">
        <v>652</v>
      </c>
      <c r="B173" s="15" t="s">
        <v>235</v>
      </c>
      <c r="C173" s="15" t="s">
        <v>653</v>
      </c>
      <c r="D173" s="15" t="s">
        <v>654</v>
      </c>
      <c r="E173" s="15" t="s">
        <v>174</v>
      </c>
      <c r="F173" s="16" t="str">
        <f aca="false">HYPERLINK("#'Forrásszöveg'!A"&amp;(MATCH("VHR-S0164",Forrásszöveg!$A$6:$A$2497,0)+5),"Vhr. 13. § (6)")</f>
        <v>Vhr. 13. § (6)</v>
      </c>
      <c r="G173" s="15" t="s">
        <v>642</v>
      </c>
      <c r="H173" s="16" t="str">
        <f aca="false">HYPERLINK("#'Forrásszöveg'!A"&amp;(MATCH("VHR-S0156",Forrásszöveg!$A$6:$A$2497,0)+5),"13. § eleje")</f>
        <v>13. § eleje</v>
      </c>
    </row>
    <row r="174" customFormat="false" ht="66" hidden="false" customHeight="true" outlineLevel="0" collapsed="false">
      <c r="A174" s="15" t="s">
        <v>655</v>
      </c>
      <c r="B174" s="15" t="s">
        <v>235</v>
      </c>
      <c r="C174" s="15" t="s">
        <v>656</v>
      </c>
      <c r="D174" s="15" t="s">
        <v>657</v>
      </c>
      <c r="E174" s="15" t="s">
        <v>174</v>
      </c>
      <c r="F174" s="16" t="str">
        <f aca="false">HYPERLINK("#'Forrásszöveg'!A"&amp;(MATCH("VHR-S0165",Forrásszöveg!$A$6:$A$2497,0)+5),"Vhr. 14. § (1)")</f>
        <v>Vhr. 14. § (1)</v>
      </c>
      <c r="G174" s="15" t="s">
        <v>642</v>
      </c>
      <c r="H174" s="16" t="str">
        <f aca="false">HYPERLINK("#'Forrásszöveg'!A"&amp;(MATCH("VHR-S0165",Forrásszöveg!$A$6:$A$2497,0)+5),"14. § eleje")</f>
        <v>14. § eleje</v>
      </c>
    </row>
    <row r="175" customFormat="false" ht="66" hidden="false" customHeight="true" outlineLevel="0" collapsed="false">
      <c r="A175" s="15" t="s">
        <v>658</v>
      </c>
      <c r="B175" s="15" t="s">
        <v>235</v>
      </c>
      <c r="C175" s="15" t="s">
        <v>659</v>
      </c>
      <c r="D175" s="15" t="s">
        <v>660</v>
      </c>
      <c r="E175" s="15" t="s">
        <v>174</v>
      </c>
      <c r="F175" s="16" t="str">
        <f aca="false">HYPERLINK("#'Forrásszöveg'!A"&amp;(MATCH("VHR-S0166",Forrásszöveg!$A$6:$A$2497,0)+5),"Vhr. 14. § (2)")</f>
        <v>Vhr. 14. § (2)</v>
      </c>
      <c r="G175" s="15" t="s">
        <v>642</v>
      </c>
      <c r="H175" s="16" t="str">
        <f aca="false">HYPERLINK("#'Forrásszöveg'!A"&amp;(MATCH("VHR-S0165",Forrásszöveg!$A$6:$A$2497,0)+5),"14. § eleje")</f>
        <v>14. § eleje</v>
      </c>
    </row>
    <row r="176" customFormat="false" ht="52" hidden="false" customHeight="true" outlineLevel="0" collapsed="false">
      <c r="A176" s="15" t="s">
        <v>661</v>
      </c>
      <c r="B176" s="15" t="s">
        <v>437</v>
      </c>
      <c r="C176" s="15" t="s">
        <v>662</v>
      </c>
      <c r="D176" s="15" t="s">
        <v>663</v>
      </c>
      <c r="E176" s="15" t="s">
        <v>174</v>
      </c>
      <c r="F176" s="16" t="str">
        <f aca="false">HYPERLINK("#'Forrásszöveg'!A"&amp;(MATCH("VHR-S0169",Forrásszöveg!$A$6:$A$2497,0)+5),"Vhr. 15. § (1)")</f>
        <v>Vhr. 15. § (1)</v>
      </c>
      <c r="G176" s="15" t="s">
        <v>664</v>
      </c>
      <c r="H176" s="16" t="str">
        <f aca="false">HYPERLINK("#'Forrásszöveg'!A"&amp;(MATCH("VHR-S0169",Forrásszöveg!$A$6:$A$2497,0)+5),"15. § eleje")</f>
        <v>15. § eleje</v>
      </c>
    </row>
    <row r="177" customFormat="false" ht="66" hidden="false" customHeight="true" outlineLevel="0" collapsed="false">
      <c r="A177" s="15" t="s">
        <v>665</v>
      </c>
      <c r="B177" s="15" t="s">
        <v>666</v>
      </c>
      <c r="C177" s="15" t="s">
        <v>667</v>
      </c>
      <c r="D177" s="15" t="s">
        <v>212</v>
      </c>
      <c r="E177" s="15" t="s">
        <v>174</v>
      </c>
      <c r="F177" s="16" t="str">
        <f aca="false">HYPERLINK("#'Forrásszöveg'!A"&amp;(MATCH("VHR-S0177",Forrásszöveg!$A$6:$A$2497,0)+5),"Vhr. 15. § (2)")</f>
        <v>Vhr. 15. § (2)</v>
      </c>
      <c r="G177" s="15" t="s">
        <v>664</v>
      </c>
      <c r="H177" s="16" t="str">
        <f aca="false">HYPERLINK("#'Forrásszöveg'!A"&amp;(MATCH("VHR-S0169",Forrásszöveg!$A$6:$A$2497,0)+5),"15. § eleje")</f>
        <v>15. § eleje</v>
      </c>
    </row>
    <row r="178" customFormat="false" ht="52" hidden="false" customHeight="true" outlineLevel="0" collapsed="false">
      <c r="A178" s="15" t="s">
        <v>668</v>
      </c>
      <c r="B178" s="15" t="s">
        <v>669</v>
      </c>
      <c r="C178" s="15" t="s">
        <v>670</v>
      </c>
      <c r="D178" s="15" t="s">
        <v>671</v>
      </c>
      <c r="E178" s="15" t="s">
        <v>174</v>
      </c>
      <c r="F178" s="16" t="str">
        <f aca="false">HYPERLINK("#'Forrásszöveg'!A"&amp;(MATCH("VHR-S0178",Forrásszöveg!$A$6:$A$2497,0)+5),"Vhr. 15. § (3)")</f>
        <v>Vhr. 15. § (3)</v>
      </c>
      <c r="G178" s="15" t="s">
        <v>664</v>
      </c>
      <c r="H178" s="16" t="str">
        <f aca="false">HYPERLINK("#'Forrásszöveg'!A"&amp;(MATCH("VHR-S0169",Forrásszöveg!$A$6:$A$2497,0)+5),"15. § eleje")</f>
        <v>15. § eleje</v>
      </c>
    </row>
    <row r="179" customFormat="false" ht="52" hidden="false" customHeight="true" outlineLevel="0" collapsed="false">
      <c r="A179" s="15" t="s">
        <v>672</v>
      </c>
      <c r="B179" s="15" t="s">
        <v>673</v>
      </c>
      <c r="C179" s="15" t="s">
        <v>674</v>
      </c>
      <c r="D179" s="15" t="s">
        <v>675</v>
      </c>
      <c r="E179" s="15" t="s">
        <v>174</v>
      </c>
      <c r="F179" s="16" t="str">
        <f aca="false">HYPERLINK("#'Forrásszöveg'!A"&amp;(MATCH("VHR-S0182",Forrásszöveg!$A$6:$A$2497,0)+5),"Vhr. 15. § (4)")</f>
        <v>Vhr. 15. § (4)</v>
      </c>
      <c r="G179" s="15" t="s">
        <v>664</v>
      </c>
      <c r="H179" s="16" t="str">
        <f aca="false">HYPERLINK("#'Forrásszöveg'!A"&amp;(MATCH("VHR-S0169",Forrásszöveg!$A$6:$A$2497,0)+5),"15. § eleje")</f>
        <v>15. § eleje</v>
      </c>
    </row>
    <row r="180" customFormat="false" ht="52" hidden="false" customHeight="true" outlineLevel="0" collapsed="false">
      <c r="A180" s="15" t="s">
        <v>676</v>
      </c>
      <c r="B180" s="15" t="s">
        <v>677</v>
      </c>
      <c r="C180" s="15" t="s">
        <v>678</v>
      </c>
      <c r="D180" s="15" t="s">
        <v>679</v>
      </c>
      <c r="E180" s="15" t="s">
        <v>174</v>
      </c>
      <c r="F180" s="16" t="str">
        <f aca="false">HYPERLINK("#'Forrásszöveg'!A"&amp;(MATCH("VHR-S0212",Forrásszöveg!$A$6:$A$2497,0)+5),"Vhr. 17. § (2)")</f>
        <v>Vhr. 17. § (2)</v>
      </c>
      <c r="G180" s="15" t="s">
        <v>680</v>
      </c>
      <c r="H180" s="16" t="str">
        <f aca="false">HYPERLINK("#'Forrásszöveg'!A"&amp;(MATCH("VHR-S0192",Forrásszöveg!$A$6:$A$2497,0)+5),"17. § eleje")</f>
        <v>17. § eleje</v>
      </c>
    </row>
    <row r="181" customFormat="false" ht="38" hidden="false" customHeight="true" outlineLevel="0" collapsed="false">
      <c r="A181" s="15" t="s">
        <v>681</v>
      </c>
      <c r="B181" s="15" t="s">
        <v>235</v>
      </c>
      <c r="C181" s="15" t="s">
        <v>682</v>
      </c>
      <c r="D181" s="15" t="s">
        <v>683</v>
      </c>
      <c r="E181" s="15" t="s">
        <v>174</v>
      </c>
      <c r="F181" s="16" t="str">
        <f aca="false">HYPERLINK("#'Forrásszöveg'!A"&amp;(MATCH("VHR-S0526",Forrásszöveg!$A$6:$A$2497,0)+5),"Vhr. 59. § (1)")</f>
        <v>Vhr. 59. § (1)</v>
      </c>
      <c r="G181" s="15" t="s">
        <v>684</v>
      </c>
      <c r="H181" s="16" t="str">
        <f aca="false">HYPERLINK("#'Forrásszöveg'!A"&amp;(MATCH("VHR-S0526",Forrásszöveg!$A$6:$A$2497,0)+5),"59. § eleje")</f>
        <v>59. § eleje</v>
      </c>
    </row>
    <row r="182" customFormat="false" ht="52" hidden="false" customHeight="true" outlineLevel="0" collapsed="false">
      <c r="A182" s="15" t="s">
        <v>685</v>
      </c>
      <c r="B182" s="15" t="s">
        <v>686</v>
      </c>
      <c r="C182" s="15" t="s">
        <v>687</v>
      </c>
      <c r="D182" s="15" t="s">
        <v>688</v>
      </c>
      <c r="E182" s="15" t="s">
        <v>174</v>
      </c>
      <c r="F182" s="16" t="str">
        <f aca="false">HYPERLINK("#'Forrásszöveg'!A"&amp;(MATCH("VHR-S0534",Forrásszöveg!$A$6:$A$2497,0)+5),"Vhr. 59. § (3)")</f>
        <v>Vhr. 59. § (3)</v>
      </c>
      <c r="G182" s="15" t="s">
        <v>684</v>
      </c>
      <c r="H182" s="16" t="str">
        <f aca="false">HYPERLINK("#'Forrásszöveg'!A"&amp;(MATCH("VHR-S0526",Forrásszöveg!$A$6:$A$2497,0)+5),"59. § eleje")</f>
        <v>59. § eleje</v>
      </c>
    </row>
    <row r="183" customFormat="false" ht="38" hidden="false" customHeight="true" outlineLevel="0" collapsed="false">
      <c r="A183" s="15" t="s">
        <v>689</v>
      </c>
      <c r="B183" s="15" t="s">
        <v>235</v>
      </c>
      <c r="C183" s="15" t="s">
        <v>690</v>
      </c>
      <c r="D183" s="15" t="s">
        <v>691</v>
      </c>
      <c r="E183" s="15" t="s">
        <v>174</v>
      </c>
      <c r="F183" s="16" t="str">
        <f aca="false">HYPERLINK("#'Forrásszöveg'!A"&amp;(MATCH("VHR-S0538",Forrásszöveg!$A$6:$A$2497,0)+5),"Vhr. 59. § (4)")</f>
        <v>Vhr. 59. § (4)</v>
      </c>
      <c r="G183" s="15" t="s">
        <v>684</v>
      </c>
      <c r="H183" s="16" t="str">
        <f aca="false">HYPERLINK("#'Forrásszöveg'!A"&amp;(MATCH("VHR-S0526",Forrásszöveg!$A$6:$A$2497,0)+5),"59. § eleje")</f>
        <v>59. § eleje</v>
      </c>
    </row>
    <row r="184" customFormat="false" ht="38" hidden="false" customHeight="true" outlineLevel="0" collapsed="false">
      <c r="A184" s="15" t="s">
        <v>692</v>
      </c>
      <c r="B184" s="15" t="s">
        <v>693</v>
      </c>
      <c r="C184" s="15" t="s">
        <v>694</v>
      </c>
      <c r="D184" s="15" t="s">
        <v>695</v>
      </c>
      <c r="E184" s="15" t="s">
        <v>174</v>
      </c>
      <c r="F184" s="16" t="str">
        <f aca="false">HYPERLINK("#'Forrásszöveg'!A"&amp;(MATCH("VHR-S0539",Forrásszöveg!$A$6:$A$2497,0)+5),"Vhr. 60. § (1)")</f>
        <v>Vhr. 60. § (1)</v>
      </c>
      <c r="G184" s="15" t="s">
        <v>684</v>
      </c>
      <c r="H184" s="16" t="str">
        <f aca="false">HYPERLINK("#'Forrásszöveg'!A"&amp;(MATCH("VHR-S0539",Forrásszöveg!$A$6:$A$2497,0)+5),"60. § eleje")</f>
        <v>60. § eleje</v>
      </c>
    </row>
    <row r="185" customFormat="false" ht="38" hidden="false" customHeight="true" outlineLevel="0" collapsed="false">
      <c r="A185" s="15" t="s">
        <v>696</v>
      </c>
      <c r="B185" s="15" t="s">
        <v>697</v>
      </c>
      <c r="C185" s="15" t="s">
        <v>698</v>
      </c>
      <c r="D185" s="15" t="s">
        <v>699</v>
      </c>
      <c r="E185" s="15" t="s">
        <v>174</v>
      </c>
      <c r="F185" s="16" t="str">
        <f aca="false">HYPERLINK("#'Forrásszöveg'!A"&amp;(MATCH("VHR-S0540",Forrásszöveg!$A$6:$A$2497,0)+5),"Vhr. 60. § (2)")</f>
        <v>Vhr. 60. § (2)</v>
      </c>
      <c r="G185" s="15" t="s">
        <v>684</v>
      </c>
      <c r="H185" s="16" t="str">
        <f aca="false">HYPERLINK("#'Forrásszöveg'!A"&amp;(MATCH("VHR-S0539",Forrásszöveg!$A$6:$A$2497,0)+5),"60. § eleje")</f>
        <v>60. § eleje</v>
      </c>
    </row>
    <row r="186" customFormat="false" ht="38" hidden="false" customHeight="true" outlineLevel="0" collapsed="false">
      <c r="A186" s="15" t="s">
        <v>700</v>
      </c>
      <c r="B186" s="15" t="s">
        <v>701</v>
      </c>
      <c r="C186" s="15" t="s">
        <v>702</v>
      </c>
      <c r="D186" s="15" t="s">
        <v>703</v>
      </c>
      <c r="E186" s="15" t="s">
        <v>704</v>
      </c>
      <c r="F186" s="16" t="str">
        <f aca="false">HYPERLINK("#'Forrásszöveg'!A"&amp;(MATCH("VHR-S0542",Forrásszöveg!$A$6:$A$2497,0)+5),"Vhr. 62. § (1)")</f>
        <v>Vhr. 62. § (1)</v>
      </c>
      <c r="G186" s="15" t="s">
        <v>684</v>
      </c>
      <c r="H186" s="16" t="str">
        <f aca="false">HYPERLINK("#'Forrásszöveg'!A"&amp;(MATCH("VHR-S0542",Forrásszöveg!$A$6:$A$2497,0)+5),"62. § eleje")</f>
        <v>62. § eleje</v>
      </c>
    </row>
    <row r="187" customFormat="false" ht="52" hidden="false" customHeight="true" outlineLevel="0" collapsed="false">
      <c r="A187" s="15" t="s">
        <v>705</v>
      </c>
      <c r="B187" s="15" t="s">
        <v>235</v>
      </c>
      <c r="C187" s="15" t="s">
        <v>706</v>
      </c>
      <c r="D187" s="15" t="s">
        <v>707</v>
      </c>
      <c r="E187" s="15" t="s">
        <v>708</v>
      </c>
      <c r="F187" s="16" t="str">
        <f aca="false">HYPERLINK("#'Forrásszöveg'!A"&amp;(MATCH("VHR-S0568",Forrásszöveg!$A$6:$A$2497,0)+5),"Vhr. 63. § (1)")</f>
        <v>Vhr. 63. § (1)</v>
      </c>
      <c r="G187" s="15" t="s">
        <v>684</v>
      </c>
      <c r="H187" s="16" t="str">
        <f aca="false">HYPERLINK("#'Forrásszöveg'!A"&amp;(MATCH("VHR-S0568",Forrásszöveg!$A$6:$A$2497,0)+5),"63. § eleje")</f>
        <v>63. § eleje</v>
      </c>
    </row>
    <row r="188" customFormat="false" ht="38" hidden="false" customHeight="true" outlineLevel="0" collapsed="false">
      <c r="A188" s="15" t="s">
        <v>709</v>
      </c>
      <c r="B188" s="15" t="s">
        <v>235</v>
      </c>
      <c r="C188" s="15" t="s">
        <v>710</v>
      </c>
      <c r="D188" s="15" t="s">
        <v>711</v>
      </c>
      <c r="E188" s="15" t="s">
        <v>174</v>
      </c>
      <c r="F188" s="16" t="str">
        <f aca="false">HYPERLINK("#'Forrásszöveg'!A"&amp;(MATCH("VHR-S0571",Forrásszöveg!$A$6:$A$2497,0)+5),"Vhr. 63. § (2)")</f>
        <v>Vhr. 63. § (2)</v>
      </c>
      <c r="G188" s="15" t="s">
        <v>684</v>
      </c>
      <c r="H188" s="16" t="str">
        <f aca="false">HYPERLINK("#'Forrásszöveg'!A"&amp;(MATCH("VHR-S0568",Forrásszöveg!$A$6:$A$2497,0)+5),"63. § eleje")</f>
        <v>63. § eleje</v>
      </c>
    </row>
    <row r="189" customFormat="false" ht="38" hidden="false" customHeight="true" outlineLevel="0" collapsed="false">
      <c r="A189" s="15" t="s">
        <v>712</v>
      </c>
      <c r="B189" s="15" t="s">
        <v>235</v>
      </c>
      <c r="C189" s="15" t="s">
        <v>713</v>
      </c>
      <c r="D189" s="15" t="s">
        <v>714</v>
      </c>
      <c r="E189" s="15" t="s">
        <v>715</v>
      </c>
      <c r="F189" s="16" t="str">
        <f aca="false">HYPERLINK("#'Forrásszöveg'!A"&amp;(MATCH("VHR-S0573",Forrásszöveg!$A$6:$A$2497,0)+5),"Vhr. 63. § (4)")</f>
        <v>Vhr. 63. § (4)</v>
      </c>
      <c r="G189" s="15" t="s">
        <v>684</v>
      </c>
      <c r="H189" s="16" t="str">
        <f aca="false">HYPERLINK("#'Forrásszöveg'!A"&amp;(MATCH("VHR-S0568",Forrásszöveg!$A$6:$A$2497,0)+5),"63. § eleje")</f>
        <v>63. § eleje</v>
      </c>
    </row>
    <row r="190" customFormat="false" ht="38" hidden="false" customHeight="true" outlineLevel="0" collapsed="false">
      <c r="A190" s="15" t="s">
        <v>716</v>
      </c>
      <c r="B190" s="15" t="s">
        <v>235</v>
      </c>
      <c r="C190" s="15" t="s">
        <v>717</v>
      </c>
      <c r="D190" s="15" t="s">
        <v>718</v>
      </c>
      <c r="E190" s="15" t="s">
        <v>719</v>
      </c>
      <c r="F190" s="16" t="str">
        <f aca="false">HYPERLINK("#'Forrásszöveg'!A"&amp;(MATCH("VHR-S0578",Forrásszöveg!$A$6:$A$2497,0)+5),"Vhr. 64. § (3)")</f>
        <v>Vhr. 64. § (3)</v>
      </c>
      <c r="G190" s="15" t="s">
        <v>720</v>
      </c>
      <c r="H190" s="16" t="str">
        <f aca="false">HYPERLINK("#'Forrásszöveg'!A"&amp;(MATCH("VHR-S0576",Forrásszöveg!$A$6:$A$2497,0)+5),"64. § eleje")</f>
        <v>64. § eleje</v>
      </c>
    </row>
    <row r="191" customFormat="false" ht="52" hidden="false" customHeight="true" outlineLevel="0" collapsed="false">
      <c r="A191" s="15" t="s">
        <v>721</v>
      </c>
      <c r="B191" s="15" t="s">
        <v>722</v>
      </c>
      <c r="C191" s="15" t="s">
        <v>723</v>
      </c>
      <c r="D191" s="15" t="s">
        <v>724</v>
      </c>
      <c r="E191" s="15" t="s">
        <v>174</v>
      </c>
      <c r="F191" s="16" t="str">
        <f aca="false">HYPERLINK("#'Forrásszöveg'!A"&amp;(MATCH("TV-S0437",Forrásszöveg!$A$6:$A$2497,0)+5),"Tv. 19. § (4)")</f>
        <v>Tv. 19. § (4)</v>
      </c>
      <c r="G191" s="15" t="s">
        <v>452</v>
      </c>
      <c r="H191" s="16" t="str">
        <f aca="false">HYPERLINK("#'Forrásszöveg'!A"&amp;(MATCH("TV-S0420",Forrásszöveg!$A$6:$A$2497,0)+5),"19. § eleje")</f>
        <v>19. § eleje</v>
      </c>
    </row>
    <row r="192" customFormat="false" ht="52" hidden="false" customHeight="true" outlineLevel="0" collapsed="false">
      <c r="A192" s="15" t="s">
        <v>725</v>
      </c>
      <c r="B192" s="15" t="s">
        <v>235</v>
      </c>
      <c r="C192" s="15" t="s">
        <v>726</v>
      </c>
      <c r="D192" s="15" t="s">
        <v>727</v>
      </c>
      <c r="E192" s="15" t="s">
        <v>728</v>
      </c>
      <c r="F192" s="16" t="str">
        <f aca="false">HYPERLINK("#'Forrásszöveg'!A"&amp;(MATCH("VHR-S0766",Forrásszöveg!$A$6:$A$2497,0)+5),"Vhr. 77. § (1) 1.")</f>
        <v>Vhr. 77. § (1) 1.</v>
      </c>
      <c r="G192" s="15" t="s">
        <v>729</v>
      </c>
      <c r="H192" s="16" t="str">
        <f aca="false">HYPERLINK("#'Forrásszöveg'!A"&amp;(MATCH("VHR-S0765",Forrásszöveg!$A$6:$A$2497,0)+5),"77. § eleje")</f>
        <v>77. § eleje</v>
      </c>
    </row>
    <row r="193" customFormat="false" ht="38" hidden="false" customHeight="true" outlineLevel="0" collapsed="false">
      <c r="A193" s="15" t="s">
        <v>730</v>
      </c>
      <c r="B193" s="15" t="s">
        <v>235</v>
      </c>
      <c r="C193" s="15" t="s">
        <v>731</v>
      </c>
      <c r="D193" s="15" t="s">
        <v>732</v>
      </c>
      <c r="E193" s="15" t="s">
        <v>733</v>
      </c>
      <c r="F193" s="16" t="str">
        <f aca="false">HYPERLINK("#'Forrásszöveg'!A"&amp;(MATCH("VHR-S0781",Forrásszöveg!$A$6:$A$2497,0)+5),"Vhr. 77. § (1) 2.")</f>
        <v>Vhr. 77. § (1) 2.</v>
      </c>
      <c r="G193" s="15" t="s">
        <v>729</v>
      </c>
      <c r="H193" s="16" t="str">
        <f aca="false">HYPERLINK("#'Forrásszöveg'!A"&amp;(MATCH("VHR-S0765",Forrásszöveg!$A$6:$A$2497,0)+5),"77. § eleje")</f>
        <v>77. § eleje</v>
      </c>
    </row>
    <row r="194" customFormat="false" ht="52" hidden="false" customHeight="true" outlineLevel="0" collapsed="false">
      <c r="A194" s="15" t="s">
        <v>734</v>
      </c>
      <c r="B194" s="15" t="s">
        <v>235</v>
      </c>
      <c r="C194" s="15" t="s">
        <v>735</v>
      </c>
      <c r="D194" s="15" t="s">
        <v>736</v>
      </c>
      <c r="E194" s="15" t="s">
        <v>737</v>
      </c>
      <c r="F194" s="16" t="str">
        <f aca="false">HYPERLINK("#'Forrásszöveg'!A"&amp;(MATCH("VHR-S0782",Forrásszöveg!$A$6:$A$2497,0)+5),"Vhr. 77. § (1) 3.")</f>
        <v>Vhr. 77. § (1) 3.</v>
      </c>
      <c r="G194" s="15" t="s">
        <v>729</v>
      </c>
      <c r="H194" s="16" t="str">
        <f aca="false">HYPERLINK("#'Forrásszöveg'!A"&amp;(MATCH("VHR-S0765",Forrásszöveg!$A$6:$A$2497,0)+5),"77. § eleje")</f>
        <v>77. § eleje</v>
      </c>
    </row>
    <row r="195" customFormat="false" ht="38" hidden="false" customHeight="true" outlineLevel="0" collapsed="false">
      <c r="A195" s="15" t="s">
        <v>738</v>
      </c>
      <c r="B195" s="15" t="s">
        <v>235</v>
      </c>
      <c r="C195" s="15" t="s">
        <v>739</v>
      </c>
      <c r="D195" s="15" t="s">
        <v>740</v>
      </c>
      <c r="E195" s="15" t="s">
        <v>741</v>
      </c>
      <c r="F195" s="16" t="str">
        <f aca="false">HYPERLINK("#'Forrásszöveg'!A"&amp;(MATCH("VHR-S0783",Forrásszöveg!$A$6:$A$2497,0)+5),"Vhr. 77. § (1) 4.")</f>
        <v>Vhr. 77. § (1) 4.</v>
      </c>
      <c r="G195" s="15" t="s">
        <v>729</v>
      </c>
      <c r="H195" s="16" t="str">
        <f aca="false">HYPERLINK("#'Forrásszöveg'!A"&amp;(MATCH("VHR-S0765",Forrásszöveg!$A$6:$A$2497,0)+5),"77. § eleje")</f>
        <v>77. § eleje</v>
      </c>
    </row>
    <row r="196" customFormat="false" ht="38" hidden="false" customHeight="true" outlineLevel="0" collapsed="false">
      <c r="A196" s="15" t="s">
        <v>742</v>
      </c>
      <c r="B196" s="15" t="s">
        <v>235</v>
      </c>
      <c r="C196" s="15" t="s">
        <v>743</v>
      </c>
      <c r="D196" s="15" t="s">
        <v>744</v>
      </c>
      <c r="E196" s="15" t="s">
        <v>745</v>
      </c>
      <c r="F196" s="16" t="str">
        <f aca="false">HYPERLINK("#'Forrásszöveg'!A"&amp;(MATCH("VHR-S0784",Forrásszöveg!$A$6:$A$2497,0)+5),"Vhr. 77. § (1) 5.")</f>
        <v>Vhr. 77. § (1) 5.</v>
      </c>
      <c r="G196" s="15" t="s">
        <v>729</v>
      </c>
      <c r="H196" s="16" t="str">
        <f aca="false">HYPERLINK("#'Forrásszöveg'!A"&amp;(MATCH("VHR-S0765",Forrásszöveg!$A$6:$A$2497,0)+5),"77. § eleje")</f>
        <v>77. § eleje</v>
      </c>
    </row>
    <row r="197" customFormat="false" ht="38" hidden="false" customHeight="true" outlineLevel="0" collapsed="false">
      <c r="A197" s="15" t="s">
        <v>746</v>
      </c>
      <c r="B197" s="15" t="s">
        <v>235</v>
      </c>
      <c r="C197" s="15" t="s">
        <v>747</v>
      </c>
      <c r="D197" s="15" t="s">
        <v>748</v>
      </c>
      <c r="E197" s="15" t="s">
        <v>749</v>
      </c>
      <c r="F197" s="16" t="str">
        <f aca="false">HYPERLINK("#'Forrásszöveg'!A"&amp;(MATCH("VHR-S0789",Forrásszöveg!$A$6:$A$2497,0)+5),"Vhr. 77. § (1) 6.")</f>
        <v>Vhr. 77. § (1) 6.</v>
      </c>
      <c r="G197" s="15" t="s">
        <v>729</v>
      </c>
      <c r="H197" s="16" t="str">
        <f aca="false">HYPERLINK("#'Forrásszöveg'!A"&amp;(MATCH("VHR-S0765",Forrásszöveg!$A$6:$A$2497,0)+5),"77. § eleje")</f>
        <v>77. § eleje</v>
      </c>
    </row>
    <row r="198" customFormat="false" ht="38" hidden="false" customHeight="true" outlineLevel="0" collapsed="false">
      <c r="A198" s="15" t="s">
        <v>750</v>
      </c>
      <c r="B198" s="15" t="s">
        <v>235</v>
      </c>
      <c r="C198" s="15" t="s">
        <v>751</v>
      </c>
      <c r="D198" s="15" t="s">
        <v>752</v>
      </c>
      <c r="E198" s="15" t="s">
        <v>753</v>
      </c>
      <c r="F198" s="16" t="str">
        <f aca="false">HYPERLINK("#'Forrásszöveg'!A"&amp;(MATCH("VHR-S0790",Forrásszöveg!$A$6:$A$2497,0)+5),"Vhr. 77. § (1) 7.")</f>
        <v>Vhr. 77. § (1) 7.</v>
      </c>
      <c r="G198" s="15" t="s">
        <v>729</v>
      </c>
      <c r="H198" s="16" t="str">
        <f aca="false">HYPERLINK("#'Forrásszöveg'!A"&amp;(MATCH("VHR-S0765",Forrásszöveg!$A$6:$A$2497,0)+5),"77. § eleje")</f>
        <v>77. § eleje</v>
      </c>
    </row>
    <row r="199" customFormat="false" ht="52" hidden="false" customHeight="true" outlineLevel="0" collapsed="false">
      <c r="A199" s="15" t="s">
        <v>754</v>
      </c>
      <c r="B199" s="15" t="s">
        <v>755</v>
      </c>
      <c r="C199" s="15" t="s">
        <v>756</v>
      </c>
      <c r="D199" s="15" t="s">
        <v>757</v>
      </c>
      <c r="E199" s="15" t="s">
        <v>728</v>
      </c>
      <c r="F199" s="16" t="str">
        <f aca="false">HYPERLINK("#'Forrásszöveg'!A"&amp;(MATCH("VHR-S0793",Forrásszöveg!$A$6:$A$2497,0)+5),"Vhr. 77. § (4)")</f>
        <v>Vhr. 77. § (4)</v>
      </c>
      <c r="G199" s="15" t="s">
        <v>729</v>
      </c>
      <c r="H199" s="16" t="str">
        <f aca="false">HYPERLINK("#'Forrásszöveg'!A"&amp;(MATCH("VHR-S0765",Forrásszöveg!$A$6:$A$2497,0)+5),"77. § eleje")</f>
        <v>77. § eleje</v>
      </c>
    </row>
    <row r="200" customFormat="false" ht="38" hidden="false" customHeight="true" outlineLevel="0" collapsed="false">
      <c r="A200" s="15" t="s">
        <v>758</v>
      </c>
      <c r="B200" s="15" t="s">
        <v>235</v>
      </c>
      <c r="C200" s="15" t="s">
        <v>759</v>
      </c>
      <c r="D200" s="15" t="s">
        <v>760</v>
      </c>
      <c r="E200" s="15" t="s">
        <v>761</v>
      </c>
      <c r="F200" s="16" t="str">
        <f aca="false">HYPERLINK("#'Forrásszöveg'!A"&amp;(MATCH("VHR-S0794",Forrásszöveg!$A$6:$A$2497,0)+5),"Vhr. 78. § (1)")</f>
        <v>Vhr. 78. § (1)</v>
      </c>
      <c r="G200" s="15" t="s">
        <v>729</v>
      </c>
      <c r="H200" s="16" t="str">
        <f aca="false">HYPERLINK("#'Forrásszöveg'!A"&amp;(MATCH("VHR-S0794",Forrásszöveg!$A$6:$A$2497,0)+5),"78. § eleje")</f>
        <v>78. § eleje</v>
      </c>
    </row>
    <row r="201" customFormat="false" ht="38" hidden="false" customHeight="true" outlineLevel="0" collapsed="false">
      <c r="A201" s="15" t="s">
        <v>762</v>
      </c>
      <c r="B201" s="15" t="s">
        <v>235</v>
      </c>
      <c r="C201" s="15" t="s">
        <v>763</v>
      </c>
      <c r="D201" s="15" t="s">
        <v>764</v>
      </c>
      <c r="E201" s="15" t="s">
        <v>223</v>
      </c>
      <c r="F201" s="16" t="str">
        <f aca="false">HYPERLINK("#'Forrásszöveg'!A"&amp;(MATCH("VHR-S0795",Forrásszöveg!$A$6:$A$2497,0)+5),"Vhr. 78. § (2)")</f>
        <v>Vhr. 78. § (2)</v>
      </c>
      <c r="G201" s="15" t="s">
        <v>729</v>
      </c>
      <c r="H201" s="16" t="str">
        <f aca="false">HYPERLINK("#'Forrásszöveg'!A"&amp;(MATCH("VHR-S0794",Forrásszöveg!$A$6:$A$2497,0)+5),"78. § eleje")</f>
        <v>78. § eleje</v>
      </c>
    </row>
    <row r="202" customFormat="false" ht="52" hidden="false" customHeight="true" outlineLevel="0" collapsed="false">
      <c r="A202" s="15" t="s">
        <v>765</v>
      </c>
      <c r="B202" s="15" t="s">
        <v>235</v>
      </c>
      <c r="C202" s="15" t="s">
        <v>766</v>
      </c>
      <c r="D202" s="15" t="s">
        <v>767</v>
      </c>
      <c r="E202" s="15" t="s">
        <v>768</v>
      </c>
      <c r="F202" s="16" t="str">
        <f aca="false">HYPERLINK("#'Forrásszöveg'!A"&amp;(MATCH("VHR-S0800",Forrásszöveg!$A$6:$A$2497,0)+5),"Vhr. 80. § (1)")</f>
        <v>Vhr. 80. § (1)</v>
      </c>
      <c r="G202" s="15" t="s">
        <v>769</v>
      </c>
      <c r="H202" s="16" t="str">
        <f aca="false">HYPERLINK("#'Forrásszöveg'!A"&amp;(MATCH("VHR-S0800",Forrásszöveg!$A$6:$A$2497,0)+5),"80. § eleje")</f>
        <v>80. § eleje</v>
      </c>
    </row>
    <row r="203" customFormat="false" ht="52" hidden="false" customHeight="true" outlineLevel="0" collapsed="false">
      <c r="A203" s="15" t="s">
        <v>770</v>
      </c>
      <c r="B203" s="15" t="s">
        <v>235</v>
      </c>
      <c r="C203" s="15" t="s">
        <v>771</v>
      </c>
      <c r="D203" s="15" t="s">
        <v>772</v>
      </c>
      <c r="E203" s="15" t="s">
        <v>773</v>
      </c>
      <c r="F203" s="16" t="str">
        <f aca="false">HYPERLINK("#'Forrásszöveg'!A"&amp;(MATCH("VHR-S0801",Forrásszöveg!$A$6:$A$2497,0)+5),"Vhr. 80. § (2)")</f>
        <v>Vhr. 80. § (2)</v>
      </c>
      <c r="G203" s="15" t="s">
        <v>769</v>
      </c>
      <c r="H203" s="16" t="str">
        <f aca="false">HYPERLINK("#'Forrásszöveg'!A"&amp;(MATCH("VHR-S0800",Forrásszöveg!$A$6:$A$2497,0)+5),"80. § eleje")</f>
        <v>80. § eleje</v>
      </c>
    </row>
    <row r="204" customFormat="false" ht="38" hidden="false" customHeight="true" outlineLevel="0" collapsed="false">
      <c r="A204" s="15" t="s">
        <v>774</v>
      </c>
      <c r="B204" s="15" t="s">
        <v>235</v>
      </c>
      <c r="C204" s="15" t="s">
        <v>775</v>
      </c>
      <c r="D204" s="15" t="s">
        <v>740</v>
      </c>
      <c r="E204" s="15" t="s">
        <v>741</v>
      </c>
      <c r="F204" s="16" t="str">
        <f aca="false">HYPERLINK("#'Forrásszöveg'!A"&amp;(MATCH("VHR-S0823",Forrásszöveg!$A$6:$A$2497,0)+5),"Vhr. 83. § (3)")</f>
        <v>Vhr. 83. § (3)</v>
      </c>
      <c r="G204" s="15" t="s">
        <v>769</v>
      </c>
      <c r="H204" s="16" t="str">
        <f aca="false">HYPERLINK("#'Forrásszöveg'!A"&amp;(MATCH("VHR-S0814",Forrásszöveg!$A$6:$A$2497,0)+5),"83. § eleje")</f>
        <v>83. § eleje</v>
      </c>
    </row>
    <row r="205" customFormat="false" ht="38" hidden="false" customHeight="true" outlineLevel="0" collapsed="false">
      <c r="A205" s="15" t="s">
        <v>776</v>
      </c>
      <c r="B205" s="15" t="s">
        <v>235</v>
      </c>
      <c r="C205" s="15" t="s">
        <v>777</v>
      </c>
      <c r="D205" s="15" t="s">
        <v>778</v>
      </c>
      <c r="E205" s="15" t="s">
        <v>741</v>
      </c>
      <c r="F205" s="16" t="str">
        <f aca="false">HYPERLINK("#'Forrásszöveg'!A"&amp;(MATCH("VHR-S0824",Forrásszöveg!$A$6:$A$2497,0)+5),"Vhr. 83. § (4)")</f>
        <v>Vhr. 83. § (4)</v>
      </c>
      <c r="G205" s="15" t="s">
        <v>769</v>
      </c>
      <c r="H205" s="16" t="str">
        <f aca="false">HYPERLINK("#'Forrásszöveg'!A"&amp;(MATCH("VHR-S0814",Forrásszöveg!$A$6:$A$2497,0)+5),"83. § eleje")</f>
        <v>83. § eleje</v>
      </c>
    </row>
    <row r="206" customFormat="false" ht="38" hidden="false" customHeight="true" outlineLevel="0" collapsed="false">
      <c r="A206" s="15" t="s">
        <v>779</v>
      </c>
      <c r="B206" s="15" t="s">
        <v>235</v>
      </c>
      <c r="C206" s="15" t="s">
        <v>780</v>
      </c>
      <c r="D206" s="15" t="s">
        <v>781</v>
      </c>
      <c r="E206" s="15" t="s">
        <v>223</v>
      </c>
      <c r="F206" s="16" t="str">
        <f aca="false">HYPERLINK("#'Forrásszöveg'!A"&amp;(MATCH("VHR-S0826",Forrásszöveg!$A$6:$A$2497,0)+5),"Vhr. 84. § (1)")</f>
        <v>Vhr. 84. § (1)</v>
      </c>
      <c r="G206" s="15" t="s">
        <v>769</v>
      </c>
      <c r="H206" s="16" t="str">
        <f aca="false">HYPERLINK("#'Forrásszöveg'!A"&amp;(MATCH("VHR-S0826",Forrásszöveg!$A$6:$A$2497,0)+5),"84. § eleje")</f>
        <v>84. § eleje</v>
      </c>
    </row>
    <row r="207" customFormat="false" ht="38" hidden="false" customHeight="true" outlineLevel="0" collapsed="false">
      <c r="A207" s="15" t="s">
        <v>782</v>
      </c>
      <c r="B207" s="15" t="s">
        <v>235</v>
      </c>
      <c r="C207" s="15" t="s">
        <v>783</v>
      </c>
      <c r="D207" s="15" t="s">
        <v>784</v>
      </c>
      <c r="E207" s="15" t="s">
        <v>785</v>
      </c>
      <c r="F207" s="16" t="str">
        <f aca="false">HYPERLINK("#'Forrásszöveg'!A"&amp;(MATCH("VHR-S0827",Forrásszöveg!$A$6:$A$2497,0)+5),"Vhr. 84. § (2)")</f>
        <v>Vhr. 84. § (2)</v>
      </c>
      <c r="G207" s="15" t="s">
        <v>769</v>
      </c>
      <c r="H207" s="16" t="str">
        <f aca="false">HYPERLINK("#'Forrásszöveg'!A"&amp;(MATCH("VHR-S0826",Forrásszöveg!$A$6:$A$2497,0)+5),"84. § eleje")</f>
        <v>84. § eleje</v>
      </c>
    </row>
    <row r="208" customFormat="false" ht="38" hidden="false" customHeight="true" outlineLevel="0" collapsed="false">
      <c r="A208" s="15" t="s">
        <v>786</v>
      </c>
      <c r="B208" s="15" t="s">
        <v>235</v>
      </c>
      <c r="C208" s="15" t="s">
        <v>787</v>
      </c>
      <c r="D208" s="15" t="s">
        <v>788</v>
      </c>
      <c r="E208" s="15" t="s">
        <v>788</v>
      </c>
      <c r="F208" s="16" t="str">
        <f aca="false">HYPERLINK("#'Forrásszöveg'!A"&amp;(MATCH("VHR-S0828",Forrásszöveg!$A$6:$A$2497,0)+5),"Vhr. 84. § (3)")</f>
        <v>Vhr. 84. § (3)</v>
      </c>
      <c r="G208" s="15" t="s">
        <v>769</v>
      </c>
      <c r="H208" s="16" t="str">
        <f aca="false">HYPERLINK("#'Forrásszöveg'!A"&amp;(MATCH("VHR-S0826",Forrásszöveg!$A$6:$A$2497,0)+5),"84. § eleje")</f>
        <v>84. § eleje</v>
      </c>
    </row>
    <row r="209" customFormat="false" ht="38" hidden="false" customHeight="true" outlineLevel="0" collapsed="false">
      <c r="A209" s="15" t="s">
        <v>789</v>
      </c>
      <c r="B209" s="15" t="s">
        <v>235</v>
      </c>
      <c r="C209" s="15" t="s">
        <v>790</v>
      </c>
      <c r="D209" s="15" t="s">
        <v>791</v>
      </c>
      <c r="E209" s="15" t="s">
        <v>174</v>
      </c>
      <c r="F209" s="16" t="str">
        <f aca="false">HYPERLINK("#'Forrásszöveg'!A"&amp;(MATCH("VHR-S0815",Forrásszöveg!$A$6:$A$2497,0)+5),"Vhr. 83. § (1) a)")</f>
        <v>Vhr. 83. § (1) a)</v>
      </c>
      <c r="G209" s="15" t="s">
        <v>769</v>
      </c>
      <c r="H209" s="16" t="str">
        <f aca="false">HYPERLINK("#'Forrásszöveg'!A"&amp;(MATCH("VHR-S0814",Forrásszöveg!$A$6:$A$2497,0)+5),"83. § eleje")</f>
        <v>83. § eleje</v>
      </c>
    </row>
    <row r="210" customFormat="false" ht="38" hidden="false" customHeight="true" outlineLevel="0" collapsed="false">
      <c r="A210" s="15" t="s">
        <v>792</v>
      </c>
      <c r="B210" s="15" t="s">
        <v>235</v>
      </c>
      <c r="C210" s="15" t="s">
        <v>793</v>
      </c>
      <c r="D210" s="15" t="s">
        <v>791</v>
      </c>
      <c r="E210" s="15" t="s">
        <v>174</v>
      </c>
      <c r="F210" s="16" t="str">
        <f aca="false">HYPERLINK("#'Forrásszöveg'!A"&amp;(MATCH("VHR-S0816",Forrásszöveg!$A$6:$A$2497,0)+5),"Vhr. 83. § (1) b)")</f>
        <v>Vhr. 83. § (1) b)</v>
      </c>
      <c r="G210" s="15" t="s">
        <v>769</v>
      </c>
      <c r="H210" s="16" t="str">
        <f aca="false">HYPERLINK("#'Forrásszöveg'!A"&amp;(MATCH("VHR-S0814",Forrásszöveg!$A$6:$A$2497,0)+5),"83. § eleje")</f>
        <v>83. § eleje</v>
      </c>
    </row>
    <row r="211" customFormat="false" ht="38" hidden="false" customHeight="true" outlineLevel="0" collapsed="false">
      <c r="A211" s="15" t="s">
        <v>794</v>
      </c>
      <c r="B211" s="15" t="s">
        <v>235</v>
      </c>
      <c r="C211" s="15" t="s">
        <v>795</v>
      </c>
      <c r="D211" s="15" t="s">
        <v>791</v>
      </c>
      <c r="E211" s="15" t="s">
        <v>174</v>
      </c>
      <c r="F211" s="16" t="str">
        <f aca="false">HYPERLINK("#'Forrásszöveg'!A"&amp;(MATCH("VHR-S0817",Forrásszöveg!$A$6:$A$2497,0)+5),"Vhr. 83. § (1) c)")</f>
        <v>Vhr. 83. § (1) c)</v>
      </c>
      <c r="G211" s="15" t="s">
        <v>769</v>
      </c>
      <c r="H211" s="16" t="str">
        <f aca="false">HYPERLINK("#'Forrásszöveg'!A"&amp;(MATCH("VHR-S0814",Forrásszöveg!$A$6:$A$2497,0)+5),"83. § eleje")</f>
        <v>83. § eleje</v>
      </c>
    </row>
    <row r="212" customFormat="false" ht="38" hidden="false" customHeight="true" outlineLevel="0" collapsed="false">
      <c r="A212" s="15" t="s">
        <v>796</v>
      </c>
      <c r="B212" s="15" t="s">
        <v>235</v>
      </c>
      <c r="C212" s="15" t="s">
        <v>797</v>
      </c>
      <c r="D212" s="15" t="s">
        <v>791</v>
      </c>
      <c r="E212" s="15" t="s">
        <v>174</v>
      </c>
      <c r="F212" s="16" t="str">
        <f aca="false">HYPERLINK("#'Forrásszöveg'!A"&amp;(MATCH("VHR-S0818",Forrásszöveg!$A$6:$A$2497,0)+5),"Vhr. 83. § (1) d)")</f>
        <v>Vhr. 83. § (1) d)</v>
      </c>
      <c r="G212" s="15" t="s">
        <v>769</v>
      </c>
      <c r="H212" s="16" t="str">
        <f aca="false">HYPERLINK("#'Forrásszöveg'!A"&amp;(MATCH("VHR-S0814",Forrásszöveg!$A$6:$A$2497,0)+5),"83. § eleje")</f>
        <v>83. § eleje</v>
      </c>
    </row>
    <row r="213" customFormat="false" ht="38" hidden="false" customHeight="true" outlineLevel="0" collapsed="false">
      <c r="A213" s="15" t="s">
        <v>798</v>
      </c>
      <c r="B213" s="15" t="s">
        <v>235</v>
      </c>
      <c r="C213" s="15" t="s">
        <v>799</v>
      </c>
      <c r="D213" s="15" t="s">
        <v>791</v>
      </c>
      <c r="E213" s="15" t="s">
        <v>174</v>
      </c>
      <c r="F213" s="16" t="str">
        <f aca="false">HYPERLINK("#'Forrásszöveg'!A"&amp;(MATCH("VHR-S0819",Forrásszöveg!$A$6:$A$2497,0)+5),"Vhr. 83. § (1) e)")</f>
        <v>Vhr. 83. § (1) e)</v>
      </c>
      <c r="G213" s="15" t="s">
        <v>769</v>
      </c>
      <c r="H213" s="16" t="str">
        <f aca="false">HYPERLINK("#'Forrásszöveg'!A"&amp;(MATCH("VHR-S0814",Forrásszöveg!$A$6:$A$2497,0)+5),"83. § eleje")</f>
        <v>83. § eleje</v>
      </c>
    </row>
    <row r="214" customFormat="false" ht="38" hidden="false" customHeight="true" outlineLevel="0" collapsed="false">
      <c r="A214" s="15" t="s">
        <v>800</v>
      </c>
      <c r="B214" s="15" t="s">
        <v>235</v>
      </c>
      <c r="C214" s="15" t="s">
        <v>801</v>
      </c>
      <c r="D214" s="15" t="s">
        <v>791</v>
      </c>
      <c r="E214" s="15" t="s">
        <v>174</v>
      </c>
      <c r="F214" s="16" t="str">
        <f aca="false">HYPERLINK("#'Forrásszöveg'!A"&amp;(MATCH("VHR-S0820",Forrásszöveg!$A$6:$A$2497,0)+5),"Vhr. 83. § (1) f)")</f>
        <v>Vhr. 83. § (1) f)</v>
      </c>
      <c r="G214" s="15" t="s">
        <v>769</v>
      </c>
      <c r="H214" s="16" t="str">
        <f aca="false">HYPERLINK("#'Forrásszöveg'!A"&amp;(MATCH("VHR-S0814",Forrásszöveg!$A$6:$A$2497,0)+5),"83. § eleje")</f>
        <v>83. § eleje</v>
      </c>
    </row>
    <row r="215" customFormat="false" ht="38" hidden="false" customHeight="true" outlineLevel="0" collapsed="false">
      <c r="A215" s="15" t="s">
        <v>802</v>
      </c>
      <c r="B215" s="15" t="s">
        <v>235</v>
      </c>
      <c r="C215" s="15" t="s">
        <v>803</v>
      </c>
      <c r="D215" s="15" t="s">
        <v>791</v>
      </c>
      <c r="E215" s="15" t="s">
        <v>174</v>
      </c>
      <c r="F215" s="16" t="str">
        <f aca="false">HYPERLINK("#'Forrásszöveg'!A"&amp;(MATCH("VHR-S0821",Forrásszöveg!$A$6:$A$2497,0)+5),"Vhr. 83. § (1) g)")</f>
        <v>Vhr. 83. § (1) g)</v>
      </c>
      <c r="G215" s="15" t="s">
        <v>769</v>
      </c>
      <c r="H215" s="16" t="str">
        <f aca="false">HYPERLINK("#'Forrásszöveg'!A"&amp;(MATCH("VHR-S0814",Forrásszöveg!$A$6:$A$2497,0)+5),"83. § eleje")</f>
        <v>83. § eleje</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8354A"/>
    <pageSetUpPr fitToPage="false"/>
  </sheetPr>
  <dimension ref="A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54"/>
    <col collapsed="false" customWidth="true" hidden="false" outlineLevel="0" max="4" min="4" style="0" width="52"/>
    <col collapsed="false" customWidth="true" hidden="false" outlineLevel="0" max="5" min="5" style="0" width="41"/>
    <col collapsed="false" customWidth="true" hidden="false" outlineLevel="0" max="6" min="6" style="0" width="27"/>
    <col collapsed="false" customWidth="true" hidden="false" outlineLevel="0" max="7" min="7" style="0" width="32"/>
    <col collapsed="false" customWidth="true" hidden="false" outlineLevel="0" max="8" min="8" style="0" width="18"/>
  </cols>
  <sheetData>
    <row r="1" customFormat="false" ht="15" hidden="false" customHeight="false" outlineLevel="0" collapsed="false">
      <c r="A1" s="10"/>
      <c r="B1" s="10"/>
      <c r="C1" s="10"/>
      <c r="D1" s="10"/>
      <c r="E1" s="10"/>
      <c r="F1" s="10"/>
      <c r="G1" s="10"/>
      <c r="H1" s="10"/>
    </row>
    <row r="2" customFormat="false" ht="18.55" hidden="false" customHeight="false" outlineLevel="0" collapsed="false">
      <c r="A2" s="11" t="s">
        <v>804</v>
      </c>
      <c r="B2" s="10"/>
      <c r="C2" s="10"/>
      <c r="D2" s="10"/>
      <c r="E2" s="10"/>
      <c r="F2" s="10"/>
      <c r="G2" s="10"/>
      <c r="H2" s="12" t="str">
        <f aca="false">HYPERLINK("#'Áttekintő'!A1","Áttekintő")</f>
        <v>Áttekintő</v>
      </c>
    </row>
    <row r="3" customFormat="false" ht="15" hidden="false" customHeight="false" outlineLevel="0" collapsed="false">
      <c r="A3" s="13" t="s">
        <v>162</v>
      </c>
      <c r="B3" s="10"/>
      <c r="C3" s="10"/>
      <c r="D3" s="10"/>
      <c r="E3" s="10"/>
      <c r="F3" s="10"/>
      <c r="G3" s="10"/>
      <c r="H3" s="10"/>
    </row>
    <row r="4" customFormat="false" ht="15" hidden="false" customHeight="false" outlineLevel="0" collapsed="false">
      <c r="A4" s="10"/>
      <c r="B4" s="10"/>
      <c r="C4" s="10"/>
      <c r="D4" s="10"/>
      <c r="E4" s="10"/>
      <c r="F4" s="10"/>
      <c r="G4" s="10"/>
      <c r="H4" s="10"/>
    </row>
    <row r="5" customFormat="false" ht="30" hidden="false" customHeight="true" outlineLevel="0" collapsed="false">
      <c r="A5" s="14" t="s">
        <v>19</v>
      </c>
      <c r="B5" s="14" t="s">
        <v>163</v>
      </c>
      <c r="C5" s="14" t="s">
        <v>805</v>
      </c>
      <c r="D5" s="14" t="s">
        <v>165</v>
      </c>
      <c r="E5" s="14" t="s">
        <v>166</v>
      </c>
      <c r="F5" s="14" t="s">
        <v>167</v>
      </c>
      <c r="G5" s="14" t="s">
        <v>168</v>
      </c>
      <c r="H5" s="14" t="s">
        <v>169</v>
      </c>
    </row>
    <row r="6" customFormat="false" ht="52" hidden="false" customHeight="true" outlineLevel="0" collapsed="false">
      <c r="A6" s="15" t="s">
        <v>806</v>
      </c>
      <c r="B6" s="15" t="s">
        <v>235</v>
      </c>
      <c r="C6" s="15" t="s">
        <v>807</v>
      </c>
      <c r="D6" s="15" t="s">
        <v>808</v>
      </c>
      <c r="E6" s="15" t="s">
        <v>174</v>
      </c>
      <c r="F6" s="16" t="str">
        <f aca="false">HYPERLINK("#'Forrásszöveg'!A"&amp;(MATCH("TV-S0274",Forrásszöveg!$A$6:$A$2497,0)+5),"Tv. 6. § (8)")</f>
        <v>Tv. 6. § (8)</v>
      </c>
      <c r="G6" s="15" t="s">
        <v>175</v>
      </c>
      <c r="H6" s="16" t="str">
        <f aca="false">HYPERLINK("#'Forrásszöveg'!A"&amp;(MATCH("TV-S0240",Forrásszöveg!$A$6:$A$2497,0)+5),"6. § eleje")</f>
        <v>6. § eleje</v>
      </c>
    </row>
    <row r="7" customFormat="false" ht="52" hidden="false" customHeight="true" outlineLevel="0" collapsed="false">
      <c r="A7" s="15" t="s">
        <v>809</v>
      </c>
      <c r="B7" s="15" t="s">
        <v>235</v>
      </c>
      <c r="C7" s="15" t="s">
        <v>810</v>
      </c>
      <c r="D7" s="15" t="s">
        <v>811</v>
      </c>
      <c r="E7" s="15" t="s">
        <v>174</v>
      </c>
      <c r="F7" s="16" t="str">
        <f aca="false">HYPERLINK("#'Forrásszöveg'!A"&amp;(MATCH("TV-S0306",Forrásszöveg!$A$6:$A$2497,0)+5),"Tv. 8. § (7)")</f>
        <v>Tv. 8. § (7)</v>
      </c>
      <c r="G7" s="15" t="s">
        <v>175</v>
      </c>
      <c r="H7" s="16" t="str">
        <f aca="false">HYPERLINK("#'Forrásszöveg'!A"&amp;(MATCH("TV-S0285",Forrásszöveg!$A$6:$A$2497,0)+5),"8. § eleje")</f>
        <v>8. § eleje</v>
      </c>
    </row>
    <row r="8" customFormat="false" ht="52" hidden="false" customHeight="true" outlineLevel="0" collapsed="false">
      <c r="A8" s="15" t="s">
        <v>812</v>
      </c>
      <c r="B8" s="15" t="s">
        <v>235</v>
      </c>
      <c r="C8" s="15" t="s">
        <v>813</v>
      </c>
      <c r="D8" s="15" t="s">
        <v>814</v>
      </c>
      <c r="E8" s="15" t="s">
        <v>174</v>
      </c>
      <c r="F8" s="16" t="str">
        <f aca="false">HYPERLINK("#'Forrásszöveg'!A"&amp;(MATCH("TV-S0311",Forrásszöveg!$A$6:$A$2497,0)+5),"Tv. 9. § (4)")</f>
        <v>Tv. 9. § (4)</v>
      </c>
      <c r="G8" s="15" t="s">
        <v>286</v>
      </c>
      <c r="H8" s="16" t="str">
        <f aca="false">HYPERLINK("#'Forrásszöveg'!A"&amp;(MATCH("TV-S0308",Forrásszöveg!$A$6:$A$2497,0)+5),"9. § eleje")</f>
        <v>9. § eleje</v>
      </c>
    </row>
    <row r="9" customFormat="false" ht="52" hidden="false" customHeight="true" outlineLevel="0" collapsed="false">
      <c r="A9" s="15" t="s">
        <v>815</v>
      </c>
      <c r="B9" s="15" t="s">
        <v>171</v>
      </c>
      <c r="C9" s="15" t="s">
        <v>816</v>
      </c>
      <c r="D9" s="15" t="s">
        <v>817</v>
      </c>
      <c r="E9" s="15" t="s">
        <v>174</v>
      </c>
      <c r="F9" s="16" t="str">
        <f aca="false">HYPERLINK("#'Forrásszöveg'!A"&amp;(MATCH("TV-S0338",Forrásszöveg!$A$6:$A$2497,0)+5),"Tv. 11. § (7)")</f>
        <v>Tv. 11. § (7)</v>
      </c>
      <c r="G9" s="15" t="s">
        <v>320</v>
      </c>
      <c r="H9" s="16" t="str">
        <f aca="false">HYPERLINK("#'Forrásszöveg'!A"&amp;(MATCH("TV-S0322",Forrásszöveg!$A$6:$A$2497,0)+5),"11. § eleje")</f>
        <v>11. § eleje</v>
      </c>
    </row>
    <row r="10" customFormat="false" ht="52" hidden="false" customHeight="true" outlineLevel="0" collapsed="false">
      <c r="A10" s="15" t="s">
        <v>818</v>
      </c>
      <c r="B10" s="15" t="s">
        <v>333</v>
      </c>
      <c r="C10" s="15" t="s">
        <v>819</v>
      </c>
      <c r="D10" s="15" t="s">
        <v>820</v>
      </c>
      <c r="E10" s="15" t="s">
        <v>174</v>
      </c>
      <c r="F10" s="16" t="str">
        <f aca="false">HYPERLINK("#'Forrásszöveg'!A"&amp;(MATCH("TV-S0340",Forrásszöveg!$A$6:$A$2497,0)+5),"Tv. 11. § (9)")</f>
        <v>Tv. 11. § (9)</v>
      </c>
      <c r="G10" s="15" t="s">
        <v>320</v>
      </c>
      <c r="H10" s="16" t="str">
        <f aca="false">HYPERLINK("#'Forrásszöveg'!A"&amp;(MATCH("TV-S0322",Forrásszöveg!$A$6:$A$2497,0)+5),"11. § eleje")</f>
        <v>11. § eleje</v>
      </c>
    </row>
    <row r="11" customFormat="false" ht="52" hidden="false" customHeight="true" outlineLevel="0" collapsed="false">
      <c r="A11" s="15" t="s">
        <v>821</v>
      </c>
      <c r="B11" s="15" t="s">
        <v>235</v>
      </c>
      <c r="C11" s="15" t="s">
        <v>822</v>
      </c>
      <c r="D11" s="15" t="s">
        <v>823</v>
      </c>
      <c r="E11" s="15" t="s">
        <v>174</v>
      </c>
      <c r="F11" s="16" t="str">
        <f aca="false">HYPERLINK("#'Forrásszöveg'!A"&amp;(MATCH("TV-S0341",Forrásszöveg!$A$6:$A$2497,0)+5),"Tv. 11. § (10)")</f>
        <v>Tv. 11. § (10)</v>
      </c>
      <c r="G11" s="15" t="s">
        <v>320</v>
      </c>
      <c r="H11" s="16" t="str">
        <f aca="false">HYPERLINK("#'Forrásszöveg'!A"&amp;(MATCH("TV-S0322",Forrásszöveg!$A$6:$A$2497,0)+5),"11. § eleje")</f>
        <v>11. § eleje</v>
      </c>
    </row>
    <row r="12" customFormat="false" ht="52" hidden="false" customHeight="true" outlineLevel="0" collapsed="false">
      <c r="A12" s="15" t="s">
        <v>824</v>
      </c>
      <c r="B12" s="15" t="s">
        <v>235</v>
      </c>
      <c r="C12" s="15" t="s">
        <v>825</v>
      </c>
      <c r="D12" s="15" t="s">
        <v>826</v>
      </c>
      <c r="E12" s="15" t="s">
        <v>174</v>
      </c>
      <c r="F12" s="16" t="str">
        <f aca="false">HYPERLINK("#'Forrásszöveg'!A"&amp;(MATCH("TV-S0342",Forrásszöveg!$A$6:$A$2497,0)+5),"Tv. 11. § (11)")</f>
        <v>Tv. 11. § (11)</v>
      </c>
      <c r="G12" s="15" t="s">
        <v>320</v>
      </c>
      <c r="H12" s="16" t="str">
        <f aca="false">HYPERLINK("#'Forrásszöveg'!A"&amp;(MATCH("TV-S0322",Forrásszöveg!$A$6:$A$2497,0)+5),"11. § eleje")</f>
        <v>11. § eleje</v>
      </c>
    </row>
    <row r="13" customFormat="false" ht="52" hidden="false" customHeight="true" outlineLevel="0" collapsed="false">
      <c r="A13" s="15" t="s">
        <v>827</v>
      </c>
      <c r="B13" s="15" t="s">
        <v>343</v>
      </c>
      <c r="C13" s="15" t="s">
        <v>828</v>
      </c>
      <c r="D13" s="15" t="s">
        <v>829</v>
      </c>
      <c r="E13" s="15" t="s">
        <v>174</v>
      </c>
      <c r="F13" s="16" t="str">
        <f aca="false">HYPERLINK("#'Forrásszöveg'!A"&amp;(MATCH("TV-S0347",Forrásszöveg!$A$6:$A$2497,0)+5),"Tv. 11. § (16)")</f>
        <v>Tv. 11. § (16)</v>
      </c>
      <c r="G13" s="15" t="s">
        <v>320</v>
      </c>
      <c r="H13" s="16" t="str">
        <f aca="false">HYPERLINK("#'Forrásszöveg'!A"&amp;(MATCH("TV-S0322",Forrásszöveg!$A$6:$A$2497,0)+5),"11. § eleje")</f>
        <v>11. § eleje</v>
      </c>
    </row>
    <row r="14" customFormat="false" ht="52" hidden="false" customHeight="true" outlineLevel="0" collapsed="false">
      <c r="A14" s="15" t="s">
        <v>830</v>
      </c>
      <c r="B14" s="15" t="s">
        <v>343</v>
      </c>
      <c r="C14" s="15" t="s">
        <v>831</v>
      </c>
      <c r="D14" s="15" t="s">
        <v>832</v>
      </c>
      <c r="E14" s="15" t="s">
        <v>174</v>
      </c>
      <c r="F14" s="16" t="str">
        <f aca="false">HYPERLINK("#'Forrásszöveg'!A"&amp;(MATCH("TV-S0367",Forrásszöveg!$A$6:$A$2497,0)+5),"Tv. 13. § (7)")</f>
        <v>Tv. 13. § (7)</v>
      </c>
      <c r="G14" s="15" t="s">
        <v>348</v>
      </c>
      <c r="H14" s="16" t="str">
        <f aca="false">HYPERLINK("#'Forrásszöveg'!A"&amp;(MATCH("TV-S0357",Forrásszöveg!$A$6:$A$2497,0)+5),"13. § eleje")</f>
        <v>13. § eleje</v>
      </c>
    </row>
    <row r="15" customFormat="false" ht="52" hidden="false" customHeight="true" outlineLevel="0" collapsed="false">
      <c r="A15" s="15" t="s">
        <v>833</v>
      </c>
      <c r="B15" s="15" t="s">
        <v>834</v>
      </c>
      <c r="C15" s="15" t="s">
        <v>831</v>
      </c>
      <c r="D15" s="15" t="s">
        <v>835</v>
      </c>
      <c r="E15" s="15" t="s">
        <v>174</v>
      </c>
      <c r="F15" s="16" t="str">
        <f aca="false">HYPERLINK("#'Forrásszöveg'!A"&amp;(MATCH("TV-S0381",Forrásszöveg!$A$6:$A$2497,0)+5),"Tv. 14. § (4)")</f>
        <v>Tv. 14. § (4)</v>
      </c>
      <c r="G15" s="15" t="s">
        <v>348</v>
      </c>
      <c r="H15" s="16" t="str">
        <f aca="false">HYPERLINK("#'Forrásszöveg'!A"&amp;(MATCH("TV-S0373",Forrásszöveg!$A$6:$A$2497,0)+5),"14. § eleje")</f>
        <v>14. § eleje</v>
      </c>
    </row>
    <row r="16" customFormat="false" ht="52" hidden="false" customHeight="true" outlineLevel="0" collapsed="false">
      <c r="A16" s="15" t="s">
        <v>836</v>
      </c>
      <c r="B16" s="15" t="s">
        <v>367</v>
      </c>
      <c r="C16" s="15" t="s">
        <v>837</v>
      </c>
      <c r="D16" s="15" t="s">
        <v>838</v>
      </c>
      <c r="E16" s="15" t="s">
        <v>174</v>
      </c>
      <c r="F16" s="16" t="str">
        <f aca="false">HYPERLINK("#'Forrásszöveg'!A"&amp;(MATCH("TV-S0403",Forrásszöveg!$A$6:$A$2497,0)+5),"Tv. 18. § (1) d)")</f>
        <v>Tv. 18. § (1) d)</v>
      </c>
      <c r="G16" s="15" t="s">
        <v>415</v>
      </c>
      <c r="H16" s="16" t="str">
        <f aca="false">HYPERLINK("#'Forrásszöveg'!A"&amp;(MATCH("TV-S0399",Forrásszöveg!$A$6:$A$2497,0)+5),"18. § eleje")</f>
        <v>18. § eleje</v>
      </c>
    </row>
    <row r="17" customFormat="false" ht="38" hidden="false" customHeight="true" outlineLevel="0" collapsed="false">
      <c r="A17" s="15" t="s">
        <v>839</v>
      </c>
      <c r="B17" s="15" t="s">
        <v>343</v>
      </c>
      <c r="C17" s="15" t="s">
        <v>840</v>
      </c>
      <c r="D17" s="15" t="s">
        <v>841</v>
      </c>
      <c r="E17" s="15" t="s">
        <v>174</v>
      </c>
      <c r="F17" s="16" t="str">
        <f aca="false">HYPERLINK("#'Forrásszöveg'!A"&amp;(MATCH("TV-S0418",Forrásszöveg!$A$6:$A$2497,0)+5),"Tv. 18. § (5)")</f>
        <v>Tv. 18. § (5)</v>
      </c>
      <c r="G17" s="15" t="s">
        <v>415</v>
      </c>
      <c r="H17" s="16" t="str">
        <f aca="false">HYPERLINK("#'Forrásszöveg'!A"&amp;(MATCH("TV-S0399",Forrásszöveg!$A$6:$A$2497,0)+5),"18. § eleje")</f>
        <v>18. § eleje</v>
      </c>
    </row>
    <row r="18" customFormat="false" ht="38" hidden="false" customHeight="true" outlineLevel="0" collapsed="false">
      <c r="A18" s="15" t="s">
        <v>842</v>
      </c>
      <c r="B18" s="15" t="s">
        <v>235</v>
      </c>
      <c r="C18" s="15" t="s">
        <v>843</v>
      </c>
      <c r="D18" s="15" t="s">
        <v>844</v>
      </c>
      <c r="E18" s="15" t="s">
        <v>174</v>
      </c>
      <c r="F18" s="16" t="str">
        <f aca="false">HYPERLINK("#'Forrásszöveg'!A"&amp;(MATCH("TV-S0939",Forrásszöveg!$A$6:$A$2497,0)+5),"Tv. 65. § (2)")</f>
        <v>Tv. 65. § (2)</v>
      </c>
      <c r="G18" s="15" t="s">
        <v>482</v>
      </c>
      <c r="H18" s="16" t="str">
        <f aca="false">HYPERLINK("#'Forrásszöveg'!A"&amp;(MATCH("TV-S0938",Forrásszöveg!$A$6:$A$2497,0)+5),"65. § eleje")</f>
        <v>65. § eleje</v>
      </c>
    </row>
    <row r="19" customFormat="false" ht="38" hidden="false" customHeight="true" outlineLevel="0" collapsed="false">
      <c r="A19" s="15" t="s">
        <v>845</v>
      </c>
      <c r="B19" s="15" t="s">
        <v>235</v>
      </c>
      <c r="C19" s="15" t="s">
        <v>846</v>
      </c>
      <c r="D19" s="15" t="s">
        <v>847</v>
      </c>
      <c r="E19" s="15" t="s">
        <v>174</v>
      </c>
      <c r="F19" s="16" t="str">
        <f aca="false">HYPERLINK("#'Forrásszöveg'!A"&amp;(MATCH("TV-S0942",Forrásszöveg!$A$6:$A$2497,0)+5),"Tv. 65. § (5)")</f>
        <v>Tv. 65. § (5)</v>
      </c>
      <c r="G19" s="15" t="s">
        <v>482</v>
      </c>
      <c r="H19" s="16" t="str">
        <f aca="false">HYPERLINK("#'Forrásszöveg'!A"&amp;(MATCH("TV-S0938",Forrásszöveg!$A$6:$A$2497,0)+5),"65. § eleje")</f>
        <v>65. § eleje</v>
      </c>
    </row>
    <row r="20" customFormat="false" ht="38" hidden="false" customHeight="true" outlineLevel="0" collapsed="false">
      <c r="A20" s="15" t="s">
        <v>848</v>
      </c>
      <c r="B20" s="15" t="s">
        <v>235</v>
      </c>
      <c r="C20" s="15" t="s">
        <v>849</v>
      </c>
      <c r="D20" s="15" t="s">
        <v>850</v>
      </c>
      <c r="E20" s="15" t="s">
        <v>174</v>
      </c>
      <c r="F20" s="16" t="str">
        <f aca="false">HYPERLINK("#'Forrásszöveg'!A"&amp;(MATCH("TV-S0949",Forrásszöveg!$A$6:$A$2497,0)+5),"Tv. 66. § (3)")</f>
        <v>Tv. 66. § (3)</v>
      </c>
      <c r="G20" s="15" t="s">
        <v>488</v>
      </c>
      <c r="H20" s="16" t="str">
        <f aca="false">HYPERLINK("#'Forrásszöveg'!A"&amp;(MATCH("TV-S0947",Forrásszöveg!$A$6:$A$2497,0)+5),"66. § eleje")</f>
        <v>66. § eleje</v>
      </c>
    </row>
    <row r="21" customFormat="false" ht="52" hidden="false" customHeight="true" outlineLevel="0" collapsed="false">
      <c r="A21" s="15" t="s">
        <v>851</v>
      </c>
      <c r="B21" s="15" t="s">
        <v>852</v>
      </c>
      <c r="C21" s="15" t="s">
        <v>853</v>
      </c>
      <c r="D21" s="15" t="s">
        <v>854</v>
      </c>
      <c r="E21" s="15" t="s">
        <v>174</v>
      </c>
      <c r="F21" s="16" t="str">
        <f aca="false">HYPERLINK("#'Forrásszöveg'!A"&amp;(MATCH("TV-S0953",Forrásszöveg!$A$6:$A$2497,0)+5),"Tv. 67. § (1)")</f>
        <v>Tv. 67. § (1)</v>
      </c>
      <c r="G21" s="15" t="s">
        <v>488</v>
      </c>
      <c r="H21" s="16" t="str">
        <f aca="false">HYPERLINK("#'Forrásszöveg'!A"&amp;(MATCH("TV-S0953",Forrásszöveg!$A$6:$A$2497,0)+5),"67. § eleje")</f>
        <v>67. § eleje</v>
      </c>
    </row>
    <row r="22" customFormat="false" ht="38" hidden="false" customHeight="true" outlineLevel="0" collapsed="false">
      <c r="A22" s="15" t="s">
        <v>855</v>
      </c>
      <c r="B22" s="15" t="s">
        <v>856</v>
      </c>
      <c r="C22" s="15" t="s">
        <v>857</v>
      </c>
      <c r="D22" s="15" t="s">
        <v>858</v>
      </c>
      <c r="E22" s="15" t="s">
        <v>174</v>
      </c>
      <c r="F22" s="16" t="str">
        <f aca="false">HYPERLINK("#'Forrásszöveg'!A"&amp;(MATCH("TV-S0956",Forrásszöveg!$A$6:$A$2497,0)+5),"Tv. 67. § (4)")</f>
        <v>Tv. 67. § (4)</v>
      </c>
      <c r="G22" s="15" t="s">
        <v>488</v>
      </c>
      <c r="H22" s="16" t="str">
        <f aca="false">HYPERLINK("#'Forrásszöveg'!A"&amp;(MATCH("TV-S0953",Forrásszöveg!$A$6:$A$2497,0)+5),"67. § eleje")</f>
        <v>67. § eleje</v>
      </c>
    </row>
    <row r="23" customFormat="false" ht="52" hidden="false" customHeight="true" outlineLevel="0" collapsed="false">
      <c r="A23" s="15" t="s">
        <v>859</v>
      </c>
      <c r="B23" s="15" t="s">
        <v>171</v>
      </c>
      <c r="C23" s="15" t="s">
        <v>860</v>
      </c>
      <c r="D23" s="15" t="s">
        <v>861</v>
      </c>
      <c r="E23" s="15" t="s">
        <v>174</v>
      </c>
      <c r="F23" s="16" t="str">
        <f aca="false">HYPERLINK("#'Forrásszöveg'!A"&amp;(MATCH("VHR-S0090",Forrásszöveg!$A$6:$A$2497,0)+5),"Vhr. 3. § (4)")</f>
        <v>Vhr. 3. § (4)</v>
      </c>
      <c r="G23" s="15" t="s">
        <v>286</v>
      </c>
      <c r="H23" s="16" t="str">
        <f aca="false">HYPERLINK("#'Forrásszöveg'!A"&amp;(MATCH("VHR-S0084",Forrásszöveg!$A$6:$A$2497,0)+5),"3. § eleje")</f>
        <v>3. § eleje</v>
      </c>
    </row>
    <row r="24" customFormat="false" ht="38" hidden="false" customHeight="true" outlineLevel="0" collapsed="false">
      <c r="A24" s="15" t="s">
        <v>862</v>
      </c>
      <c r="B24" s="15" t="s">
        <v>235</v>
      </c>
      <c r="C24" s="15" t="s">
        <v>863</v>
      </c>
      <c r="D24" s="15" t="s">
        <v>864</v>
      </c>
      <c r="E24" s="15" t="s">
        <v>174</v>
      </c>
      <c r="F24" s="16" t="str">
        <f aca="false">HYPERLINK("#'Forrásszöveg'!A"&amp;(MATCH("VHR-S0121",Forrásszöveg!$A$6:$A$2497,0)+5),"Vhr. 10. § (3)")</f>
        <v>Vhr. 10. § (3)</v>
      </c>
      <c r="G24" s="15" t="s">
        <v>580</v>
      </c>
      <c r="H24" s="16" t="str">
        <f aca="false">HYPERLINK("#'Forrásszöveg'!A"&amp;(MATCH("VHR-S0115",Forrásszöveg!$A$6:$A$2497,0)+5),"10. § eleje")</f>
        <v>10. § eleje</v>
      </c>
    </row>
    <row r="25" customFormat="false" ht="52" hidden="false" customHeight="true" outlineLevel="0" collapsed="false">
      <c r="A25" s="15" t="s">
        <v>865</v>
      </c>
      <c r="B25" s="15" t="s">
        <v>171</v>
      </c>
      <c r="C25" s="15" t="s">
        <v>866</v>
      </c>
      <c r="D25" s="15" t="s">
        <v>867</v>
      </c>
      <c r="E25" s="15" t="s">
        <v>174</v>
      </c>
      <c r="F25" s="16" t="str">
        <f aca="false">HYPERLINK("#'Forrásszöveg'!A"&amp;(MATCH("VHR-S0137",Forrásszöveg!$A$6:$A$2497,0)+5),"Vhr. 11. § (6)")</f>
        <v>Vhr. 11. § (6)</v>
      </c>
      <c r="G25" s="15" t="s">
        <v>320</v>
      </c>
      <c r="H25" s="16" t="str">
        <f aca="false">HYPERLINK("#'Forrásszöveg'!A"&amp;(MATCH("VHR-S0126",Forrásszöveg!$A$6:$A$2497,0)+5),"11. § eleje")</f>
        <v>11. § eleje</v>
      </c>
    </row>
    <row r="26" customFormat="false" ht="52" hidden="false" customHeight="true" outlineLevel="0" collapsed="false">
      <c r="A26" s="15" t="s">
        <v>868</v>
      </c>
      <c r="B26" s="15" t="s">
        <v>333</v>
      </c>
      <c r="C26" s="15" t="s">
        <v>869</v>
      </c>
      <c r="D26" s="15" t="s">
        <v>870</v>
      </c>
      <c r="E26" s="15" t="s">
        <v>174</v>
      </c>
      <c r="F26" s="16" t="str">
        <f aca="false">HYPERLINK("#'Forrásszöveg'!A"&amp;(MATCH("VHR-S0138",Forrásszöveg!$A$6:$A$2497,0)+5),"Vhr. 12. § (1)")</f>
        <v>Vhr. 12. § (1)</v>
      </c>
      <c r="G26" s="15" t="s">
        <v>320</v>
      </c>
      <c r="H26" s="16" t="str">
        <f aca="false">HYPERLINK("#'Forrásszöveg'!A"&amp;(MATCH("VHR-S0138",Forrásszöveg!$A$6:$A$2497,0)+5),"12. § eleje")</f>
        <v>12. § eleje</v>
      </c>
    </row>
    <row r="27" customFormat="false" ht="66" hidden="false" customHeight="true" outlineLevel="0" collapsed="false">
      <c r="A27" s="15" t="s">
        <v>871</v>
      </c>
      <c r="B27" s="15" t="s">
        <v>343</v>
      </c>
      <c r="C27" s="15" t="s">
        <v>872</v>
      </c>
      <c r="D27" s="15" t="s">
        <v>873</v>
      </c>
      <c r="E27" s="15" t="s">
        <v>174</v>
      </c>
      <c r="F27" s="16" t="str">
        <f aca="false">HYPERLINK("#'Forrásszöveg'!A"&amp;(MATCH("VHR-S0158",Forrásszöveg!$A$6:$A$2497,0)+5),"Vhr. 13. § (3)")</f>
        <v>Vhr. 13. § (3)</v>
      </c>
      <c r="G27" s="15" t="s">
        <v>642</v>
      </c>
      <c r="H27" s="16" t="str">
        <f aca="false">HYPERLINK("#'Forrásszöveg'!A"&amp;(MATCH("VHR-S0156",Forrásszöveg!$A$6:$A$2497,0)+5),"13. § eleje")</f>
        <v>13. § eleje</v>
      </c>
    </row>
    <row r="28" customFormat="false" ht="52" hidden="false" customHeight="true" outlineLevel="0" collapsed="false">
      <c r="A28" s="15" t="s">
        <v>874</v>
      </c>
      <c r="B28" s="15" t="s">
        <v>171</v>
      </c>
      <c r="C28" s="15" t="s">
        <v>875</v>
      </c>
      <c r="D28" s="15" t="s">
        <v>876</v>
      </c>
      <c r="E28" s="15" t="s">
        <v>174</v>
      </c>
      <c r="F28" s="16" t="str">
        <f aca="false">HYPERLINK("#'Forrásszöveg'!A"&amp;(MATCH("VHR-S0565",Forrásszöveg!$A$6:$A$2497,0)+5),"Vhr. 62. § (3)")</f>
        <v>Vhr. 62. § (3)</v>
      </c>
      <c r="G28" s="15" t="s">
        <v>684</v>
      </c>
      <c r="H28" s="16" t="str">
        <f aca="false">HYPERLINK("#'Forrásszöveg'!A"&amp;(MATCH("VHR-S0542",Forrásszöveg!$A$6:$A$2497,0)+5),"62. § eleje")</f>
        <v>62. § eleje</v>
      </c>
    </row>
    <row r="29" customFormat="false" ht="38" hidden="false" customHeight="true" outlineLevel="0" collapsed="false">
      <c r="A29" s="15" t="s">
        <v>877</v>
      </c>
      <c r="B29" s="15" t="s">
        <v>235</v>
      </c>
      <c r="C29" s="15" t="s">
        <v>878</v>
      </c>
      <c r="D29" s="15" t="s">
        <v>879</v>
      </c>
      <c r="E29" s="15" t="s">
        <v>174</v>
      </c>
      <c r="F29" s="16" t="str">
        <f aca="false">HYPERLINK("#'Forrásszöveg'!A"&amp;(MATCH("VHR-S0572",Forrásszöveg!$A$6:$A$2497,0)+5),"Vhr. 63. § (3)")</f>
        <v>Vhr. 63. § (3)</v>
      </c>
      <c r="G29" s="15" t="s">
        <v>684</v>
      </c>
      <c r="H29" s="16" t="str">
        <f aca="false">HYPERLINK("#'Forrásszöveg'!A"&amp;(MATCH("VHR-S0568",Forrásszöveg!$A$6:$A$2497,0)+5),"63. § eleje")</f>
        <v>63. § eleje</v>
      </c>
    </row>
    <row r="30" customFormat="false" ht="38" hidden="false" customHeight="true" outlineLevel="0" collapsed="false">
      <c r="A30" s="15" t="s">
        <v>880</v>
      </c>
      <c r="B30" s="15" t="s">
        <v>235</v>
      </c>
      <c r="C30" s="15" t="s">
        <v>881</v>
      </c>
      <c r="D30" s="15" t="s">
        <v>882</v>
      </c>
      <c r="E30" s="15" t="s">
        <v>174</v>
      </c>
      <c r="F30" s="16" t="str">
        <f aca="false">HYPERLINK("#'Forrásszöveg'!A"&amp;(MATCH("VHR-S0579",Forrásszöveg!$A$6:$A$2497,0)+5),"Vhr. 64. § (4)")</f>
        <v>Vhr. 64. § (4)</v>
      </c>
      <c r="G30" s="15" t="s">
        <v>720</v>
      </c>
      <c r="H30" s="16" t="str">
        <f aca="false">HYPERLINK("#'Forrásszöveg'!A"&amp;(MATCH("VHR-S0576",Forrásszöveg!$A$6:$A$2497,0)+5),"64. § eleje")</f>
        <v>64. § eleje</v>
      </c>
    </row>
    <row r="31" customFormat="false" ht="52" hidden="false" customHeight="true" outlineLevel="0" collapsed="false">
      <c r="A31" s="15" t="s">
        <v>883</v>
      </c>
      <c r="B31" s="15" t="s">
        <v>343</v>
      </c>
      <c r="C31" s="15" t="s">
        <v>884</v>
      </c>
      <c r="D31" s="15" t="s">
        <v>885</v>
      </c>
      <c r="E31" s="15" t="s">
        <v>174</v>
      </c>
      <c r="F31" s="16" t="str">
        <f aca="false">HYPERLINK("#'Forrásszöveg'!A"&amp;(MATCH("VHR-S0193",Forrásszöveg!$A$6:$A$2497,0)+5),"Vhr. 17. § (1) a)")</f>
        <v>Vhr. 17. § (1) a)</v>
      </c>
      <c r="G31" s="15" t="s">
        <v>680</v>
      </c>
      <c r="H31" s="16" t="str">
        <f aca="false">HYPERLINK("#'Forrásszöveg'!A"&amp;(MATCH("VHR-S0192",Forrásszöveg!$A$6:$A$2497,0)+5),"17. § eleje")</f>
        <v>17. § eleje</v>
      </c>
    </row>
    <row r="32" customFormat="false" ht="52" hidden="false" customHeight="true" outlineLevel="0" collapsed="false">
      <c r="A32" s="15" t="s">
        <v>886</v>
      </c>
      <c r="B32" s="15" t="s">
        <v>343</v>
      </c>
      <c r="C32" s="15" t="s">
        <v>887</v>
      </c>
      <c r="D32" s="15" t="s">
        <v>885</v>
      </c>
      <c r="E32" s="15" t="s">
        <v>174</v>
      </c>
      <c r="F32" s="16" t="str">
        <f aca="false">HYPERLINK("#'Forrásszöveg'!A"&amp;(MATCH("VHR-S0194",Forrásszöveg!$A$6:$A$2497,0)+5),"Vhr. 17. § (1) b)")</f>
        <v>Vhr. 17. § (1) b)</v>
      </c>
      <c r="G32" s="15" t="s">
        <v>680</v>
      </c>
      <c r="H32" s="16" t="str">
        <f aca="false">HYPERLINK("#'Forrásszöveg'!A"&amp;(MATCH("VHR-S0192",Forrásszöveg!$A$6:$A$2497,0)+5),"17. § eleje")</f>
        <v>17. § eleje</v>
      </c>
    </row>
    <row r="33" customFormat="false" ht="52" hidden="false" customHeight="true" outlineLevel="0" collapsed="false">
      <c r="A33" s="15" t="s">
        <v>888</v>
      </c>
      <c r="B33" s="15" t="s">
        <v>343</v>
      </c>
      <c r="C33" s="15" t="s">
        <v>889</v>
      </c>
      <c r="D33" s="15" t="s">
        <v>885</v>
      </c>
      <c r="E33" s="15" t="s">
        <v>174</v>
      </c>
      <c r="F33" s="16" t="str">
        <f aca="false">HYPERLINK("#'Forrásszöveg'!A"&amp;(MATCH("VHR-S0195",Forrásszöveg!$A$6:$A$2497,0)+5),"Vhr. 17. § (1) c)")</f>
        <v>Vhr. 17. § (1) c)</v>
      </c>
      <c r="G33" s="15" t="s">
        <v>680</v>
      </c>
      <c r="H33" s="16" t="str">
        <f aca="false">HYPERLINK("#'Forrásszöveg'!A"&amp;(MATCH("VHR-S0192",Forrásszöveg!$A$6:$A$2497,0)+5),"17. § eleje")</f>
        <v>17. § eleje</v>
      </c>
    </row>
    <row r="34" customFormat="false" ht="52" hidden="false" customHeight="true" outlineLevel="0" collapsed="false">
      <c r="A34" s="15" t="s">
        <v>890</v>
      </c>
      <c r="B34" s="15" t="s">
        <v>343</v>
      </c>
      <c r="C34" s="15" t="s">
        <v>891</v>
      </c>
      <c r="D34" s="15" t="s">
        <v>885</v>
      </c>
      <c r="E34" s="15" t="s">
        <v>174</v>
      </c>
      <c r="F34" s="16" t="str">
        <f aca="false">HYPERLINK("#'Forrásszöveg'!A"&amp;(MATCH("VHR-S0196",Forrásszöveg!$A$6:$A$2497,0)+5),"Vhr. 17. § (1) d)")</f>
        <v>Vhr. 17. § (1) d)</v>
      </c>
      <c r="G34" s="15" t="s">
        <v>680</v>
      </c>
      <c r="H34" s="16" t="str">
        <f aca="false">HYPERLINK("#'Forrásszöveg'!A"&amp;(MATCH("VHR-S0192",Forrásszöveg!$A$6:$A$2497,0)+5),"17. § eleje")</f>
        <v>17. § eleje</v>
      </c>
    </row>
    <row r="35" customFormat="false" ht="52" hidden="false" customHeight="true" outlineLevel="0" collapsed="false">
      <c r="A35" s="15" t="s">
        <v>892</v>
      </c>
      <c r="B35" s="15" t="s">
        <v>343</v>
      </c>
      <c r="C35" s="15" t="s">
        <v>893</v>
      </c>
      <c r="D35" s="15" t="s">
        <v>885</v>
      </c>
      <c r="E35" s="15" t="s">
        <v>174</v>
      </c>
      <c r="F35" s="16" t="str">
        <f aca="false">HYPERLINK("#'Forrásszöveg'!A"&amp;(MATCH("VHR-S0197",Forrásszöveg!$A$6:$A$2497,0)+5),"Vhr. 17. § (1) e)")</f>
        <v>Vhr. 17. § (1) e)</v>
      </c>
      <c r="G35" s="15" t="s">
        <v>680</v>
      </c>
      <c r="H35" s="16" t="str">
        <f aca="false">HYPERLINK("#'Forrásszöveg'!A"&amp;(MATCH("VHR-S0192",Forrásszöveg!$A$6:$A$2497,0)+5),"17. § eleje")</f>
        <v>17. § eleje</v>
      </c>
    </row>
    <row r="36" customFormat="false" ht="52" hidden="false" customHeight="true" outlineLevel="0" collapsed="false">
      <c r="A36" s="15" t="s">
        <v>894</v>
      </c>
      <c r="B36" s="15" t="s">
        <v>343</v>
      </c>
      <c r="C36" s="15" t="s">
        <v>895</v>
      </c>
      <c r="D36" s="15" t="s">
        <v>885</v>
      </c>
      <c r="E36" s="15" t="s">
        <v>174</v>
      </c>
      <c r="F36" s="16" t="str">
        <f aca="false">HYPERLINK("#'Forrásszöveg'!A"&amp;(MATCH("VHR-S0198",Forrásszöveg!$A$6:$A$2497,0)+5),"Vhr. 17. § (1) f)")</f>
        <v>Vhr. 17. § (1) f)</v>
      </c>
      <c r="G36" s="15" t="s">
        <v>680</v>
      </c>
      <c r="H36" s="16" t="str">
        <f aca="false">HYPERLINK("#'Forrásszöveg'!A"&amp;(MATCH("VHR-S0192",Forrásszöveg!$A$6:$A$2497,0)+5),"17. § eleje")</f>
        <v>17. § eleje</v>
      </c>
    </row>
    <row r="37" customFormat="false" ht="52" hidden="false" customHeight="true" outlineLevel="0" collapsed="false">
      <c r="A37" s="15" t="s">
        <v>896</v>
      </c>
      <c r="B37" s="15" t="s">
        <v>343</v>
      </c>
      <c r="C37" s="15" t="s">
        <v>897</v>
      </c>
      <c r="D37" s="15" t="s">
        <v>885</v>
      </c>
      <c r="E37" s="15" t="s">
        <v>174</v>
      </c>
      <c r="F37" s="16" t="str">
        <f aca="false">HYPERLINK("#'Forrásszöveg'!A"&amp;(MATCH("VHR-S0199",Forrásszöveg!$A$6:$A$2497,0)+5),"Vhr. 17. § (1) g)")</f>
        <v>Vhr. 17. § (1) g)</v>
      </c>
      <c r="G37" s="15" t="s">
        <v>680</v>
      </c>
      <c r="H37" s="16" t="str">
        <f aca="false">HYPERLINK("#'Forrásszöveg'!A"&amp;(MATCH("VHR-S0192",Forrásszöveg!$A$6:$A$2497,0)+5),"17. § eleje")</f>
        <v>17. § eleje</v>
      </c>
    </row>
    <row r="38" customFormat="false" ht="52" hidden="false" customHeight="true" outlineLevel="0" collapsed="false">
      <c r="A38" s="15" t="s">
        <v>898</v>
      </c>
      <c r="B38" s="15" t="s">
        <v>343</v>
      </c>
      <c r="C38" s="15" t="s">
        <v>899</v>
      </c>
      <c r="D38" s="15" t="s">
        <v>885</v>
      </c>
      <c r="E38" s="15" t="s">
        <v>174</v>
      </c>
      <c r="F38" s="16" t="str">
        <f aca="false">HYPERLINK("#'Forrásszöveg'!A"&amp;(MATCH("VHR-S0200",Forrásszöveg!$A$6:$A$2497,0)+5),"Vhr. 17. § (1) h)")</f>
        <v>Vhr. 17. § (1) h)</v>
      </c>
      <c r="G38" s="15" t="s">
        <v>680</v>
      </c>
      <c r="H38" s="16" t="str">
        <f aca="false">HYPERLINK("#'Forrásszöveg'!A"&amp;(MATCH("VHR-S0192",Forrásszöveg!$A$6:$A$2497,0)+5),"17. § eleje")</f>
        <v>17. § eleje</v>
      </c>
    </row>
    <row r="39" customFormat="false" ht="52" hidden="false" customHeight="true" outlineLevel="0" collapsed="false">
      <c r="A39" s="15" t="s">
        <v>900</v>
      </c>
      <c r="B39" s="15" t="s">
        <v>343</v>
      </c>
      <c r="C39" s="15" t="s">
        <v>901</v>
      </c>
      <c r="D39" s="15" t="s">
        <v>885</v>
      </c>
      <c r="E39" s="15" t="s">
        <v>174</v>
      </c>
      <c r="F39" s="16" t="str">
        <f aca="false">HYPERLINK("#'Forrásszöveg'!A"&amp;(MATCH("VHR-S0201",Forrásszöveg!$A$6:$A$2497,0)+5),"Vhr. 17. § (1) i)")</f>
        <v>Vhr. 17. § (1) i)</v>
      </c>
      <c r="G39" s="15" t="s">
        <v>680</v>
      </c>
      <c r="H39" s="16" t="str">
        <f aca="false">HYPERLINK("#'Forrásszöveg'!A"&amp;(MATCH("VHR-S0192",Forrásszöveg!$A$6:$A$2497,0)+5),"17. § eleje")</f>
        <v>17. § eleje</v>
      </c>
    </row>
    <row r="40" customFormat="false" ht="52" hidden="false" customHeight="true" outlineLevel="0" collapsed="false">
      <c r="A40" s="15" t="s">
        <v>902</v>
      </c>
      <c r="B40" s="15" t="s">
        <v>343</v>
      </c>
      <c r="C40" s="15" t="s">
        <v>903</v>
      </c>
      <c r="D40" s="15" t="s">
        <v>885</v>
      </c>
      <c r="E40" s="15" t="s">
        <v>174</v>
      </c>
      <c r="F40" s="16" t="str">
        <f aca="false">HYPERLINK("#'Forrásszöveg'!A"&amp;(MATCH("VHR-S0202",Forrásszöveg!$A$6:$A$2497,0)+5),"Vhr. 17. § (1) j)")</f>
        <v>Vhr. 17. § (1) j)</v>
      </c>
      <c r="G40" s="15" t="s">
        <v>680</v>
      </c>
      <c r="H40" s="16" t="str">
        <f aca="false">HYPERLINK("#'Forrásszöveg'!A"&amp;(MATCH("VHR-S0192",Forrásszöveg!$A$6:$A$2497,0)+5),"17. § eleje")</f>
        <v>17. § eleje</v>
      </c>
    </row>
    <row r="41" customFormat="false" ht="52" hidden="false" customHeight="true" outlineLevel="0" collapsed="false">
      <c r="A41" s="15" t="s">
        <v>904</v>
      </c>
      <c r="B41" s="15" t="s">
        <v>343</v>
      </c>
      <c r="C41" s="15" t="s">
        <v>905</v>
      </c>
      <c r="D41" s="15" t="s">
        <v>885</v>
      </c>
      <c r="E41" s="15" t="s">
        <v>174</v>
      </c>
      <c r="F41" s="16" t="str">
        <f aca="false">HYPERLINK("#'Forrásszöveg'!A"&amp;(MATCH("VHR-S0203",Forrásszöveg!$A$6:$A$2497,0)+5),"Vhr. 17. § (1) k)")</f>
        <v>Vhr. 17. § (1) k)</v>
      </c>
      <c r="G41" s="15" t="s">
        <v>680</v>
      </c>
      <c r="H41" s="16" t="str">
        <f aca="false">HYPERLINK("#'Forrásszöveg'!A"&amp;(MATCH("VHR-S0192",Forrásszöveg!$A$6:$A$2497,0)+5),"17. § eleje")</f>
        <v>17. § eleje</v>
      </c>
    </row>
    <row r="42" customFormat="false" ht="52" hidden="false" customHeight="true" outlineLevel="0" collapsed="false">
      <c r="A42" s="15" t="s">
        <v>906</v>
      </c>
      <c r="B42" s="15" t="s">
        <v>343</v>
      </c>
      <c r="C42" s="15" t="s">
        <v>907</v>
      </c>
      <c r="D42" s="15" t="s">
        <v>885</v>
      </c>
      <c r="E42" s="15" t="s">
        <v>174</v>
      </c>
      <c r="F42" s="16" t="str">
        <f aca="false">HYPERLINK("#'Forrásszöveg'!A"&amp;(MATCH("VHR-S0204",Forrásszöveg!$A$6:$A$2497,0)+5),"Vhr. 17. § (1) l)")</f>
        <v>Vhr. 17. § (1) l)</v>
      </c>
      <c r="G42" s="15" t="s">
        <v>680</v>
      </c>
      <c r="H42" s="16" t="str">
        <f aca="false">HYPERLINK("#'Forrásszöveg'!A"&amp;(MATCH("VHR-S0192",Forrásszöveg!$A$6:$A$2497,0)+5),"17. § eleje")</f>
        <v>17. § eleje</v>
      </c>
    </row>
    <row r="43" customFormat="false" ht="52" hidden="false" customHeight="true" outlineLevel="0" collapsed="false">
      <c r="A43" s="15" t="s">
        <v>908</v>
      </c>
      <c r="B43" s="15" t="s">
        <v>343</v>
      </c>
      <c r="C43" s="15" t="s">
        <v>909</v>
      </c>
      <c r="D43" s="15" t="s">
        <v>885</v>
      </c>
      <c r="E43" s="15" t="s">
        <v>174</v>
      </c>
      <c r="F43" s="16" t="str">
        <f aca="false">HYPERLINK("#'Forrásszöveg'!A"&amp;(MATCH("VHR-S0205",Forrásszöveg!$A$6:$A$2497,0)+5),"Vhr. 17. § (1) m)")</f>
        <v>Vhr. 17. § (1) m)</v>
      </c>
      <c r="G43" s="15" t="s">
        <v>680</v>
      </c>
      <c r="H43" s="16" t="str">
        <f aca="false">HYPERLINK("#'Forrásszöveg'!A"&amp;(MATCH("VHR-S0192",Forrásszöveg!$A$6:$A$2497,0)+5),"17. § eleje")</f>
        <v>17. § eleje</v>
      </c>
    </row>
    <row r="44" customFormat="false" ht="52" hidden="false" customHeight="true" outlineLevel="0" collapsed="false">
      <c r="A44" s="15" t="s">
        <v>910</v>
      </c>
      <c r="B44" s="15" t="s">
        <v>343</v>
      </c>
      <c r="C44" s="15" t="s">
        <v>911</v>
      </c>
      <c r="D44" s="15" t="s">
        <v>885</v>
      </c>
      <c r="E44" s="15" t="s">
        <v>174</v>
      </c>
      <c r="F44" s="16" t="str">
        <f aca="false">HYPERLINK("#'Forrásszöveg'!A"&amp;(MATCH("VHR-S0206",Forrásszöveg!$A$6:$A$2497,0)+5),"Vhr. 17. § (1) n)")</f>
        <v>Vhr. 17. § (1) n)</v>
      </c>
      <c r="G44" s="15" t="s">
        <v>680</v>
      </c>
      <c r="H44" s="16" t="str">
        <f aca="false">HYPERLINK("#'Forrásszöveg'!A"&amp;(MATCH("VHR-S0192",Forrásszöveg!$A$6:$A$2497,0)+5),"17. § eleje")</f>
        <v>17. § eleje</v>
      </c>
    </row>
    <row r="45" customFormat="false" ht="38" hidden="false" customHeight="true" outlineLevel="0" collapsed="false">
      <c r="A45" s="15" t="s">
        <v>912</v>
      </c>
      <c r="B45" s="15" t="s">
        <v>235</v>
      </c>
      <c r="C45" s="15" t="s">
        <v>913</v>
      </c>
      <c r="D45" s="15" t="s">
        <v>914</v>
      </c>
      <c r="E45" s="15" t="s">
        <v>174</v>
      </c>
      <c r="F45" s="16" t="str">
        <f aca="false">HYPERLINK("#'Forrásszöveg'!A"&amp;(MATCH("VHR-S0799",Forrásszöveg!$A$6:$A$2497,0)+5),"Vhr. 79. § (2)")</f>
        <v>Vhr. 79. § (2)</v>
      </c>
      <c r="G45" s="15" t="s">
        <v>769</v>
      </c>
      <c r="H45" s="16" t="str">
        <f aca="false">HYPERLINK("#'Forrásszöveg'!A"&amp;(MATCH("VHR-S0798",Forrásszöveg!$A$6:$A$2497,0)+5),"79. § eleje")</f>
        <v>79. § eleje</v>
      </c>
    </row>
    <row r="46" customFormat="false" ht="38" hidden="false" customHeight="true" outlineLevel="0" collapsed="false">
      <c r="A46" s="15" t="s">
        <v>915</v>
      </c>
      <c r="B46" s="15" t="s">
        <v>916</v>
      </c>
      <c r="C46" s="15" t="s">
        <v>917</v>
      </c>
      <c r="D46" s="15" t="s">
        <v>918</v>
      </c>
      <c r="E46" s="15" t="s">
        <v>174</v>
      </c>
      <c r="F46" s="16" t="str">
        <f aca="false">HYPERLINK("#'Forrásszöveg'!A"&amp;(MATCH("VHR-S0834",Forrásszöveg!$A$6:$A$2497,0)+5),"Vhr. 86. § (1)")</f>
        <v>Vhr. 86. § (1)</v>
      </c>
      <c r="G46" s="15" t="s">
        <v>769</v>
      </c>
      <c r="H46" s="16" t="str">
        <f aca="false">HYPERLINK("#'Forrásszöveg'!A"&amp;(MATCH("VHR-S0834",Forrásszöveg!$A$6:$A$2497,0)+5),"86. § eleje")</f>
        <v>86. § eleje</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C8A"/>
    <pageSetUpPr fitToPage="false"/>
  </sheetPr>
  <dimension ref="A1:D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44"/>
    <col collapsed="false" customWidth="true" hidden="false" outlineLevel="0" max="3" min="3" style="0" width="115"/>
    <col collapsed="false" customWidth="true" hidden="false" outlineLevel="0" max="4" min="4" style="0" width="28"/>
  </cols>
  <sheetData>
    <row r="1" customFormat="false" ht="15" hidden="false" customHeight="false" outlineLevel="0" collapsed="false">
      <c r="A1" s="10"/>
      <c r="B1" s="10"/>
      <c r="C1" s="10"/>
      <c r="D1" s="10"/>
    </row>
    <row r="2" customFormat="false" ht="18.55" hidden="false" customHeight="false" outlineLevel="0" collapsed="false">
      <c r="A2" s="11" t="s">
        <v>5</v>
      </c>
      <c r="B2" s="10"/>
      <c r="C2" s="10"/>
      <c r="D2" s="12" t="str">
        <f aca="false">HYPERLINK("#'Áttekintő'!A1","Áttekintő")</f>
        <v>Áttekintő</v>
      </c>
    </row>
    <row r="3" customFormat="false" ht="15" hidden="false" customHeight="false" outlineLevel="0" collapsed="false">
      <c r="A3" s="13" t="s">
        <v>919</v>
      </c>
      <c r="B3" s="10"/>
      <c r="C3" s="10"/>
      <c r="D3" s="10"/>
    </row>
    <row r="4" customFormat="false" ht="15" hidden="false" customHeight="false" outlineLevel="0" collapsed="false">
      <c r="A4" s="10"/>
      <c r="B4" s="10"/>
      <c r="C4" s="10"/>
      <c r="D4" s="10"/>
    </row>
    <row r="5" customFormat="false" ht="30" hidden="false" customHeight="true" outlineLevel="0" collapsed="false">
      <c r="A5" s="14" t="s">
        <v>19</v>
      </c>
      <c r="B5" s="14" t="s">
        <v>920</v>
      </c>
      <c r="C5" s="14" t="s">
        <v>921</v>
      </c>
      <c r="D5" s="14" t="s">
        <v>167</v>
      </c>
    </row>
    <row r="6" customFormat="false" ht="38" hidden="false" customHeight="true" outlineLevel="0" collapsed="false">
      <c r="A6" s="15" t="s">
        <v>922</v>
      </c>
      <c r="B6" s="15" t="s">
        <v>923</v>
      </c>
      <c r="C6" s="15" t="s">
        <v>924</v>
      </c>
      <c r="D6" s="15" t="str">
        <f aca="false">HYPERLINK("#'Forrásszöveg'!A"&amp;(MATCH("TV-S0094",Forrásszöveg!$A$6:$A$2497,0)+5),"Tv. 4. § 1. pont")</f>
        <v>Tv. 4. § 1. pont</v>
      </c>
    </row>
    <row r="7" customFormat="false" ht="34" hidden="false" customHeight="true" outlineLevel="0" collapsed="false">
      <c r="A7" s="15" t="s">
        <v>925</v>
      </c>
      <c r="B7" s="15" t="s">
        <v>926</v>
      </c>
      <c r="C7" s="15" t="s">
        <v>927</v>
      </c>
      <c r="D7" s="15" t="str">
        <f aca="false">HYPERLINK("#'Forrásszöveg'!A"&amp;(MATCH("TV-S0095",Forrásszöveg!$A$6:$A$2497,0)+5),"Tv. 4. § 2. pont")</f>
        <v>Tv. 4. § 2. pont</v>
      </c>
    </row>
    <row r="8" customFormat="false" ht="34" hidden="false" customHeight="true" outlineLevel="0" collapsed="false">
      <c r="A8" s="15" t="s">
        <v>928</v>
      </c>
      <c r="B8" s="15" t="s">
        <v>929</v>
      </c>
      <c r="C8" s="15" t="s">
        <v>927</v>
      </c>
      <c r="D8" s="15" t="str">
        <f aca="false">HYPERLINK("#'Forrásszöveg'!A"&amp;(MATCH("TV-S0096",Forrásszöveg!$A$6:$A$2497,0)+5),"Tv. 4. § 3. pont")</f>
        <v>Tv. 4. § 3. pont</v>
      </c>
    </row>
    <row r="9" customFormat="false" ht="34" hidden="false" customHeight="true" outlineLevel="0" collapsed="false">
      <c r="A9" s="15" t="s">
        <v>930</v>
      </c>
      <c r="B9" s="15" t="s">
        <v>931</v>
      </c>
      <c r="C9" s="15" t="s">
        <v>927</v>
      </c>
      <c r="D9" s="15" t="str">
        <f aca="false">HYPERLINK("#'Forrásszöveg'!A"&amp;(MATCH("TV-S0097",Forrásszöveg!$A$6:$A$2497,0)+5),"Tv. 4. § 4. pont")</f>
        <v>Tv. 4. § 4. pont</v>
      </c>
    </row>
    <row r="10" customFormat="false" ht="34" hidden="false" customHeight="true" outlineLevel="0" collapsed="false">
      <c r="A10" s="15" t="s">
        <v>932</v>
      </c>
      <c r="B10" s="15" t="s">
        <v>933</v>
      </c>
      <c r="C10" s="15" t="s">
        <v>927</v>
      </c>
      <c r="D10" s="15" t="str">
        <f aca="false">HYPERLINK("#'Forrásszöveg'!A"&amp;(MATCH("TV-S0098",Forrásszöveg!$A$6:$A$2497,0)+5),"Tv. 4. § 5. pont")</f>
        <v>Tv. 4. § 5. pont</v>
      </c>
    </row>
    <row r="11" customFormat="false" ht="34" hidden="false" customHeight="true" outlineLevel="0" collapsed="false">
      <c r="A11" s="15" t="s">
        <v>934</v>
      </c>
      <c r="B11" s="15" t="s">
        <v>935</v>
      </c>
      <c r="C11" s="15" t="s">
        <v>936</v>
      </c>
      <c r="D11" s="15" t="str">
        <f aca="false">HYPERLINK("#'Forrásszöveg'!A"&amp;(MATCH("TV-S0099",Forrásszöveg!$A$6:$A$2497,0)+5),"Tv. 4. § 6. pont")</f>
        <v>Tv. 4. § 6. pont</v>
      </c>
    </row>
    <row r="12" customFormat="false" ht="52" hidden="false" customHeight="true" outlineLevel="0" collapsed="false">
      <c r="A12" s="15" t="s">
        <v>937</v>
      </c>
      <c r="B12" s="15" t="s">
        <v>938</v>
      </c>
      <c r="C12" s="15" t="s">
        <v>939</v>
      </c>
      <c r="D12" s="15" t="str">
        <f aca="false">HYPERLINK("#'Forrásszöveg'!A"&amp;(MATCH("TV-S0100",Forrásszöveg!$A$6:$A$2497,0)+5),"Tv. 4. § 7. pont")</f>
        <v>Tv. 4. § 7. pont</v>
      </c>
    </row>
    <row r="13" customFormat="false" ht="38" hidden="false" customHeight="true" outlineLevel="0" collapsed="false">
      <c r="A13" s="15" t="s">
        <v>940</v>
      </c>
      <c r="B13" s="15" t="s">
        <v>941</v>
      </c>
      <c r="C13" s="15" t="s">
        <v>942</v>
      </c>
      <c r="D13" s="15" t="str">
        <f aca="false">HYPERLINK("#'Forrásszöveg'!A"&amp;(MATCH("TV-S0101",Forrásszöveg!$A$6:$A$2497,0)+5),"Tv. 4. § 8. pont")</f>
        <v>Tv. 4. § 8. pont</v>
      </c>
    </row>
    <row r="14" customFormat="false" ht="52" hidden="false" customHeight="true" outlineLevel="0" collapsed="false">
      <c r="A14" s="15" t="s">
        <v>943</v>
      </c>
      <c r="B14" s="15" t="s">
        <v>944</v>
      </c>
      <c r="C14" s="15" t="s">
        <v>945</v>
      </c>
      <c r="D14" s="15" t="str">
        <f aca="false">HYPERLINK("#'Forrásszöveg'!A"&amp;(MATCH("TV-S0102",Forrásszöveg!$A$6:$A$2497,0)+5),"Tv. 4. § 9. pont")</f>
        <v>Tv. 4. § 9. pont</v>
      </c>
    </row>
    <row r="15" customFormat="false" ht="38" hidden="false" customHeight="true" outlineLevel="0" collapsed="false">
      <c r="A15" s="15" t="s">
        <v>946</v>
      </c>
      <c r="B15" s="15" t="s">
        <v>947</v>
      </c>
      <c r="C15" s="15" t="s">
        <v>948</v>
      </c>
      <c r="D15" s="15" t="str">
        <f aca="false">HYPERLINK("#'Forrásszöveg'!A"&amp;(MATCH("TV-S0103",Forrásszöveg!$A$6:$A$2497,0)+5),"Tv. 4. § 10. pont")</f>
        <v>Tv. 4. § 10. pont</v>
      </c>
    </row>
    <row r="16" customFormat="false" ht="52" hidden="false" customHeight="true" outlineLevel="0" collapsed="false">
      <c r="A16" s="15" t="s">
        <v>949</v>
      </c>
      <c r="B16" s="15" t="s">
        <v>950</v>
      </c>
      <c r="C16" s="15" t="s">
        <v>951</v>
      </c>
      <c r="D16" s="15" t="str">
        <f aca="false">HYPERLINK("#'Forrásszöveg'!A"&amp;(MATCH("TV-S0104",Forrásszöveg!$A$6:$A$2497,0)+5),"Tv. 4. § 11. pont")</f>
        <v>Tv. 4. § 11. pont</v>
      </c>
    </row>
    <row r="17" customFormat="false" ht="52" hidden="false" customHeight="true" outlineLevel="0" collapsed="false">
      <c r="A17" s="15" t="s">
        <v>952</v>
      </c>
      <c r="B17" s="15" t="s">
        <v>953</v>
      </c>
      <c r="C17" s="15" t="s">
        <v>954</v>
      </c>
      <c r="D17" s="15" t="str">
        <f aca="false">HYPERLINK("#'Forrásszöveg'!A"&amp;(MATCH("TV-S0105",Forrásszöveg!$A$6:$A$2497,0)+5),"Tv. 4. § 12. pont")</f>
        <v>Tv. 4. § 12. pont</v>
      </c>
    </row>
    <row r="18" customFormat="false" ht="52" hidden="false" customHeight="true" outlineLevel="0" collapsed="false">
      <c r="A18" s="15" t="s">
        <v>955</v>
      </c>
      <c r="B18" s="15" t="s">
        <v>956</v>
      </c>
      <c r="C18" s="15" t="s">
        <v>957</v>
      </c>
      <c r="D18" s="15" t="str">
        <f aca="false">HYPERLINK("#'Forrásszöveg'!A"&amp;(MATCH("TV-S0106",Forrásszöveg!$A$6:$A$2497,0)+5),"Tv. 4. § 13. pont")</f>
        <v>Tv. 4. § 13. pont</v>
      </c>
    </row>
    <row r="19" customFormat="false" ht="38" hidden="false" customHeight="true" outlineLevel="0" collapsed="false">
      <c r="A19" s="15" t="s">
        <v>958</v>
      </c>
      <c r="B19" s="15" t="s">
        <v>959</v>
      </c>
      <c r="C19" s="15" t="s">
        <v>960</v>
      </c>
      <c r="D19" s="15" t="str">
        <f aca="false">HYPERLINK("#'Forrásszöveg'!A"&amp;(MATCH("TV-S0107",Forrásszöveg!$A$6:$A$2497,0)+5),"Tv. 4. § 14. pont")</f>
        <v>Tv. 4. § 14. pont</v>
      </c>
    </row>
    <row r="20" customFormat="false" ht="38" hidden="false" customHeight="true" outlineLevel="0" collapsed="false">
      <c r="A20" s="15" t="s">
        <v>961</v>
      </c>
      <c r="B20" s="15" t="s">
        <v>962</v>
      </c>
      <c r="C20" s="15" t="s">
        <v>960</v>
      </c>
      <c r="D20" s="15" t="str">
        <f aca="false">HYPERLINK("#'Forrásszöveg'!A"&amp;(MATCH("TV-S0108",Forrásszöveg!$A$6:$A$2497,0)+5),"Tv. 4. § 15. pont")</f>
        <v>Tv. 4. § 15. pont</v>
      </c>
    </row>
    <row r="21" customFormat="false" ht="34" hidden="false" customHeight="true" outlineLevel="0" collapsed="false">
      <c r="A21" s="15" t="s">
        <v>963</v>
      </c>
      <c r="B21" s="15" t="s">
        <v>964</v>
      </c>
      <c r="C21" s="15" t="s">
        <v>965</v>
      </c>
      <c r="D21" s="15" t="str">
        <f aca="false">HYPERLINK("#'Forrásszöveg'!A"&amp;(MATCH("TV-S0109",Forrásszöveg!$A$6:$A$2497,0)+5),"Tv. 4. § 16. pont")</f>
        <v>Tv. 4. § 16. pont</v>
      </c>
    </row>
    <row r="22" customFormat="false" ht="34" hidden="false" customHeight="true" outlineLevel="0" collapsed="false">
      <c r="A22" s="15" t="s">
        <v>966</v>
      </c>
      <c r="B22" s="15" t="s">
        <v>967</v>
      </c>
      <c r="C22" s="15" t="s">
        <v>968</v>
      </c>
      <c r="D22" s="15" t="str">
        <f aca="false">HYPERLINK("#'Forrásszöveg'!A"&amp;(MATCH("TV-S0110",Forrásszöveg!$A$6:$A$2497,0)+5),"Tv. 4. § 17. pont")</f>
        <v>Tv. 4. § 17. pont</v>
      </c>
    </row>
    <row r="23" customFormat="false" ht="38" hidden="false" customHeight="true" outlineLevel="0" collapsed="false">
      <c r="A23" s="15" t="s">
        <v>969</v>
      </c>
      <c r="B23" s="15" t="s">
        <v>970</v>
      </c>
      <c r="C23" s="15" t="s">
        <v>960</v>
      </c>
      <c r="D23" s="15" t="str">
        <f aca="false">HYPERLINK("#'Forrásszöveg'!A"&amp;(MATCH("TV-S0111",Forrásszöveg!$A$6:$A$2497,0)+5),"Tv. 4. § 18. pont")</f>
        <v>Tv. 4. § 18. pont</v>
      </c>
    </row>
    <row r="24" customFormat="false" ht="66" hidden="false" customHeight="true" outlineLevel="0" collapsed="false">
      <c r="A24" s="15" t="s">
        <v>971</v>
      </c>
      <c r="B24" s="15" t="s">
        <v>972</v>
      </c>
      <c r="C24" s="15" t="s">
        <v>973</v>
      </c>
      <c r="D24" s="15" t="str">
        <f aca="false">HYPERLINK("#'Forrásszöveg'!A"&amp;(MATCH("TV-S0112",Forrásszöveg!$A$6:$A$2497,0)+5),"Tv. 4. § 19. pont")</f>
        <v>Tv. 4. § 19. pont</v>
      </c>
    </row>
    <row r="25" customFormat="false" ht="150" hidden="false" customHeight="true" outlineLevel="0" collapsed="false">
      <c r="A25" s="15" t="s">
        <v>974</v>
      </c>
      <c r="B25" s="15" t="s">
        <v>975</v>
      </c>
      <c r="C25" s="15" t="s">
        <v>976</v>
      </c>
      <c r="D25" s="15" t="str">
        <f aca="false">HYPERLINK("#'Forrásszöveg'!A"&amp;(MATCH("TV-S0113",Forrásszöveg!$A$6:$A$2497,0)+5),"Tv. 4. § 20. pont")</f>
        <v>Tv. 4. § 20. pont</v>
      </c>
    </row>
    <row r="26" customFormat="false" ht="34" hidden="false" customHeight="true" outlineLevel="0" collapsed="false">
      <c r="A26" s="15" t="s">
        <v>977</v>
      </c>
      <c r="B26" s="15" t="s">
        <v>978</v>
      </c>
      <c r="C26" s="15" t="s">
        <v>979</v>
      </c>
      <c r="D26" s="15" t="str">
        <f aca="false">HYPERLINK("#'Forrásszöveg'!A"&amp;(MATCH("TV-S0117",Forrásszöveg!$A$6:$A$2497,0)+5),"Tv. 4. § 21. pont")</f>
        <v>Tv. 4. § 21. pont</v>
      </c>
    </row>
    <row r="27" customFormat="false" ht="38" hidden="false" customHeight="true" outlineLevel="0" collapsed="false">
      <c r="A27" s="15" t="s">
        <v>980</v>
      </c>
      <c r="B27" s="15" t="s">
        <v>981</v>
      </c>
      <c r="C27" s="15" t="s">
        <v>982</v>
      </c>
      <c r="D27" s="15" t="str">
        <f aca="false">HYPERLINK("#'Forrásszöveg'!A"&amp;(MATCH("TV-S0118",Forrásszöveg!$A$6:$A$2497,0)+5),"Tv. 4. § 22. pont")</f>
        <v>Tv. 4. § 22. pont</v>
      </c>
    </row>
    <row r="28" customFormat="false" ht="34" hidden="false" customHeight="true" outlineLevel="0" collapsed="false">
      <c r="A28" s="15" t="s">
        <v>983</v>
      </c>
      <c r="B28" s="15" t="s">
        <v>984</v>
      </c>
      <c r="C28" s="15" t="s">
        <v>936</v>
      </c>
      <c r="D28" s="15" t="str">
        <f aca="false">HYPERLINK("#'Forrásszöveg'!A"&amp;(MATCH("TV-S0119",Forrásszöveg!$A$6:$A$2497,0)+5),"Tv. 4. § 23. pont")</f>
        <v>Tv. 4. § 23. pont</v>
      </c>
    </row>
    <row r="29" customFormat="false" ht="108" hidden="false" customHeight="true" outlineLevel="0" collapsed="false">
      <c r="A29" s="15" t="s">
        <v>985</v>
      </c>
      <c r="B29" s="15" t="s">
        <v>986</v>
      </c>
      <c r="C29" s="15" t="s">
        <v>987</v>
      </c>
      <c r="D29" s="15" t="str">
        <f aca="false">HYPERLINK("#'Forrásszöveg'!A"&amp;(MATCH("TV-S0120",Forrásszöveg!$A$6:$A$2497,0)+5),"Tv. 4. § 24. pont")</f>
        <v>Tv. 4. § 24. pont</v>
      </c>
    </row>
    <row r="30" customFormat="false" ht="66" hidden="false" customHeight="true" outlineLevel="0" collapsed="false">
      <c r="A30" s="15" t="s">
        <v>988</v>
      </c>
      <c r="B30" s="15" t="s">
        <v>989</v>
      </c>
      <c r="C30" s="15" t="s">
        <v>990</v>
      </c>
      <c r="D30" s="15" t="str">
        <f aca="false">HYPERLINK("#'Forrásszöveg'!A"&amp;(MATCH("TV-S0124",Forrásszöveg!$A$6:$A$2497,0)+5),"Tv. 4. § 25. pont")</f>
        <v>Tv. 4. § 25. pont</v>
      </c>
    </row>
    <row r="31" customFormat="false" ht="38" hidden="false" customHeight="true" outlineLevel="0" collapsed="false">
      <c r="A31" s="15" t="s">
        <v>991</v>
      </c>
      <c r="B31" s="15" t="s">
        <v>992</v>
      </c>
      <c r="C31" s="15" t="s">
        <v>993</v>
      </c>
      <c r="D31" s="15" t="str">
        <f aca="false">HYPERLINK("#'Forrásszöveg'!A"&amp;(MATCH("TV-S0125",Forrásszöveg!$A$6:$A$2497,0)+5),"Tv. 4. § 26. pont")</f>
        <v>Tv. 4. § 26. pont</v>
      </c>
    </row>
    <row r="32" customFormat="false" ht="34" hidden="false" customHeight="true" outlineLevel="0" collapsed="false">
      <c r="A32" s="15" t="s">
        <v>994</v>
      </c>
      <c r="B32" s="15" t="s">
        <v>995</v>
      </c>
      <c r="C32" s="15" t="s">
        <v>996</v>
      </c>
      <c r="D32" s="15" t="str">
        <f aca="false">HYPERLINK("#'Forrásszöveg'!A"&amp;(MATCH("TV-S0126",Forrásszöveg!$A$6:$A$2497,0)+5),"Tv. 4. § 27. pont")</f>
        <v>Tv. 4. § 27. pont</v>
      </c>
    </row>
    <row r="33" customFormat="false" ht="38" hidden="false" customHeight="true" outlineLevel="0" collapsed="false">
      <c r="A33" s="15" t="s">
        <v>997</v>
      </c>
      <c r="B33" s="15" t="s">
        <v>998</v>
      </c>
      <c r="C33" s="15" t="s">
        <v>999</v>
      </c>
      <c r="D33" s="15" t="str">
        <f aca="false">HYPERLINK("#'Forrásszöveg'!A"&amp;(MATCH("TV-S0127",Forrásszöveg!$A$6:$A$2497,0)+5),"Tv. 4. § 28. pont")</f>
        <v>Tv. 4. § 28. pont</v>
      </c>
    </row>
    <row r="34" customFormat="false" ht="34" hidden="false" customHeight="true" outlineLevel="0" collapsed="false">
      <c r="A34" s="15" t="s">
        <v>1000</v>
      </c>
      <c r="B34" s="15" t="s">
        <v>1001</v>
      </c>
      <c r="C34" s="15" t="s">
        <v>1002</v>
      </c>
      <c r="D34" s="15" t="str">
        <f aca="false">HYPERLINK("#'Forrásszöveg'!A"&amp;(MATCH("TV-S0128",Forrásszöveg!$A$6:$A$2497,0)+5),"Tv. 4. § 29. pont")</f>
        <v>Tv. 4. § 29. pont</v>
      </c>
    </row>
    <row r="35" customFormat="false" ht="38" hidden="false" customHeight="true" outlineLevel="0" collapsed="false">
      <c r="A35" s="15" t="s">
        <v>1003</v>
      </c>
      <c r="B35" s="15" t="s">
        <v>1004</v>
      </c>
      <c r="C35" s="15" t="s">
        <v>1005</v>
      </c>
      <c r="D35" s="15" t="str">
        <f aca="false">HYPERLINK("#'Forrásszöveg'!A"&amp;(MATCH("TV-S0129",Forrásszöveg!$A$6:$A$2497,0)+5),"Tv. 4. § 30. pont")</f>
        <v>Tv. 4. § 30. pont</v>
      </c>
    </row>
    <row r="36" customFormat="false" ht="34" hidden="false" customHeight="true" outlineLevel="0" collapsed="false">
      <c r="A36" s="15" t="s">
        <v>1006</v>
      </c>
      <c r="B36" s="15" t="s">
        <v>1007</v>
      </c>
      <c r="C36" s="15" t="s">
        <v>1008</v>
      </c>
      <c r="D36" s="15" t="str">
        <f aca="false">HYPERLINK("#'Forrásszöveg'!A"&amp;(MATCH("TV-S0130",Forrásszöveg!$A$6:$A$2497,0)+5),"Tv. 4. § 31. pont")</f>
        <v>Tv. 4. § 31. pont</v>
      </c>
    </row>
    <row r="37" customFormat="false" ht="34" hidden="false" customHeight="true" outlineLevel="0" collapsed="false">
      <c r="A37" s="15" t="s">
        <v>1009</v>
      </c>
      <c r="B37" s="15" t="s">
        <v>1010</v>
      </c>
      <c r="C37" s="15" t="s">
        <v>1011</v>
      </c>
      <c r="D37" s="15" t="str">
        <f aca="false">HYPERLINK("#'Forrásszöveg'!A"&amp;(MATCH("TV-S0131",Forrásszöveg!$A$6:$A$2497,0)+5),"Tv. 4. § 31a. pont")</f>
        <v>Tv. 4. § 31a. pont</v>
      </c>
    </row>
    <row r="38" customFormat="false" ht="34" hidden="false" customHeight="true" outlineLevel="0" collapsed="false">
      <c r="A38" s="15" t="s">
        <v>1012</v>
      </c>
      <c r="B38" s="15" t="s">
        <v>1013</v>
      </c>
      <c r="C38" s="15" t="s">
        <v>1014</v>
      </c>
      <c r="D38" s="15" t="str">
        <f aca="false">HYPERLINK("#'Forrásszöveg'!A"&amp;(MATCH("TV-S0132",Forrásszöveg!$A$6:$A$2497,0)+5),"Tv. 4. § 32. pont")</f>
        <v>Tv. 4. § 32. pont</v>
      </c>
    </row>
    <row r="39" customFormat="false" ht="38" hidden="false" customHeight="true" outlineLevel="0" collapsed="false">
      <c r="A39" s="15" t="s">
        <v>1015</v>
      </c>
      <c r="B39" s="15" t="s">
        <v>1016</v>
      </c>
      <c r="C39" s="15" t="s">
        <v>1017</v>
      </c>
      <c r="D39" s="15" t="str">
        <f aca="false">HYPERLINK("#'Forrásszöveg'!A"&amp;(MATCH("TV-S0133",Forrásszöveg!$A$6:$A$2497,0)+5),"Tv. 4. § 33. pont")</f>
        <v>Tv. 4. § 33. pont</v>
      </c>
    </row>
    <row r="40" customFormat="false" ht="178" hidden="false" customHeight="true" outlineLevel="0" collapsed="false">
      <c r="A40" s="15" t="s">
        <v>1018</v>
      </c>
      <c r="B40" s="15" t="s">
        <v>1019</v>
      </c>
      <c r="C40" s="15" t="s">
        <v>1020</v>
      </c>
      <c r="D40" s="15" t="str">
        <f aca="false">HYPERLINK("#'Forrásszöveg'!A"&amp;(MATCH("TV-S0134",Forrásszöveg!$A$6:$A$2497,0)+5),"Tv. 4. § 34. pont")</f>
        <v>Tv. 4. § 34. pont</v>
      </c>
    </row>
    <row r="41" customFormat="false" ht="38" hidden="false" customHeight="true" outlineLevel="0" collapsed="false">
      <c r="A41" s="15" t="s">
        <v>1021</v>
      </c>
      <c r="B41" s="15" t="s">
        <v>1022</v>
      </c>
      <c r="C41" s="15" t="s">
        <v>1023</v>
      </c>
      <c r="D41" s="15" t="str">
        <f aca="false">HYPERLINK("#'Forrásszöveg'!A"&amp;(MATCH("TV-S0139",Forrásszöveg!$A$6:$A$2497,0)+5),"Tv. 4. § 35. pont")</f>
        <v>Tv. 4. § 35. pont</v>
      </c>
    </row>
    <row r="42" customFormat="false" ht="34" hidden="false" customHeight="true" outlineLevel="0" collapsed="false">
      <c r="A42" s="15" t="s">
        <v>1024</v>
      </c>
      <c r="B42" s="15" t="s">
        <v>1025</v>
      </c>
      <c r="C42" s="15" t="s">
        <v>1026</v>
      </c>
      <c r="D42" s="15" t="str">
        <f aca="false">HYPERLINK("#'Forrásszöveg'!A"&amp;(MATCH("TV-S0140",Forrásszöveg!$A$6:$A$2497,0)+5),"Tv. 4. § 36. pont")</f>
        <v>Tv. 4. § 36. pont</v>
      </c>
    </row>
    <row r="43" customFormat="false" ht="34" hidden="false" customHeight="true" outlineLevel="0" collapsed="false">
      <c r="A43" s="15" t="s">
        <v>1027</v>
      </c>
      <c r="B43" s="15" t="s">
        <v>1028</v>
      </c>
      <c r="C43" s="15" t="s">
        <v>1029</v>
      </c>
      <c r="D43" s="15" t="str">
        <f aca="false">HYPERLINK("#'Forrásszöveg'!A"&amp;(MATCH("TV-S0141",Forrásszöveg!$A$6:$A$2497,0)+5),"Tv. 4. § 37. pont")</f>
        <v>Tv. 4. § 37. pont</v>
      </c>
    </row>
    <row r="44" customFormat="false" ht="34" hidden="false" customHeight="true" outlineLevel="0" collapsed="false">
      <c r="A44" s="15" t="s">
        <v>1030</v>
      </c>
      <c r="B44" s="15" t="s">
        <v>1031</v>
      </c>
      <c r="C44" s="15" t="s">
        <v>1032</v>
      </c>
      <c r="D44" s="15" t="str">
        <f aca="false">HYPERLINK("#'Forrásszöveg'!A"&amp;(MATCH("TV-S0142",Forrásszöveg!$A$6:$A$2497,0)+5),"Tv. 4. § 38. pont")</f>
        <v>Tv. 4. § 38. pont</v>
      </c>
    </row>
    <row r="45" customFormat="false" ht="34" hidden="false" customHeight="true" outlineLevel="0" collapsed="false">
      <c r="A45" s="15" t="s">
        <v>1033</v>
      </c>
      <c r="B45" s="15" t="s">
        <v>1034</v>
      </c>
      <c r="C45" s="15" t="s">
        <v>1035</v>
      </c>
      <c r="D45" s="15" t="str">
        <f aca="false">HYPERLINK("#'Forrásszöveg'!A"&amp;(MATCH("TV-S0143",Forrásszöveg!$A$6:$A$2497,0)+5),"Tv. 4. § 39. pont")</f>
        <v>Tv. 4. § 39. pont</v>
      </c>
    </row>
    <row r="46" customFormat="false" ht="164" hidden="false" customHeight="true" outlineLevel="0" collapsed="false">
      <c r="A46" s="15" t="s">
        <v>1036</v>
      </c>
      <c r="B46" s="15" t="s">
        <v>1037</v>
      </c>
      <c r="C46" s="15" t="s">
        <v>1038</v>
      </c>
      <c r="D46" s="15" t="str">
        <f aca="false">HYPERLINK("#'Forrásszöveg'!A"&amp;(MATCH("TV-S0144",Forrásszöveg!$A$6:$A$2497,0)+5),"Tv. 4. § 40. pont")</f>
        <v>Tv. 4. § 40. pont</v>
      </c>
    </row>
    <row r="47" customFormat="false" ht="52" hidden="false" customHeight="true" outlineLevel="0" collapsed="false">
      <c r="A47" s="15" t="s">
        <v>1039</v>
      </c>
      <c r="B47" s="15" t="s">
        <v>1040</v>
      </c>
      <c r="C47" s="15" t="s">
        <v>1041</v>
      </c>
      <c r="D47" s="15" t="str">
        <f aca="false">HYPERLINK("#'Forrásszöveg'!A"&amp;(MATCH("TV-S0150",Forrásszöveg!$A$6:$A$2497,0)+5),"Tv. 4. § 41. pont")</f>
        <v>Tv. 4. § 41. pont</v>
      </c>
    </row>
    <row r="48" customFormat="false" ht="66" hidden="false" customHeight="true" outlineLevel="0" collapsed="false">
      <c r="A48" s="15" t="s">
        <v>1042</v>
      </c>
      <c r="B48" s="15" t="s">
        <v>1043</v>
      </c>
      <c r="C48" s="15" t="s">
        <v>1044</v>
      </c>
      <c r="D48" s="15" t="str">
        <f aca="false">HYPERLINK("#'Forrásszöveg'!A"&amp;(MATCH("TV-S0151",Forrásszöveg!$A$6:$A$2497,0)+5),"Tv. 4. § 42. pont")</f>
        <v>Tv. 4. § 42. pont</v>
      </c>
    </row>
    <row r="49" customFormat="false" ht="34" hidden="false" customHeight="true" outlineLevel="0" collapsed="false">
      <c r="A49" s="15" t="s">
        <v>1045</v>
      </c>
      <c r="B49" s="15" t="s">
        <v>1046</v>
      </c>
      <c r="C49" s="15" t="s">
        <v>1047</v>
      </c>
      <c r="D49" s="15" t="str">
        <f aca="false">HYPERLINK("#'Forrásszöveg'!A"&amp;(MATCH("TV-S0152",Forrásszöveg!$A$6:$A$2497,0)+5),"Tv. 4. § 43. pont")</f>
        <v>Tv. 4. § 43. pont</v>
      </c>
    </row>
    <row r="50" customFormat="false" ht="38" hidden="false" customHeight="true" outlineLevel="0" collapsed="false">
      <c r="A50" s="15" t="s">
        <v>1048</v>
      </c>
      <c r="B50" s="15" t="s">
        <v>1049</v>
      </c>
      <c r="C50" s="15" t="s">
        <v>1050</v>
      </c>
      <c r="D50" s="15" t="str">
        <f aca="false">HYPERLINK("#'Forrásszöveg'!A"&amp;(MATCH("TV-S0153",Forrásszöveg!$A$6:$A$2497,0)+5),"Tv. 4. § 44. pont")</f>
        <v>Tv. 4. § 44. pont</v>
      </c>
    </row>
    <row r="51" customFormat="false" ht="34" hidden="false" customHeight="true" outlineLevel="0" collapsed="false">
      <c r="A51" s="15" t="s">
        <v>1051</v>
      </c>
      <c r="B51" s="15" t="s">
        <v>1052</v>
      </c>
      <c r="C51" s="15" t="s">
        <v>1053</v>
      </c>
      <c r="D51" s="15" t="str">
        <f aca="false">HYPERLINK("#'Forrásszöveg'!A"&amp;(MATCH("TV-S0154",Forrásszöveg!$A$6:$A$2497,0)+5),"Tv. 4. § 45. pont")</f>
        <v>Tv. 4. § 45. pont</v>
      </c>
    </row>
    <row r="52" customFormat="false" ht="52" hidden="false" customHeight="true" outlineLevel="0" collapsed="false">
      <c r="A52" s="15" t="s">
        <v>1054</v>
      </c>
      <c r="B52" s="15" t="s">
        <v>1055</v>
      </c>
      <c r="C52" s="15" t="s">
        <v>1056</v>
      </c>
      <c r="D52" s="15" t="str">
        <f aca="false">HYPERLINK("#'Forrásszöveg'!A"&amp;(MATCH("TV-S0155",Forrásszöveg!$A$6:$A$2497,0)+5),"Tv. 4. § 46. pont")</f>
        <v>Tv. 4. § 46. pont</v>
      </c>
    </row>
    <row r="53" customFormat="false" ht="52" hidden="false" customHeight="true" outlineLevel="0" collapsed="false">
      <c r="A53" s="15" t="s">
        <v>1057</v>
      </c>
      <c r="B53" s="15" t="s">
        <v>1058</v>
      </c>
      <c r="C53" s="15" t="s">
        <v>1059</v>
      </c>
      <c r="D53" s="15" t="str">
        <f aca="false">HYPERLINK("#'Forrásszöveg'!A"&amp;(MATCH("TV-S0156",Forrásszöveg!$A$6:$A$2497,0)+5),"Tv. 4. § 47. pont")</f>
        <v>Tv. 4. § 47. pont</v>
      </c>
    </row>
    <row r="54" customFormat="false" ht="34" hidden="false" customHeight="true" outlineLevel="0" collapsed="false">
      <c r="A54" s="15" t="s">
        <v>1060</v>
      </c>
      <c r="B54" s="15" t="s">
        <v>1061</v>
      </c>
      <c r="C54" s="15" t="s">
        <v>1062</v>
      </c>
      <c r="D54" s="15" t="str">
        <f aca="false">HYPERLINK("#'Forrásszöveg'!A"&amp;(MATCH("TV-S0157",Forrásszöveg!$A$6:$A$2497,0)+5),"Tv. 4. § 48. pont")</f>
        <v>Tv. 4. § 48. pont</v>
      </c>
    </row>
    <row r="55" customFormat="false" ht="66" hidden="false" customHeight="true" outlineLevel="0" collapsed="false">
      <c r="A55" s="15" t="s">
        <v>1063</v>
      </c>
      <c r="B55" s="15" t="s">
        <v>1064</v>
      </c>
      <c r="C55" s="15" t="s">
        <v>1065</v>
      </c>
      <c r="D55" s="15" t="str">
        <f aca="false">HYPERLINK("#'Forrásszöveg'!A"&amp;(MATCH("TV-S0158",Forrásszöveg!$A$6:$A$2497,0)+5),"Tv. 4. § 49. pont")</f>
        <v>Tv. 4. § 49. pont</v>
      </c>
    </row>
    <row r="56" customFormat="false" ht="34" hidden="false" customHeight="true" outlineLevel="0" collapsed="false">
      <c r="A56" s="15" t="s">
        <v>1066</v>
      </c>
      <c r="B56" s="15" t="s">
        <v>1067</v>
      </c>
      <c r="C56" s="15" t="s">
        <v>1068</v>
      </c>
      <c r="D56" s="15" t="str">
        <f aca="false">HYPERLINK("#'Forrásszöveg'!A"&amp;(MATCH("TV-S0159",Forrásszöveg!$A$6:$A$2497,0)+5),"Tv. 4. § 50. pont")</f>
        <v>Tv. 4. § 50. pont</v>
      </c>
    </row>
    <row r="57" customFormat="false" ht="66" hidden="false" customHeight="true" outlineLevel="0" collapsed="false">
      <c r="A57" s="15" t="s">
        <v>1069</v>
      </c>
      <c r="B57" s="15" t="s">
        <v>1070</v>
      </c>
      <c r="C57" s="15" t="s">
        <v>1071</v>
      </c>
      <c r="D57" s="15" t="str">
        <f aca="false">HYPERLINK("#'Forrásszöveg'!A"&amp;(MATCH("TV-S0160",Forrásszöveg!$A$6:$A$2497,0)+5),"Tv. 4. § 51. pont")</f>
        <v>Tv. 4. § 51. pont</v>
      </c>
    </row>
    <row r="58" customFormat="false" ht="52" hidden="false" customHeight="true" outlineLevel="0" collapsed="false">
      <c r="A58" s="15" t="s">
        <v>1072</v>
      </c>
      <c r="B58" s="15" t="s">
        <v>1073</v>
      </c>
      <c r="C58" s="15" t="s">
        <v>1074</v>
      </c>
      <c r="D58" s="15" t="str">
        <f aca="false">HYPERLINK("#'Forrásszöveg'!A"&amp;(MATCH("TV-S0161",Forrásszöveg!$A$6:$A$2497,0)+5),"Tv. 4. § 52. pont")</f>
        <v>Tv. 4. § 52. pont</v>
      </c>
    </row>
    <row r="59" customFormat="false" ht="52" hidden="false" customHeight="true" outlineLevel="0" collapsed="false">
      <c r="A59" s="15" t="s">
        <v>1075</v>
      </c>
      <c r="B59" s="15" t="s">
        <v>1076</v>
      </c>
      <c r="C59" s="15" t="s">
        <v>1077</v>
      </c>
      <c r="D59" s="15" t="str">
        <f aca="false">HYPERLINK("#'Forrásszöveg'!A"&amp;(MATCH("TV-S0162",Forrásszöveg!$A$6:$A$2497,0)+5),"Tv. 4. § 53. pont")</f>
        <v>Tv. 4. § 53. pont</v>
      </c>
    </row>
    <row r="60" customFormat="false" ht="38" hidden="false" customHeight="true" outlineLevel="0" collapsed="false">
      <c r="A60" s="15" t="s">
        <v>1078</v>
      </c>
      <c r="B60" s="15" t="s">
        <v>1079</v>
      </c>
      <c r="C60" s="15" t="s">
        <v>1080</v>
      </c>
      <c r="D60" s="15" t="str">
        <f aca="false">HYPERLINK("#'Forrásszöveg'!A"&amp;(MATCH("TV-S0163",Forrásszöveg!$A$6:$A$2497,0)+5),"Tv. 4. § 54. pont")</f>
        <v>Tv. 4. § 54. pont</v>
      </c>
    </row>
    <row r="61" customFormat="false" ht="38" hidden="false" customHeight="true" outlineLevel="0" collapsed="false">
      <c r="A61" s="15" t="s">
        <v>1081</v>
      </c>
      <c r="B61" s="15" t="s">
        <v>1082</v>
      </c>
      <c r="C61" s="15" t="s">
        <v>1083</v>
      </c>
      <c r="D61" s="15" t="str">
        <f aca="false">HYPERLINK("#'Forrásszöveg'!A"&amp;(MATCH("TV-S0164",Forrásszöveg!$A$6:$A$2497,0)+5),"Tv. 4. § 55. pont")</f>
        <v>Tv. 4. § 55. pont</v>
      </c>
    </row>
    <row r="62" customFormat="false" ht="38" hidden="false" customHeight="true" outlineLevel="0" collapsed="false">
      <c r="A62" s="15" t="s">
        <v>1084</v>
      </c>
      <c r="B62" s="15" t="s">
        <v>1085</v>
      </c>
      <c r="C62" s="15" t="s">
        <v>1086</v>
      </c>
      <c r="D62" s="15" t="str">
        <f aca="false">HYPERLINK("#'Forrásszöveg'!A"&amp;(MATCH("TV-S0165",Forrásszöveg!$A$6:$A$2497,0)+5),"Tv. 4. § 56. pont")</f>
        <v>Tv. 4. § 56. pont</v>
      </c>
    </row>
    <row r="63" customFormat="false" ht="80" hidden="false" customHeight="true" outlineLevel="0" collapsed="false">
      <c r="A63" s="15" t="s">
        <v>1087</v>
      </c>
      <c r="B63" s="15" t="s">
        <v>1088</v>
      </c>
      <c r="C63" s="15" t="s">
        <v>1089</v>
      </c>
      <c r="D63" s="15" t="str">
        <f aca="false">HYPERLINK("#'Forrásszöveg'!A"&amp;(MATCH("TV-S0166",Forrásszöveg!$A$6:$A$2497,0)+5),"Tv. 4. § 57. pont")</f>
        <v>Tv. 4. § 57. pont</v>
      </c>
    </row>
    <row r="64" customFormat="false" ht="34" hidden="false" customHeight="true" outlineLevel="0" collapsed="false">
      <c r="A64" s="15" t="s">
        <v>1090</v>
      </c>
      <c r="B64" s="15" t="s">
        <v>1091</v>
      </c>
      <c r="C64" s="15" t="s">
        <v>1092</v>
      </c>
      <c r="D64" s="15" t="str">
        <f aca="false">HYPERLINK("#'Forrásszöveg'!A"&amp;(MATCH("TV-S0167",Forrásszöveg!$A$6:$A$2497,0)+5),"Tv. 4. § 58. pont")</f>
        <v>Tv. 4. § 58. pont</v>
      </c>
    </row>
    <row r="65" customFormat="false" ht="38" hidden="false" customHeight="true" outlineLevel="0" collapsed="false">
      <c r="A65" s="15" t="s">
        <v>1093</v>
      </c>
      <c r="B65" s="15" t="s">
        <v>1094</v>
      </c>
      <c r="C65" s="15" t="s">
        <v>1095</v>
      </c>
      <c r="D65" s="15" t="str">
        <f aca="false">HYPERLINK("#'Forrásszöveg'!A"&amp;(MATCH("TV-S0168",Forrásszöveg!$A$6:$A$2497,0)+5),"Tv. 4. § 59. pont")</f>
        <v>Tv. 4. § 59. pont</v>
      </c>
    </row>
    <row r="66" customFormat="false" ht="52" hidden="false" customHeight="true" outlineLevel="0" collapsed="false">
      <c r="A66" s="15" t="s">
        <v>1096</v>
      </c>
      <c r="B66" s="15" t="s">
        <v>1097</v>
      </c>
      <c r="C66" s="15" t="s">
        <v>1098</v>
      </c>
      <c r="D66" s="15" t="str">
        <f aca="false">HYPERLINK("#'Forrásszöveg'!A"&amp;(MATCH("TV-S0169",Forrásszöveg!$A$6:$A$2497,0)+5),"Tv. 4. § 60. pont")</f>
        <v>Tv. 4. § 60. pont</v>
      </c>
    </row>
    <row r="67" customFormat="false" ht="34" hidden="false" customHeight="true" outlineLevel="0" collapsed="false">
      <c r="A67" s="15" t="s">
        <v>1099</v>
      </c>
      <c r="B67" s="15" t="s">
        <v>1100</v>
      </c>
      <c r="C67" s="15" t="s">
        <v>1101</v>
      </c>
      <c r="D67" s="15" t="str">
        <f aca="false">HYPERLINK("#'Forrásszöveg'!A"&amp;(MATCH("TV-S0170",Forrásszöveg!$A$6:$A$2497,0)+5),"Tv. 4. § 61. pont")</f>
        <v>Tv. 4. § 61. pont</v>
      </c>
    </row>
    <row r="68" customFormat="false" ht="38" hidden="false" customHeight="true" outlineLevel="0" collapsed="false">
      <c r="A68" s="15" t="s">
        <v>1102</v>
      </c>
      <c r="B68" s="15" t="s">
        <v>1103</v>
      </c>
      <c r="C68" s="15" t="s">
        <v>1104</v>
      </c>
      <c r="D68" s="15" t="str">
        <f aca="false">HYPERLINK("#'Forrásszöveg'!A"&amp;(MATCH("TV-S0171",Forrásszöveg!$A$6:$A$2497,0)+5),"Tv. 4. § 62. pont")</f>
        <v>Tv. 4. § 62. pont</v>
      </c>
    </row>
    <row r="69" customFormat="false" ht="52" hidden="false" customHeight="true" outlineLevel="0" collapsed="false">
      <c r="A69" s="15" t="s">
        <v>1105</v>
      </c>
      <c r="B69" s="15" t="s">
        <v>1106</v>
      </c>
      <c r="C69" s="15" t="s">
        <v>1107</v>
      </c>
      <c r="D69" s="15" t="str">
        <f aca="false">HYPERLINK("#'Forrásszöveg'!A"&amp;(MATCH("TV-S0172",Forrásszöveg!$A$6:$A$2497,0)+5),"Tv. 4. § 63. pont")</f>
        <v>Tv. 4. § 63. pont</v>
      </c>
    </row>
    <row r="70" customFormat="false" ht="108" hidden="false" customHeight="true" outlineLevel="0" collapsed="false">
      <c r="A70" s="15" t="s">
        <v>1108</v>
      </c>
      <c r="B70" s="15" t="s">
        <v>1109</v>
      </c>
      <c r="C70" s="15" t="s">
        <v>1110</v>
      </c>
      <c r="D70" s="15" t="str">
        <f aca="false">HYPERLINK("#'Forrásszöveg'!A"&amp;(MATCH("TV-S0173",Forrásszöveg!$A$6:$A$2497,0)+5),"Tv. 4. § 64. pont")</f>
        <v>Tv. 4. § 64. pont</v>
      </c>
    </row>
    <row r="71" customFormat="false" ht="38" hidden="false" customHeight="true" outlineLevel="0" collapsed="false">
      <c r="A71" s="15" t="s">
        <v>1111</v>
      </c>
      <c r="B71" s="15" t="s">
        <v>1112</v>
      </c>
      <c r="C71" s="15" t="s">
        <v>1113</v>
      </c>
      <c r="D71" s="15" t="str">
        <f aca="false">HYPERLINK("#'Forrásszöveg'!A"&amp;(MATCH("TV-S0174",Forrásszöveg!$A$6:$A$2497,0)+5),"Tv. 4. § 65. pont")</f>
        <v>Tv. 4. § 65. pont</v>
      </c>
    </row>
    <row r="72" customFormat="false" ht="52" hidden="false" customHeight="true" outlineLevel="0" collapsed="false">
      <c r="A72" s="15" t="s">
        <v>1114</v>
      </c>
      <c r="B72" s="15" t="s">
        <v>1115</v>
      </c>
      <c r="C72" s="15" t="s">
        <v>1116</v>
      </c>
      <c r="D72" s="15" t="str">
        <f aca="false">HYPERLINK("#'Forrásszöveg'!A"&amp;(MATCH("TV-S0175",Forrásszöveg!$A$6:$A$2497,0)+5),"Tv. 4. § 66. pont")</f>
        <v>Tv. 4. § 66. pont</v>
      </c>
    </row>
    <row r="73" customFormat="false" ht="52" hidden="false" customHeight="true" outlineLevel="0" collapsed="false">
      <c r="A73" s="15" t="s">
        <v>1117</v>
      </c>
      <c r="B73" s="15" t="s">
        <v>1118</v>
      </c>
      <c r="C73" s="15" t="s">
        <v>1119</v>
      </c>
      <c r="D73" s="15" t="str">
        <f aca="false">HYPERLINK("#'Forrásszöveg'!A"&amp;(MATCH("TV-S0176",Forrásszöveg!$A$6:$A$2497,0)+5),"Tv. 4. § 67. pont")</f>
        <v>Tv. 4. § 67. pont</v>
      </c>
    </row>
    <row r="74" customFormat="false" ht="34" hidden="false" customHeight="true" outlineLevel="0" collapsed="false">
      <c r="A74" s="15" t="s">
        <v>1120</v>
      </c>
      <c r="B74" s="15" t="s">
        <v>1121</v>
      </c>
      <c r="C74" s="15" t="s">
        <v>1122</v>
      </c>
      <c r="D74" s="15" t="str">
        <f aca="false">HYPERLINK("#'Forrásszöveg'!A"&amp;(MATCH("TV-S0177",Forrásszöveg!$A$6:$A$2497,0)+5),"Tv. 4. § 68. pont")</f>
        <v>Tv. 4. § 68. pont</v>
      </c>
    </row>
    <row r="75" customFormat="false" ht="136" hidden="false" customHeight="true" outlineLevel="0" collapsed="false">
      <c r="A75" s="15" t="s">
        <v>1123</v>
      </c>
      <c r="B75" s="15" t="s">
        <v>1124</v>
      </c>
      <c r="C75" s="15" t="s">
        <v>1125</v>
      </c>
      <c r="D75" s="15" t="str">
        <f aca="false">HYPERLINK("#'Forrásszöveg'!A"&amp;(MATCH("TV-S0178",Forrásszöveg!$A$6:$A$2497,0)+5),"Tv. 4. § 69. pont")</f>
        <v>Tv. 4. § 69. pont</v>
      </c>
    </row>
    <row r="76" customFormat="false" ht="38" hidden="false" customHeight="true" outlineLevel="0" collapsed="false">
      <c r="A76" s="15" t="s">
        <v>1126</v>
      </c>
      <c r="B76" s="15" t="s">
        <v>1127</v>
      </c>
      <c r="C76" s="15" t="s">
        <v>960</v>
      </c>
      <c r="D76" s="15" t="str">
        <f aca="false">HYPERLINK("#'Forrásszöveg'!A"&amp;(MATCH("TV-S0179",Forrásszöveg!$A$6:$A$2497,0)+5),"Tv. 4. § 70. pont")</f>
        <v>Tv. 4. § 70. pont</v>
      </c>
    </row>
    <row r="77" customFormat="false" ht="38" hidden="false" customHeight="true" outlineLevel="0" collapsed="false">
      <c r="A77" s="15" t="s">
        <v>1128</v>
      </c>
      <c r="B77" s="15" t="s">
        <v>1129</v>
      </c>
      <c r="C77" s="15" t="s">
        <v>960</v>
      </c>
      <c r="D77" s="15" t="str">
        <f aca="false">HYPERLINK("#'Forrásszöveg'!A"&amp;(MATCH("TV-S0180",Forrásszöveg!$A$6:$A$2497,0)+5),"Tv. 4. § 71. pont")</f>
        <v>Tv. 4. § 71. pont</v>
      </c>
    </row>
    <row r="78" customFormat="false" ht="94" hidden="false" customHeight="true" outlineLevel="0" collapsed="false">
      <c r="A78" s="15" t="s">
        <v>1130</v>
      </c>
      <c r="B78" s="15" t="s">
        <v>1131</v>
      </c>
      <c r="C78" s="15" t="s">
        <v>1132</v>
      </c>
      <c r="D78" s="15" t="str">
        <f aca="false">HYPERLINK("#'Forrásszöveg'!A"&amp;(MATCH("TV-S0181",Forrásszöveg!$A$6:$A$2497,0)+5),"Tv. 4. § 72. pont")</f>
        <v>Tv. 4. § 72. pont</v>
      </c>
    </row>
    <row r="79" customFormat="false" ht="94" hidden="false" customHeight="true" outlineLevel="0" collapsed="false">
      <c r="A79" s="15" t="s">
        <v>1133</v>
      </c>
      <c r="B79" s="15" t="s">
        <v>1134</v>
      </c>
      <c r="C79" s="15" t="s">
        <v>1135</v>
      </c>
      <c r="D79" s="15" t="str">
        <f aca="false">HYPERLINK("#'Forrásszöveg'!A"&amp;(MATCH("TV-S0182",Forrásszöveg!$A$6:$A$2497,0)+5),"Tv. 4. § 73. pont")</f>
        <v>Tv. 4. § 73. pont</v>
      </c>
    </row>
    <row r="80" customFormat="false" ht="52" hidden="false" customHeight="true" outlineLevel="0" collapsed="false">
      <c r="A80" s="15" t="s">
        <v>1136</v>
      </c>
      <c r="B80" s="15" t="s">
        <v>1137</v>
      </c>
      <c r="C80" s="15" t="s">
        <v>1138</v>
      </c>
      <c r="D80" s="15" t="str">
        <f aca="false">HYPERLINK("#'Forrásszöveg'!A"&amp;(MATCH("TV-S0185",Forrásszöveg!$A$6:$A$2497,0)+5),"Tv. 4. § 74. pont")</f>
        <v>Tv. 4. § 74. pont</v>
      </c>
    </row>
    <row r="81" customFormat="false" ht="38" hidden="false" customHeight="true" outlineLevel="0" collapsed="false">
      <c r="A81" s="15" t="s">
        <v>1139</v>
      </c>
      <c r="B81" s="15" t="s">
        <v>1140</v>
      </c>
      <c r="C81" s="15" t="s">
        <v>1141</v>
      </c>
      <c r="D81" s="15" t="str">
        <f aca="false">HYPERLINK("#'Forrásszöveg'!A"&amp;(MATCH("TV-S0186",Forrásszöveg!$A$6:$A$2497,0)+5),"Tv. 4. § 75. pont")</f>
        <v>Tv. 4. § 75. pont</v>
      </c>
    </row>
    <row r="82" customFormat="false" ht="66" hidden="false" customHeight="true" outlineLevel="0" collapsed="false">
      <c r="A82" s="15" t="s">
        <v>1142</v>
      </c>
      <c r="B82" s="15" t="s">
        <v>1143</v>
      </c>
      <c r="C82" s="15" t="s">
        <v>1144</v>
      </c>
      <c r="D82" s="15" t="str">
        <f aca="false">HYPERLINK("#'Forrásszöveg'!A"&amp;(MATCH("TV-S0187",Forrásszöveg!$A$6:$A$2497,0)+5),"Tv. 4. § 76. pont")</f>
        <v>Tv. 4. § 76. pont</v>
      </c>
    </row>
    <row r="83" customFormat="false" ht="52" hidden="false" customHeight="true" outlineLevel="0" collapsed="false">
      <c r="A83" s="15" t="s">
        <v>1145</v>
      </c>
      <c r="B83" s="15" t="s">
        <v>1146</v>
      </c>
      <c r="C83" s="15" t="s">
        <v>1147</v>
      </c>
      <c r="D83" s="15" t="str">
        <f aca="false">HYPERLINK("#'Forrásszöveg'!A"&amp;(MATCH("TV-S0188",Forrásszöveg!$A$6:$A$2497,0)+5),"Tv. 4. § 77. pont")</f>
        <v>Tv. 4. § 77. pont</v>
      </c>
    </row>
    <row r="84" customFormat="false" ht="38" hidden="false" customHeight="true" outlineLevel="0" collapsed="false">
      <c r="A84" s="15" t="s">
        <v>1148</v>
      </c>
      <c r="B84" s="15" t="s">
        <v>1149</v>
      </c>
      <c r="C84" s="15" t="s">
        <v>1150</v>
      </c>
      <c r="D84" s="15" t="str">
        <f aca="false">HYPERLINK("#'Forrásszöveg'!A"&amp;(MATCH("TV-S0189",Forrásszöveg!$A$6:$A$2497,0)+5),"Tv. 4. § 78. pont")</f>
        <v>Tv. 4. § 78. pont</v>
      </c>
    </row>
    <row r="85" customFormat="false" ht="52" hidden="false" customHeight="true" outlineLevel="0" collapsed="false">
      <c r="A85" s="15" t="s">
        <v>1151</v>
      </c>
      <c r="B85" s="15" t="s">
        <v>1152</v>
      </c>
      <c r="C85" s="15" t="s">
        <v>1153</v>
      </c>
      <c r="D85" s="15" t="str">
        <f aca="false">HYPERLINK("#'Forrásszöveg'!A"&amp;(MATCH("TV-S0190",Forrásszöveg!$A$6:$A$2497,0)+5),"Tv. 4. § 79. pont")</f>
        <v>Tv. 4. § 79. pont</v>
      </c>
    </row>
    <row r="86" customFormat="false" ht="52" hidden="false" customHeight="true" outlineLevel="0" collapsed="false">
      <c r="A86" s="15" t="s">
        <v>1154</v>
      </c>
      <c r="B86" s="15" t="s">
        <v>1155</v>
      </c>
      <c r="C86" s="15" t="s">
        <v>1156</v>
      </c>
      <c r="D86" s="15" t="str">
        <f aca="false">HYPERLINK("#'Forrásszöveg'!A"&amp;(MATCH("TV-S0191",Forrásszöveg!$A$6:$A$2497,0)+5),"Tv. 4. § 80. pont")</f>
        <v>Tv. 4. § 80. pont</v>
      </c>
    </row>
    <row r="87" customFormat="false" ht="52" hidden="false" customHeight="true" outlineLevel="0" collapsed="false">
      <c r="A87" s="15" t="s">
        <v>1157</v>
      </c>
      <c r="B87" s="15" t="s">
        <v>1158</v>
      </c>
      <c r="C87" s="15" t="s">
        <v>1159</v>
      </c>
      <c r="D87" s="15" t="str">
        <f aca="false">HYPERLINK("#'Forrásszöveg'!A"&amp;(MATCH("TV-S0192",Forrásszöveg!$A$6:$A$2497,0)+5),"Tv. 4. § 81. pont")</f>
        <v>Tv. 4. § 81. pont</v>
      </c>
    </row>
    <row r="88" customFormat="false" ht="52" hidden="false" customHeight="true" outlineLevel="0" collapsed="false">
      <c r="A88" s="15" t="s">
        <v>1160</v>
      </c>
      <c r="B88" s="15" t="s">
        <v>1161</v>
      </c>
      <c r="C88" s="15" t="s">
        <v>1162</v>
      </c>
      <c r="D88" s="15" t="str">
        <f aca="false">HYPERLINK("#'Forrásszöveg'!A"&amp;(MATCH("TV-S0193",Forrásszöveg!$A$6:$A$2497,0)+5),"Tv. 4. § 82. pont")</f>
        <v>Tv. 4. § 82. pont</v>
      </c>
    </row>
    <row r="89" customFormat="false" ht="38" hidden="false" customHeight="true" outlineLevel="0" collapsed="false">
      <c r="A89" s="15" t="s">
        <v>1163</v>
      </c>
      <c r="B89" s="15" t="s">
        <v>1164</v>
      </c>
      <c r="C89" s="15" t="s">
        <v>1165</v>
      </c>
      <c r="D89" s="15" t="str">
        <f aca="false">HYPERLINK("#'Forrásszöveg'!A"&amp;(MATCH("TV-S0194",Forrásszöveg!$A$6:$A$2497,0)+5),"Tv. 4. § 83. pont")</f>
        <v>Tv. 4. § 83. pont</v>
      </c>
    </row>
    <row r="90" customFormat="false" ht="38" hidden="false" customHeight="true" outlineLevel="0" collapsed="false">
      <c r="A90" s="15" t="s">
        <v>1166</v>
      </c>
      <c r="B90" s="15" t="s">
        <v>1167</v>
      </c>
      <c r="C90" s="15" t="s">
        <v>1168</v>
      </c>
      <c r="D90" s="15" t="str">
        <f aca="false">HYPERLINK("#'Forrásszöveg'!A"&amp;(MATCH("TV-S0195",Forrásszöveg!$A$6:$A$2497,0)+5),"Tv. 4. § 84. pont")</f>
        <v>Tv. 4. § 84. pont</v>
      </c>
    </row>
    <row r="91" customFormat="false" ht="52" hidden="false" customHeight="true" outlineLevel="0" collapsed="false">
      <c r="A91" s="15" t="s">
        <v>1169</v>
      </c>
      <c r="B91" s="15" t="s">
        <v>1170</v>
      </c>
      <c r="C91" s="15" t="s">
        <v>1171</v>
      </c>
      <c r="D91" s="15" t="str">
        <f aca="false">HYPERLINK("#'Forrásszöveg'!A"&amp;(MATCH("TV-S0196",Forrásszöveg!$A$6:$A$2497,0)+5),"Tv. 4. § 85. pont")</f>
        <v>Tv. 4. § 85. pont</v>
      </c>
    </row>
    <row r="92" customFormat="false" ht="80" hidden="false" customHeight="true" outlineLevel="0" collapsed="false">
      <c r="A92" s="15" t="s">
        <v>1172</v>
      </c>
      <c r="B92" s="15" t="s">
        <v>1173</v>
      </c>
      <c r="C92" s="15" t="s">
        <v>1174</v>
      </c>
      <c r="D92" s="15" t="str">
        <f aca="false">HYPERLINK("#'Forrásszöveg'!A"&amp;(MATCH("TV-S0197",Forrásszöveg!$A$6:$A$2497,0)+5),"Tv. 4. § 86. pont")</f>
        <v>Tv. 4. § 86. pont</v>
      </c>
    </row>
    <row r="93" customFormat="false" ht="52" hidden="false" customHeight="true" outlineLevel="0" collapsed="false">
      <c r="A93" s="15" t="s">
        <v>1175</v>
      </c>
      <c r="B93" s="15" t="s">
        <v>1176</v>
      </c>
      <c r="C93" s="15" t="s">
        <v>1177</v>
      </c>
      <c r="D93" s="15" t="str">
        <f aca="false">HYPERLINK("#'Forrásszöveg'!A"&amp;(MATCH("TV-S0198",Forrásszöveg!$A$6:$A$2497,0)+5),"Tv. 4. § 87. pont")</f>
        <v>Tv. 4. § 87. pont</v>
      </c>
    </row>
    <row r="94" customFormat="false" ht="34" hidden="false" customHeight="true" outlineLevel="0" collapsed="false">
      <c r="A94" s="15" t="s">
        <v>1178</v>
      </c>
      <c r="B94" s="15" t="s">
        <v>1179</v>
      </c>
      <c r="C94" s="15" t="s">
        <v>1180</v>
      </c>
      <c r="D94" s="15" t="str">
        <f aca="false">HYPERLINK("#'Forrásszöveg'!A"&amp;(MATCH("TV-S0199",Forrásszöveg!$A$6:$A$2497,0)+5),"Tv. 4. § 88. pont")</f>
        <v>Tv. 4. § 88. pont</v>
      </c>
    </row>
    <row r="95" customFormat="false" ht="52" hidden="false" customHeight="true" outlineLevel="0" collapsed="false">
      <c r="A95" s="15" t="s">
        <v>1181</v>
      </c>
      <c r="B95" s="15" t="s">
        <v>1182</v>
      </c>
      <c r="C95" s="15" t="s">
        <v>1183</v>
      </c>
      <c r="D95" s="15" t="str">
        <f aca="false">HYPERLINK("#'Forrásszöveg'!A"&amp;(MATCH("TV-S0200",Forrásszöveg!$A$6:$A$2497,0)+5),"Tv. 4. § 89. pont")</f>
        <v>Tv. 4. § 89. pont</v>
      </c>
    </row>
    <row r="96" customFormat="false" ht="34" hidden="false" customHeight="true" outlineLevel="0" collapsed="false">
      <c r="A96" s="15" t="s">
        <v>1184</v>
      </c>
      <c r="B96" s="15" t="s">
        <v>1185</v>
      </c>
      <c r="C96" s="15" t="s">
        <v>1186</v>
      </c>
      <c r="D96" s="15" t="str">
        <f aca="false">HYPERLINK("#'Forrásszöveg'!A"&amp;(MATCH("TV-S0201",Forrásszöveg!$A$6:$A$2497,0)+5),"Tv. 4. § 90. pont")</f>
        <v>Tv. 4. § 90. pont</v>
      </c>
    </row>
    <row r="97" customFormat="false" ht="38" hidden="false" customHeight="true" outlineLevel="0" collapsed="false">
      <c r="A97" s="15" t="s">
        <v>1187</v>
      </c>
      <c r="B97" s="15" t="s">
        <v>1188</v>
      </c>
      <c r="C97" s="15" t="s">
        <v>1189</v>
      </c>
      <c r="D97" s="15" t="str">
        <f aca="false">HYPERLINK("#'Forrásszöveg'!A"&amp;(MATCH("TV-S0202",Forrásszöveg!$A$6:$A$2497,0)+5),"Tv. 4. § 91. pont")</f>
        <v>Tv. 4. § 91. pont</v>
      </c>
    </row>
    <row r="98" customFormat="false" ht="52" hidden="false" customHeight="true" outlineLevel="0" collapsed="false">
      <c r="A98" s="15" t="s">
        <v>1190</v>
      </c>
      <c r="B98" s="15" t="s">
        <v>1191</v>
      </c>
      <c r="C98" s="15" t="s">
        <v>1192</v>
      </c>
      <c r="D98" s="15" t="str">
        <f aca="false">HYPERLINK("#'Forrásszöveg'!A"&amp;(MATCH("TV-S0203",Forrásszöveg!$A$6:$A$2497,0)+5),"Tv. 4. § 92. pont")</f>
        <v>Tv. 4. § 92. pont</v>
      </c>
    </row>
    <row r="99" customFormat="false" ht="34" hidden="false" customHeight="true" outlineLevel="0" collapsed="false">
      <c r="A99" s="15" t="s">
        <v>1193</v>
      </c>
      <c r="B99" s="15" t="s">
        <v>1194</v>
      </c>
      <c r="C99" s="15" t="s">
        <v>1195</v>
      </c>
      <c r="D99" s="15" t="str">
        <f aca="false">HYPERLINK("#'Forrásszöveg'!A"&amp;(MATCH("TV-S0204",Forrásszöveg!$A$6:$A$2497,0)+5),"Tv. 4. § 93. pont")</f>
        <v>Tv. 4. § 93. pont</v>
      </c>
    </row>
    <row r="100" customFormat="false" ht="38" hidden="false" customHeight="true" outlineLevel="0" collapsed="false">
      <c r="A100" s="15" t="s">
        <v>1196</v>
      </c>
      <c r="B100" s="15" t="s">
        <v>1197</v>
      </c>
      <c r="C100" s="15" t="s">
        <v>1198</v>
      </c>
      <c r="D100" s="15" t="str">
        <f aca="false">HYPERLINK("#'Forrásszöveg'!A"&amp;(MATCH("TV-S0205",Forrásszöveg!$A$6:$A$2497,0)+5),"Tv. 4. § 94. pont")</f>
        <v>Tv. 4. § 94. pont</v>
      </c>
    </row>
    <row r="101" customFormat="false" ht="136" hidden="false" customHeight="true" outlineLevel="0" collapsed="false">
      <c r="A101" s="15" t="s">
        <v>1199</v>
      </c>
      <c r="B101" s="15" t="s">
        <v>1200</v>
      </c>
      <c r="C101" s="15" t="s">
        <v>1201</v>
      </c>
      <c r="D101" s="15" t="str">
        <f aca="false">HYPERLINK("#'Forrásszöveg'!A"&amp;(MATCH("TV-S0206",Forrásszöveg!$A$6:$A$2497,0)+5),"Tv. 4. § 95. pont")</f>
        <v>Tv. 4. § 95. pont</v>
      </c>
    </row>
    <row r="102" customFormat="false" ht="38" hidden="false" customHeight="true" outlineLevel="0" collapsed="false">
      <c r="A102" s="15" t="s">
        <v>1202</v>
      </c>
      <c r="B102" s="15" t="s">
        <v>1203</v>
      </c>
      <c r="C102" s="15" t="s">
        <v>1204</v>
      </c>
      <c r="D102" s="15" t="str">
        <f aca="false">HYPERLINK("#'Forrásszöveg'!A"&amp;(MATCH("TV-S0210",Forrásszöveg!$A$6:$A$2497,0)+5),"Tv. 4. § 96. pont")</f>
        <v>Tv. 4. § 96. pont</v>
      </c>
    </row>
    <row r="103" customFormat="false" ht="80" hidden="false" customHeight="true" outlineLevel="0" collapsed="false">
      <c r="A103" s="15" t="s">
        <v>1205</v>
      </c>
      <c r="B103" s="15" t="s">
        <v>1206</v>
      </c>
      <c r="C103" s="15" t="s">
        <v>1207</v>
      </c>
      <c r="D103" s="15" t="str">
        <f aca="false">HYPERLINK("#'Forrásszöveg'!A"&amp;(MATCH("TV-S0211",Forrásszöveg!$A$6:$A$2497,0)+5),"Tv. 4. § 96a. pont")</f>
        <v>Tv. 4. § 96a. pont</v>
      </c>
    </row>
    <row r="104" customFormat="false" ht="52" hidden="false" customHeight="true" outlineLevel="0" collapsed="false">
      <c r="A104" s="15" t="s">
        <v>1208</v>
      </c>
      <c r="B104" s="15" t="s">
        <v>1209</v>
      </c>
      <c r="C104" s="15" t="s">
        <v>1210</v>
      </c>
      <c r="D104" s="15" t="str">
        <f aca="false">HYPERLINK("#'Forrásszöveg'!A"&amp;(MATCH("TV-S0215",Forrásszöveg!$A$6:$A$2497,0)+5),"Tv. 4. § 97. pont")</f>
        <v>Tv. 4. § 97. pont</v>
      </c>
    </row>
    <row r="105" customFormat="false" ht="52" hidden="false" customHeight="true" outlineLevel="0" collapsed="false">
      <c r="A105" s="15" t="s">
        <v>1211</v>
      </c>
      <c r="B105" s="15" t="s">
        <v>1212</v>
      </c>
      <c r="C105" s="15" t="s">
        <v>1213</v>
      </c>
      <c r="D105" s="15" t="str">
        <f aca="false">HYPERLINK("#'Forrásszöveg'!A"&amp;(MATCH("TV-S0216",Forrásszöveg!$A$6:$A$2497,0)+5),"Tv. 4. § 98. pont")</f>
        <v>Tv. 4. § 98. pont</v>
      </c>
    </row>
    <row r="106" customFormat="false" ht="80" hidden="false" customHeight="true" outlineLevel="0" collapsed="false">
      <c r="A106" s="15" t="s">
        <v>1214</v>
      </c>
      <c r="B106" s="15" t="s">
        <v>1215</v>
      </c>
      <c r="C106" s="15" t="s">
        <v>1216</v>
      </c>
      <c r="D106" s="15" t="str">
        <f aca="false">HYPERLINK("#'Forrásszöveg'!A"&amp;(MATCH("TV-S0217",Forrásszöveg!$A$6:$A$2497,0)+5),"Tv. 4. § 99. pont")</f>
        <v>Tv. 4. § 99. pont</v>
      </c>
    </row>
    <row r="107" customFormat="false" ht="52" hidden="false" customHeight="true" outlineLevel="0" collapsed="false">
      <c r="A107" s="15" t="s">
        <v>1217</v>
      </c>
      <c r="B107" s="15" t="s">
        <v>1218</v>
      </c>
      <c r="C107" s="15" t="s">
        <v>1219</v>
      </c>
      <c r="D107" s="15" t="str">
        <f aca="false">HYPERLINK("#'Forrásszöveg'!A"&amp;(MATCH("VHR-S0053",Forrásszöveg!$A$6:$A$2497,0)+5),"Vhr. 2. § 1. pont")</f>
        <v>Vhr. 2. § 1. pont</v>
      </c>
    </row>
    <row r="108" customFormat="false" ht="52" hidden="false" customHeight="true" outlineLevel="0" collapsed="false">
      <c r="A108" s="15" t="s">
        <v>1220</v>
      </c>
      <c r="B108" s="15" t="s">
        <v>1221</v>
      </c>
      <c r="C108" s="15" t="s">
        <v>1222</v>
      </c>
      <c r="D108" s="15" t="str">
        <f aca="false">HYPERLINK("#'Forrásszöveg'!A"&amp;(MATCH("VHR-S0054",Forrásszöveg!$A$6:$A$2497,0)+5),"Vhr. 2. § 2. pont")</f>
        <v>Vhr. 2. § 2. pont</v>
      </c>
    </row>
    <row r="109" customFormat="false" ht="38" hidden="false" customHeight="true" outlineLevel="0" collapsed="false">
      <c r="A109" s="15" t="s">
        <v>1223</v>
      </c>
      <c r="B109" s="15" t="s">
        <v>1224</v>
      </c>
      <c r="C109" s="15" t="s">
        <v>1225</v>
      </c>
      <c r="D109" s="15" t="str">
        <f aca="false">HYPERLINK("#'Forrásszöveg'!A"&amp;(MATCH("VHR-S0055",Forrásszöveg!$A$6:$A$2497,0)+5),"Vhr. 2. § 3. pont")</f>
        <v>Vhr. 2. § 3. pont</v>
      </c>
    </row>
    <row r="110" customFormat="false" ht="38" hidden="false" customHeight="true" outlineLevel="0" collapsed="false">
      <c r="A110" s="15" t="s">
        <v>1226</v>
      </c>
      <c r="B110" s="15" t="s">
        <v>1227</v>
      </c>
      <c r="C110" s="15" t="s">
        <v>1228</v>
      </c>
      <c r="D110" s="15" t="str">
        <f aca="false">HYPERLINK("#'Forrásszöveg'!A"&amp;(MATCH("VHR-S0056",Forrásszöveg!$A$6:$A$2497,0)+5),"Vhr. 2. § 4. pont")</f>
        <v>Vhr. 2. § 4. pont</v>
      </c>
    </row>
    <row r="111" customFormat="false" ht="38" hidden="false" customHeight="true" outlineLevel="0" collapsed="false">
      <c r="A111" s="15" t="s">
        <v>1229</v>
      </c>
      <c r="B111" s="15" t="s">
        <v>1230</v>
      </c>
      <c r="C111" s="15" t="s">
        <v>1231</v>
      </c>
      <c r="D111" s="15" t="str">
        <f aca="false">HYPERLINK("#'Forrásszöveg'!A"&amp;(MATCH("VHR-S0057",Forrásszöveg!$A$6:$A$2497,0)+5),"Vhr. 2. § 5. pont")</f>
        <v>Vhr. 2. § 5. pont</v>
      </c>
    </row>
    <row r="112" customFormat="false" ht="38" hidden="false" customHeight="true" outlineLevel="0" collapsed="false">
      <c r="A112" s="15" t="s">
        <v>1232</v>
      </c>
      <c r="B112" s="15" t="s">
        <v>1233</v>
      </c>
      <c r="C112" s="15" t="s">
        <v>1234</v>
      </c>
      <c r="D112" s="15" t="str">
        <f aca="false">HYPERLINK("#'Forrásszöveg'!A"&amp;(MATCH("VHR-S0058",Forrásszöveg!$A$6:$A$2497,0)+5),"Vhr. 2. § 6. pont")</f>
        <v>Vhr. 2. § 6. pont</v>
      </c>
    </row>
    <row r="113" customFormat="false" ht="136" hidden="false" customHeight="true" outlineLevel="0" collapsed="false">
      <c r="A113" s="15" t="s">
        <v>1235</v>
      </c>
      <c r="B113" s="15" t="s">
        <v>1236</v>
      </c>
      <c r="C113" s="15" t="s">
        <v>1237</v>
      </c>
      <c r="D113" s="15" t="str">
        <f aca="false">HYPERLINK("#'Forrásszöveg'!A"&amp;(MATCH("VHR-S0059",Forrásszöveg!$A$6:$A$2497,0)+5),"Vhr. 2. § 7. pont")</f>
        <v>Vhr. 2. § 7. pont</v>
      </c>
    </row>
    <row r="114" customFormat="false" ht="38" hidden="false" customHeight="true" outlineLevel="0" collapsed="false">
      <c r="A114" s="15" t="s">
        <v>1238</v>
      </c>
      <c r="B114" s="15" t="s">
        <v>1239</v>
      </c>
      <c r="C114" s="15" t="s">
        <v>1240</v>
      </c>
      <c r="D114" s="15" t="str">
        <f aca="false">HYPERLINK("#'Forrásszöveg'!A"&amp;(MATCH("VHR-S0063",Forrásszöveg!$A$6:$A$2497,0)+5),"Vhr. 2. § 8. pont")</f>
        <v>Vhr. 2. § 8. pont</v>
      </c>
    </row>
    <row r="115" customFormat="false" ht="38" hidden="false" customHeight="true" outlineLevel="0" collapsed="false">
      <c r="A115" s="15" t="s">
        <v>1241</v>
      </c>
      <c r="B115" s="15" t="s">
        <v>1242</v>
      </c>
      <c r="C115" s="15" t="s">
        <v>1243</v>
      </c>
      <c r="D115" s="15" t="str">
        <f aca="false">HYPERLINK("#'Forrásszöveg'!A"&amp;(MATCH("VHR-S0064",Forrásszöveg!$A$6:$A$2497,0)+5),"Vhr. 2. § 9. pont")</f>
        <v>Vhr. 2. § 9. pont</v>
      </c>
    </row>
    <row r="116" customFormat="false" ht="80" hidden="false" customHeight="true" outlineLevel="0" collapsed="false">
      <c r="A116" s="15" t="s">
        <v>1244</v>
      </c>
      <c r="B116" s="15" t="s">
        <v>1245</v>
      </c>
      <c r="C116" s="15" t="s">
        <v>1246</v>
      </c>
      <c r="D116" s="15" t="str">
        <f aca="false">HYPERLINK("#'Forrásszöveg'!A"&amp;(MATCH("VHR-S0065",Forrásszöveg!$A$6:$A$2497,0)+5),"Vhr. 2. § 10. pont")</f>
        <v>Vhr. 2. § 10. pont</v>
      </c>
    </row>
    <row r="117" customFormat="false" ht="80" hidden="false" customHeight="true" outlineLevel="0" collapsed="false">
      <c r="A117" s="15" t="s">
        <v>1247</v>
      </c>
      <c r="B117" s="15" t="s">
        <v>1248</v>
      </c>
      <c r="C117" s="15" t="s">
        <v>1249</v>
      </c>
      <c r="D117" s="15" t="str">
        <f aca="false">HYPERLINK("#'Forrásszöveg'!A"&amp;(MATCH("VHR-S0066",Forrásszöveg!$A$6:$A$2497,0)+5),"Vhr. 2. § 11. pont")</f>
        <v>Vhr. 2. § 11. pont</v>
      </c>
    </row>
    <row r="118" customFormat="false" ht="52" hidden="false" customHeight="true" outlineLevel="0" collapsed="false">
      <c r="A118" s="15" t="s">
        <v>1250</v>
      </c>
      <c r="B118" s="15" t="s">
        <v>1251</v>
      </c>
      <c r="C118" s="15" t="s">
        <v>1252</v>
      </c>
      <c r="D118" s="15" t="str">
        <f aca="false">HYPERLINK("#'Forrásszöveg'!A"&amp;(MATCH("VHR-S0067",Forrásszöveg!$A$6:$A$2497,0)+5),"Vhr. 2. § 12. pont")</f>
        <v>Vhr. 2. § 12. pont</v>
      </c>
    </row>
    <row r="119" customFormat="false" ht="38" hidden="false" customHeight="true" outlineLevel="0" collapsed="false">
      <c r="A119" s="15" t="s">
        <v>1253</v>
      </c>
      <c r="B119" s="15" t="s">
        <v>1254</v>
      </c>
      <c r="C119" s="15" t="s">
        <v>1255</v>
      </c>
      <c r="D119" s="15" t="str">
        <f aca="false">HYPERLINK("#'Forrásszöveg'!A"&amp;(MATCH("VHR-S0068",Forrásszöveg!$A$6:$A$2497,0)+5),"Vhr. 2. § 13. pont")</f>
        <v>Vhr. 2. § 13. pont</v>
      </c>
    </row>
    <row r="120" customFormat="false" ht="66" hidden="false" customHeight="true" outlineLevel="0" collapsed="false">
      <c r="A120" s="15" t="s">
        <v>1256</v>
      </c>
      <c r="B120" s="15" t="s">
        <v>1257</v>
      </c>
      <c r="C120" s="15" t="s">
        <v>1258</v>
      </c>
      <c r="D120" s="15" t="str">
        <f aca="false">HYPERLINK("#'Forrásszöveg'!A"&amp;(MATCH("VHR-S0069",Forrásszöveg!$A$6:$A$2497,0)+5),"Vhr. 2. § 14. pont")</f>
        <v>Vhr. 2. § 14. pont</v>
      </c>
    </row>
    <row r="121" customFormat="false" ht="34" hidden="false" customHeight="true" outlineLevel="0" collapsed="false">
      <c r="A121" s="15" t="s">
        <v>1259</v>
      </c>
      <c r="B121" s="15" t="s">
        <v>1260</v>
      </c>
      <c r="C121" s="15" t="s">
        <v>1261</v>
      </c>
      <c r="D121" s="15" t="str">
        <f aca="false">HYPERLINK("#'Forrásszöveg'!A"&amp;(MATCH("VHR-S0070",Forrásszöveg!$A$6:$A$2497,0)+5),"Vhr. 2. § 15. pont")</f>
        <v>Vhr. 2. § 15. pont</v>
      </c>
    </row>
    <row r="122" customFormat="false" ht="38" hidden="false" customHeight="true" outlineLevel="0" collapsed="false">
      <c r="A122" s="15" t="s">
        <v>1262</v>
      </c>
      <c r="B122" s="15" t="s">
        <v>1263</v>
      </c>
      <c r="C122" s="15" t="s">
        <v>1264</v>
      </c>
      <c r="D122" s="15" t="str">
        <f aca="false">HYPERLINK("#'Forrásszöveg'!A"&amp;(MATCH("VHR-S0071",Forrásszöveg!$A$6:$A$2497,0)+5),"Vhr. 2. § 16. pont")</f>
        <v>Vhr. 2. § 16. pont</v>
      </c>
    </row>
    <row r="123" customFormat="false" ht="66" hidden="false" customHeight="true" outlineLevel="0" collapsed="false">
      <c r="A123" s="15" t="s">
        <v>1265</v>
      </c>
      <c r="B123" s="15" t="s">
        <v>1266</v>
      </c>
      <c r="C123" s="15" t="s">
        <v>1267</v>
      </c>
      <c r="D123" s="15" t="str">
        <f aca="false">HYPERLINK("#'Forrásszöveg'!A"&amp;(MATCH("VHR-S0072",Forrásszöveg!$A$6:$A$2497,0)+5),"Vhr. 2. § 17. pont")</f>
        <v>Vhr. 2. § 17. pont</v>
      </c>
    </row>
    <row r="124" customFormat="false" ht="38" hidden="false" customHeight="true" outlineLevel="0" collapsed="false">
      <c r="A124" s="15" t="s">
        <v>1268</v>
      </c>
      <c r="B124" s="15" t="s">
        <v>1269</v>
      </c>
      <c r="C124" s="15" t="s">
        <v>1270</v>
      </c>
      <c r="D124" s="15" t="str">
        <f aca="false">HYPERLINK("#'Forrásszöveg'!A"&amp;(MATCH("VHR-S0073",Forrásszöveg!$A$6:$A$2497,0)+5),"Vhr. 2. § 18. pont")</f>
        <v>Vhr. 2. § 18. pont</v>
      </c>
    </row>
    <row r="125" customFormat="false" ht="38" hidden="false" customHeight="true" outlineLevel="0" collapsed="false">
      <c r="A125" s="15" t="s">
        <v>1271</v>
      </c>
      <c r="B125" s="15" t="s">
        <v>1272</v>
      </c>
      <c r="C125" s="15" t="s">
        <v>1273</v>
      </c>
      <c r="D125" s="15" t="str">
        <f aca="false">HYPERLINK("#'Forrásszöveg'!A"&amp;(MATCH("VHR-S0074",Forrásszöveg!$A$6:$A$2497,0)+5),"Vhr. 2. § 19. pont")</f>
        <v>Vhr. 2. § 19. pont</v>
      </c>
    </row>
    <row r="126" customFormat="false" ht="52" hidden="false" customHeight="true" outlineLevel="0" collapsed="false">
      <c r="A126" s="15" t="s">
        <v>1274</v>
      </c>
      <c r="B126" s="15" t="s">
        <v>1275</v>
      </c>
      <c r="C126" s="15" t="s">
        <v>1276</v>
      </c>
      <c r="D126" s="15" t="str">
        <f aca="false">HYPERLINK("#'Forrásszöveg'!A"&amp;(MATCH("VHR-S0075",Forrásszöveg!$A$6:$A$2497,0)+5),"Vhr. 2. § 20. pont")</f>
        <v>Vhr. 2. § 20. pont</v>
      </c>
    </row>
    <row r="127" customFormat="false" ht="38" hidden="false" customHeight="true" outlineLevel="0" collapsed="false">
      <c r="A127" s="15" t="s">
        <v>1277</v>
      </c>
      <c r="B127" s="15" t="s">
        <v>1278</v>
      </c>
      <c r="C127" s="15" t="s">
        <v>1279</v>
      </c>
      <c r="D127" s="15" t="str">
        <f aca="false">HYPERLINK("#'Forrásszöveg'!A"&amp;(MATCH("VHR-S0076",Forrásszöveg!$A$6:$A$2497,0)+5),"Vhr. 2. § 21. pont")</f>
        <v>Vhr. 2. § 21. pont</v>
      </c>
    </row>
    <row r="128" customFormat="false" ht="38" hidden="false" customHeight="true" outlineLevel="0" collapsed="false">
      <c r="A128" s="15" t="s">
        <v>1280</v>
      </c>
      <c r="B128" s="15" t="s">
        <v>1281</v>
      </c>
      <c r="C128" s="15" t="s">
        <v>1282</v>
      </c>
      <c r="D128" s="15" t="str">
        <f aca="false">HYPERLINK("#'Forrásszöveg'!A"&amp;(MATCH("VHR-S0077",Forrásszöveg!$A$6:$A$2497,0)+5),"Vhr. 2. § 22. pont")</f>
        <v>Vhr. 2. § 22. pont</v>
      </c>
    </row>
    <row r="129" customFormat="false" ht="34" hidden="false" customHeight="true" outlineLevel="0" collapsed="false">
      <c r="A129" s="15" t="s">
        <v>1283</v>
      </c>
      <c r="B129" s="15" t="s">
        <v>1284</v>
      </c>
      <c r="C129" s="15" t="s">
        <v>1285</v>
      </c>
      <c r="D129" s="15" t="str">
        <f aca="false">HYPERLINK("#'Forrásszöveg'!A"&amp;(MATCH("VHR-S0078",Forrásszöveg!$A$6:$A$2497,0)+5),"Vhr. 2. § 23. pont")</f>
        <v>Vhr. 2. § 23. pont</v>
      </c>
    </row>
    <row r="130" customFormat="false" ht="80" hidden="false" customHeight="true" outlineLevel="0" collapsed="false">
      <c r="A130" s="15" t="s">
        <v>1286</v>
      </c>
      <c r="B130" s="15" t="s">
        <v>1287</v>
      </c>
      <c r="C130" s="15" t="s">
        <v>1288</v>
      </c>
      <c r="D130" s="15" t="str">
        <f aca="false">HYPERLINK("#'Forrásszöveg'!A"&amp;(MATCH("VHR-S0079",Forrásszöveg!$A$6:$A$2497,0)+5),"Vhr. 2. § 24. pont")</f>
        <v>Vhr. 2. § 24. pont</v>
      </c>
    </row>
    <row r="131" customFormat="false" ht="52" hidden="false" customHeight="true" outlineLevel="0" collapsed="false">
      <c r="A131" s="15" t="s">
        <v>1289</v>
      </c>
      <c r="B131" s="15" t="s">
        <v>1290</v>
      </c>
      <c r="C131" s="15" t="s">
        <v>1291</v>
      </c>
      <c r="D131" s="15" t="str">
        <f aca="false">HYPERLINK("#'Forrásszöveg'!A"&amp;(MATCH("VHR-S0080",Forrásszöveg!$A$6:$A$2497,0)+5),"Vhr. 2. § 25. pont")</f>
        <v>Vhr. 2. § 25. pont</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C8A"/>
    <pageSetUpPr fitToPage="false"/>
  </sheetPr>
  <dimension ref="A1:G2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39"/>
    <col collapsed="false" customWidth="true" hidden="false" outlineLevel="0" max="3" min="3" style="0" width="65"/>
    <col collapsed="false" customWidth="true" hidden="false" outlineLevel="0" max="4" min="4" style="0" width="16"/>
    <col collapsed="false" customWidth="true" hidden="false" outlineLevel="0" max="5" min="5" style="0" width="17"/>
    <col collapsed="false" customWidth="true" hidden="false" outlineLevel="0" max="6" min="6" style="0" width="52"/>
    <col collapsed="false" customWidth="true" hidden="false" outlineLevel="0" max="7" min="7" style="0" width="20"/>
  </cols>
  <sheetData>
    <row r="1" customFormat="false" ht="15" hidden="false" customHeight="false" outlineLevel="0" collapsed="false">
      <c r="A1" s="10"/>
      <c r="B1" s="10"/>
      <c r="C1" s="10"/>
      <c r="D1" s="10"/>
      <c r="E1" s="10"/>
      <c r="F1" s="10"/>
      <c r="G1" s="10"/>
    </row>
    <row r="2" customFormat="false" ht="18.55" hidden="false" customHeight="false" outlineLevel="0" collapsed="false">
      <c r="A2" s="11" t="s">
        <v>1292</v>
      </c>
      <c r="B2" s="10"/>
      <c r="C2" s="10"/>
      <c r="D2" s="10"/>
      <c r="E2" s="10"/>
      <c r="F2" s="10"/>
      <c r="G2" s="12" t="str">
        <f aca="false">HYPERLINK("#'Áttekintő'!A1","Áttekintő")</f>
        <v>Áttekintő</v>
      </c>
    </row>
    <row r="3" customFormat="false" ht="15" hidden="false" customHeight="false" outlineLevel="0" collapsed="false">
      <c r="A3" s="13" t="s">
        <v>1293</v>
      </c>
      <c r="B3" s="10"/>
      <c r="C3" s="10"/>
      <c r="D3" s="10"/>
      <c r="E3" s="10"/>
      <c r="F3" s="10"/>
      <c r="G3" s="10"/>
    </row>
    <row r="4" customFormat="false" ht="15" hidden="false" customHeight="false" outlineLevel="0" collapsed="false">
      <c r="A4" s="10"/>
      <c r="B4" s="10"/>
      <c r="C4" s="10"/>
      <c r="D4" s="10"/>
      <c r="E4" s="10"/>
      <c r="F4" s="10"/>
      <c r="G4" s="10"/>
    </row>
    <row r="5" customFormat="false" ht="30" hidden="false" customHeight="true" outlineLevel="0" collapsed="false">
      <c r="A5" s="14" t="s">
        <v>1294</v>
      </c>
      <c r="B5" s="14" t="s">
        <v>1295</v>
      </c>
      <c r="C5" s="14" t="s">
        <v>168</v>
      </c>
      <c r="D5" s="14" t="s">
        <v>1296</v>
      </c>
      <c r="E5" s="14" t="s">
        <v>1297</v>
      </c>
      <c r="F5" s="14" t="s">
        <v>1298</v>
      </c>
      <c r="G5" s="14" t="s">
        <v>23</v>
      </c>
    </row>
    <row r="6" customFormat="false" ht="34" hidden="false" customHeight="true" outlineLevel="0" collapsed="false">
      <c r="A6" s="15" t="s">
        <v>1299</v>
      </c>
      <c r="B6" s="15" t="s">
        <v>1300</v>
      </c>
      <c r="C6" s="15" t="s">
        <v>1301</v>
      </c>
      <c r="D6" s="17" t="n">
        <v>0</v>
      </c>
      <c r="E6" s="17" t="n">
        <v>0</v>
      </c>
      <c r="F6" s="15" t="s">
        <v>1302</v>
      </c>
      <c r="G6" s="15" t="str">
        <f aca="false">HYPERLINK("#'Forrásszöveg'!A"&amp;(MATCH("TV-S0010",Forrásszöveg!$A$6:$A$2497,0)+5),"Szöveg megnyitása")</f>
        <v>Szöveg megnyitása</v>
      </c>
    </row>
    <row r="7" customFormat="false" ht="34" hidden="false" customHeight="true" outlineLevel="0" collapsed="false">
      <c r="A7" s="15" t="s">
        <v>1299</v>
      </c>
      <c r="B7" s="15" t="s">
        <v>1303</v>
      </c>
      <c r="C7" s="15" t="s">
        <v>1301</v>
      </c>
      <c r="D7" s="17" t="n">
        <v>0</v>
      </c>
      <c r="E7" s="17" t="n">
        <v>0</v>
      </c>
      <c r="F7" s="15" t="s">
        <v>1302</v>
      </c>
      <c r="G7" s="15" t="str">
        <f aca="false">HYPERLINK("#'Forrásszöveg'!A"&amp;(MATCH("TV-S0077",Forrásszöveg!$A$6:$A$2497,0)+5),"Szöveg megnyitása")</f>
        <v>Szöveg megnyitása</v>
      </c>
    </row>
    <row r="8" customFormat="false" ht="34" hidden="false" customHeight="true" outlineLevel="0" collapsed="false">
      <c r="A8" s="15" t="s">
        <v>1299</v>
      </c>
      <c r="B8" s="15" t="s">
        <v>1304</v>
      </c>
      <c r="C8" s="15" t="s">
        <v>1301</v>
      </c>
      <c r="D8" s="17" t="n">
        <v>0</v>
      </c>
      <c r="E8" s="17" t="n">
        <v>0</v>
      </c>
      <c r="F8" s="15" t="s">
        <v>1302</v>
      </c>
      <c r="G8" s="15" t="str">
        <f aca="false">HYPERLINK("#'Forrásszöveg'!A"&amp;(MATCH("TV-S0085",Forrásszöveg!$A$6:$A$2497,0)+5),"Szöveg megnyitása")</f>
        <v>Szöveg megnyitása</v>
      </c>
    </row>
    <row r="9" customFormat="false" ht="34" hidden="false" customHeight="true" outlineLevel="0" collapsed="false">
      <c r="A9" s="15" t="s">
        <v>1299</v>
      </c>
      <c r="B9" s="15" t="s">
        <v>1305</v>
      </c>
      <c r="C9" s="15" t="s">
        <v>1306</v>
      </c>
      <c r="D9" s="17" t="n">
        <v>0</v>
      </c>
      <c r="E9" s="17" t="n">
        <v>0</v>
      </c>
      <c r="F9" s="15" t="s">
        <v>1307</v>
      </c>
      <c r="G9" s="15" t="str">
        <f aca="false">HYPERLINK("#'Forrásszöveg'!A"&amp;(MATCH("TV-S0093",Forrásszöveg!$A$6:$A$2497,0)+5),"Szöveg megnyitása")</f>
        <v>Szöveg megnyitása</v>
      </c>
    </row>
    <row r="10" customFormat="false" ht="34" hidden="false" customHeight="true" outlineLevel="0" collapsed="false">
      <c r="A10" s="15" t="s">
        <v>1299</v>
      </c>
      <c r="B10" s="15" t="s">
        <v>1308</v>
      </c>
      <c r="C10" s="15" t="s">
        <v>1309</v>
      </c>
      <c r="D10" s="17" t="n">
        <v>0</v>
      </c>
      <c r="E10" s="17" t="n">
        <v>0</v>
      </c>
      <c r="F10" s="15" t="s">
        <v>1310</v>
      </c>
      <c r="G10" s="15" t="str">
        <f aca="false">HYPERLINK("#'Forrásszöveg'!A"&amp;(MATCH("TV-S0223",Forrásszöveg!$A$6:$A$2497,0)+5),"Szöveg megnyitása")</f>
        <v>Szöveg megnyitása</v>
      </c>
    </row>
    <row r="11" customFormat="false" ht="38" hidden="false" customHeight="true" outlineLevel="0" collapsed="false">
      <c r="A11" s="15" t="s">
        <v>1299</v>
      </c>
      <c r="B11" s="15" t="s">
        <v>1311</v>
      </c>
      <c r="C11" s="15" t="s">
        <v>1312</v>
      </c>
      <c r="D11" s="17" t="n">
        <v>28</v>
      </c>
      <c r="E11" s="17" t="n">
        <v>1</v>
      </c>
      <c r="F11" s="15" t="s">
        <v>1313</v>
      </c>
      <c r="G11" s="15" t="str">
        <f aca="false">HYPERLINK("#'Forrásszöveg'!A"&amp;(MATCH("TV-S0240",Forrásszöveg!$A$6:$A$2497,0)+5),"Szöveg megnyitása")</f>
        <v>Szöveg megnyitása</v>
      </c>
    </row>
    <row r="12" customFormat="false" ht="38" hidden="false" customHeight="true" outlineLevel="0" collapsed="false">
      <c r="A12" s="15" t="s">
        <v>1299</v>
      </c>
      <c r="B12" s="15" t="s">
        <v>1314</v>
      </c>
      <c r="C12" s="15" t="s">
        <v>1312</v>
      </c>
      <c r="D12" s="17" t="n">
        <v>1</v>
      </c>
      <c r="E12" s="17" t="n">
        <v>0</v>
      </c>
      <c r="F12" s="15" t="s">
        <v>1313</v>
      </c>
      <c r="G12" s="15" t="str">
        <f aca="false">HYPERLINK("#'Forrásszöveg'!A"&amp;(MATCH("TV-S0282",Forrásszöveg!$A$6:$A$2497,0)+5),"Szöveg megnyitása")</f>
        <v>Szöveg megnyitása</v>
      </c>
    </row>
    <row r="13" customFormat="false" ht="38" hidden="false" customHeight="true" outlineLevel="0" collapsed="false">
      <c r="A13" s="15" t="s">
        <v>1299</v>
      </c>
      <c r="B13" s="15" t="s">
        <v>1315</v>
      </c>
      <c r="C13" s="15" t="s">
        <v>1312</v>
      </c>
      <c r="D13" s="17" t="n">
        <v>12</v>
      </c>
      <c r="E13" s="17" t="n">
        <v>1</v>
      </c>
      <c r="F13" s="15" t="s">
        <v>1313</v>
      </c>
      <c r="G13" s="15" t="str">
        <f aca="false">HYPERLINK("#'Forrásszöveg'!A"&amp;(MATCH("TV-S0285",Forrásszöveg!$A$6:$A$2497,0)+5),"Szöveg megnyitása")</f>
        <v>Szöveg megnyitása</v>
      </c>
    </row>
    <row r="14" customFormat="false" ht="34" hidden="false" customHeight="true" outlineLevel="0" collapsed="false">
      <c r="A14" s="15" t="s">
        <v>1299</v>
      </c>
      <c r="B14" s="15" t="s">
        <v>1316</v>
      </c>
      <c r="C14" s="15" t="s">
        <v>1317</v>
      </c>
      <c r="D14" s="17" t="n">
        <v>4</v>
      </c>
      <c r="E14" s="17" t="n">
        <v>1</v>
      </c>
      <c r="F14" s="15" t="s">
        <v>1313</v>
      </c>
      <c r="G14" s="15" t="str">
        <f aca="false">HYPERLINK("#'Forrásszöveg'!A"&amp;(MATCH("TV-S0308",Forrásszöveg!$A$6:$A$2497,0)+5),"Szöveg megnyitása")</f>
        <v>Szöveg megnyitása</v>
      </c>
    </row>
    <row r="15" customFormat="false" ht="34" hidden="false" customHeight="true" outlineLevel="0" collapsed="false">
      <c r="A15" s="15" t="s">
        <v>1299</v>
      </c>
      <c r="B15" s="15" t="s">
        <v>1318</v>
      </c>
      <c r="C15" s="15" t="s">
        <v>1319</v>
      </c>
      <c r="D15" s="17" t="n">
        <v>7</v>
      </c>
      <c r="E15" s="17" t="n">
        <v>0</v>
      </c>
      <c r="F15" s="15" t="s">
        <v>1313</v>
      </c>
      <c r="G15" s="15" t="str">
        <f aca="false">HYPERLINK("#'Forrásszöveg'!A"&amp;(MATCH("TV-S0314",Forrásszöveg!$A$6:$A$2497,0)+5),"Szöveg megnyitása")</f>
        <v>Szöveg megnyitása</v>
      </c>
    </row>
    <row r="16" customFormat="false" ht="38" hidden="false" customHeight="true" outlineLevel="0" collapsed="false">
      <c r="A16" s="15" t="s">
        <v>1299</v>
      </c>
      <c r="B16" s="15" t="s">
        <v>1320</v>
      </c>
      <c r="C16" s="15" t="s">
        <v>1321</v>
      </c>
      <c r="D16" s="17" t="n">
        <v>10</v>
      </c>
      <c r="E16" s="17" t="n">
        <v>5</v>
      </c>
      <c r="F16" s="15" t="s">
        <v>1313</v>
      </c>
      <c r="G16" s="15" t="str">
        <f aca="false">HYPERLINK("#'Forrásszöveg'!A"&amp;(MATCH("TV-S0322",Forrásszöveg!$A$6:$A$2497,0)+5),"Szöveg megnyitása")</f>
        <v>Szöveg megnyitása</v>
      </c>
    </row>
    <row r="17" customFormat="false" ht="38" hidden="false" customHeight="true" outlineLevel="0" collapsed="false">
      <c r="A17" s="15" t="s">
        <v>1299</v>
      </c>
      <c r="B17" s="15" t="s">
        <v>1322</v>
      </c>
      <c r="C17" s="15" t="s">
        <v>1323</v>
      </c>
      <c r="D17" s="17" t="n">
        <v>0</v>
      </c>
      <c r="E17" s="17" t="n">
        <v>0</v>
      </c>
      <c r="F17" s="15" t="s">
        <v>1310</v>
      </c>
      <c r="G17" s="15" t="str">
        <f aca="false">HYPERLINK("#'Forrásszöveg'!A"&amp;(MATCH("TV-S0349",Forrásszöveg!$A$6:$A$2497,0)+5),"Szöveg megnyitása")</f>
        <v>Szöveg megnyitása</v>
      </c>
    </row>
    <row r="18" customFormat="false" ht="38" hidden="false" customHeight="true" outlineLevel="0" collapsed="false">
      <c r="A18" s="15" t="s">
        <v>1299</v>
      </c>
      <c r="B18" s="15" t="s">
        <v>1324</v>
      </c>
      <c r="C18" s="15" t="s">
        <v>1325</v>
      </c>
      <c r="D18" s="17" t="n">
        <v>8</v>
      </c>
      <c r="E18" s="17" t="n">
        <v>1</v>
      </c>
      <c r="F18" s="15" t="s">
        <v>1313</v>
      </c>
      <c r="G18" s="15" t="str">
        <f aca="false">HYPERLINK("#'Forrásszöveg'!A"&amp;(MATCH("TV-S0357",Forrásszöveg!$A$6:$A$2497,0)+5),"Szöveg megnyitása")</f>
        <v>Szöveg megnyitása</v>
      </c>
    </row>
    <row r="19" customFormat="false" ht="38" hidden="false" customHeight="true" outlineLevel="0" collapsed="false">
      <c r="A19" s="15" t="s">
        <v>1299</v>
      </c>
      <c r="B19" s="15" t="s">
        <v>1326</v>
      </c>
      <c r="C19" s="15" t="s">
        <v>1325</v>
      </c>
      <c r="D19" s="17" t="n">
        <v>0</v>
      </c>
      <c r="E19" s="17" t="n">
        <v>0</v>
      </c>
      <c r="F19" s="15" t="s">
        <v>1302</v>
      </c>
      <c r="G19" s="15" t="str">
        <f aca="false">HYPERLINK("#'Forrásszöveg'!A"&amp;(MATCH("TV-S0372",Forrásszöveg!$A$6:$A$2497,0)+5),"Szöveg megnyitása")</f>
        <v>Szöveg megnyitása</v>
      </c>
    </row>
    <row r="20" customFormat="false" ht="38" hidden="false" customHeight="true" outlineLevel="0" collapsed="false">
      <c r="A20" s="15" t="s">
        <v>1299</v>
      </c>
      <c r="B20" s="15" t="s">
        <v>1327</v>
      </c>
      <c r="C20" s="15" t="s">
        <v>1325</v>
      </c>
      <c r="D20" s="17" t="n">
        <v>4</v>
      </c>
      <c r="E20" s="17" t="n">
        <v>1</v>
      </c>
      <c r="F20" s="15" t="s">
        <v>1313</v>
      </c>
      <c r="G20" s="15" t="str">
        <f aca="false">HYPERLINK("#'Forrásszöveg'!A"&amp;(MATCH("TV-S0373",Forrásszöveg!$A$6:$A$2497,0)+5),"Szöveg megnyitása")</f>
        <v>Szöveg megnyitása</v>
      </c>
    </row>
    <row r="21" customFormat="false" ht="38" hidden="false" customHeight="true" outlineLevel="0" collapsed="false">
      <c r="A21" s="15" t="s">
        <v>1299</v>
      </c>
      <c r="B21" s="15" t="s">
        <v>1328</v>
      </c>
      <c r="C21" s="15" t="s">
        <v>1325</v>
      </c>
      <c r="D21" s="17" t="n">
        <v>1</v>
      </c>
      <c r="E21" s="17" t="n">
        <v>0</v>
      </c>
      <c r="F21" s="15" t="s">
        <v>1313</v>
      </c>
      <c r="G21" s="15" t="str">
        <f aca="false">HYPERLINK("#'Forrásszöveg'!A"&amp;(MATCH("TV-S0383",Forrásszöveg!$A$6:$A$2497,0)+5),"Szöveg megnyitása")</f>
        <v>Szöveg megnyitása</v>
      </c>
    </row>
    <row r="22" customFormat="false" ht="34" hidden="false" customHeight="true" outlineLevel="0" collapsed="false">
      <c r="A22" s="15" t="s">
        <v>1299</v>
      </c>
      <c r="B22" s="15" t="s">
        <v>1329</v>
      </c>
      <c r="C22" s="15" t="s">
        <v>1330</v>
      </c>
      <c r="D22" s="17" t="n">
        <v>4</v>
      </c>
      <c r="E22" s="17" t="n">
        <v>0</v>
      </c>
      <c r="F22" s="15" t="s">
        <v>1313</v>
      </c>
      <c r="G22" s="15" t="str">
        <f aca="false">HYPERLINK("#'Forrásszöveg'!A"&amp;(MATCH("TV-S0387",Forrásszöveg!$A$6:$A$2497,0)+5),"Szöveg megnyitása")</f>
        <v>Szöveg megnyitása</v>
      </c>
    </row>
    <row r="23" customFormat="false" ht="38" hidden="false" customHeight="true" outlineLevel="0" collapsed="false">
      <c r="A23" s="15" t="s">
        <v>1299</v>
      </c>
      <c r="B23" s="15" t="s">
        <v>1331</v>
      </c>
      <c r="C23" s="15" t="s">
        <v>1332</v>
      </c>
      <c r="D23" s="17" t="n">
        <v>3</v>
      </c>
      <c r="E23" s="17" t="n">
        <v>0</v>
      </c>
      <c r="F23" s="15" t="s">
        <v>1313</v>
      </c>
      <c r="G23" s="15" t="str">
        <f aca="false">HYPERLINK("#'Forrásszöveg'!A"&amp;(MATCH("TV-S0395",Forrásszöveg!$A$6:$A$2497,0)+5),"Szöveg megnyitása")</f>
        <v>Szöveg megnyitása</v>
      </c>
    </row>
    <row r="24" customFormat="false" ht="38" hidden="false" customHeight="true" outlineLevel="0" collapsed="false">
      <c r="A24" s="15" t="s">
        <v>1299</v>
      </c>
      <c r="B24" s="15" t="s">
        <v>1333</v>
      </c>
      <c r="C24" s="15" t="s">
        <v>1334</v>
      </c>
      <c r="D24" s="17" t="n">
        <v>15</v>
      </c>
      <c r="E24" s="17" t="n">
        <v>2</v>
      </c>
      <c r="F24" s="15" t="s">
        <v>1313</v>
      </c>
      <c r="G24" s="15" t="str">
        <f aca="false">HYPERLINK("#'Forrásszöveg'!A"&amp;(MATCH("TV-S0399",Forrásszöveg!$A$6:$A$2497,0)+5),"Szöveg megnyitása")</f>
        <v>Szöveg megnyitása</v>
      </c>
    </row>
    <row r="25" customFormat="false" ht="38" hidden="false" customHeight="true" outlineLevel="0" collapsed="false">
      <c r="A25" s="15" t="s">
        <v>1299</v>
      </c>
      <c r="B25" s="15" t="s">
        <v>1335</v>
      </c>
      <c r="C25" s="15" t="s">
        <v>1336</v>
      </c>
      <c r="D25" s="17" t="n">
        <v>16</v>
      </c>
      <c r="E25" s="17" t="n">
        <v>0</v>
      </c>
      <c r="F25" s="15" t="s">
        <v>1313</v>
      </c>
      <c r="G25" s="15" t="str">
        <f aca="false">HYPERLINK("#'Forrásszöveg'!A"&amp;(MATCH("TV-S0420",Forrásszöveg!$A$6:$A$2497,0)+5),"Szöveg megnyitása")</f>
        <v>Szöveg megnyitása</v>
      </c>
    </row>
    <row r="26" customFormat="false" ht="34" hidden="false" customHeight="true" outlineLevel="0" collapsed="false">
      <c r="A26" s="15" t="s">
        <v>1299</v>
      </c>
      <c r="B26" s="15" t="s">
        <v>1337</v>
      </c>
      <c r="C26" s="15" t="s">
        <v>1338</v>
      </c>
      <c r="D26" s="17" t="n">
        <v>0</v>
      </c>
      <c r="E26" s="17" t="n">
        <v>0</v>
      </c>
      <c r="F26" s="15" t="s">
        <v>1310</v>
      </c>
      <c r="G26" s="15" t="str">
        <f aca="false">HYPERLINK("#'Forrásszöveg'!A"&amp;(MATCH("TV-S0442",Forrásszöveg!$A$6:$A$2497,0)+5),"Szöveg megnyitása")</f>
        <v>Szöveg megnyitása</v>
      </c>
    </row>
    <row r="27" customFormat="false" ht="34" hidden="false" customHeight="true" outlineLevel="0" collapsed="false">
      <c r="A27" s="15" t="s">
        <v>1299</v>
      </c>
      <c r="B27" s="15" t="s">
        <v>1339</v>
      </c>
      <c r="C27" s="15" t="s">
        <v>1340</v>
      </c>
      <c r="D27" s="17" t="n">
        <v>0</v>
      </c>
      <c r="E27" s="17" t="n">
        <v>0</v>
      </c>
      <c r="F27" s="15" t="s">
        <v>1310</v>
      </c>
      <c r="G27" s="15" t="str">
        <f aca="false">HYPERLINK("#'Forrásszöveg'!A"&amp;(MATCH("TV-S0455",Forrásszöveg!$A$6:$A$2497,0)+5),"Szöveg megnyitása")</f>
        <v>Szöveg megnyitása</v>
      </c>
    </row>
    <row r="28" customFormat="false" ht="34" hidden="false" customHeight="true" outlineLevel="0" collapsed="false">
      <c r="A28" s="15" t="s">
        <v>1299</v>
      </c>
      <c r="B28" s="15" t="s">
        <v>1341</v>
      </c>
      <c r="C28" s="15" t="s">
        <v>1340</v>
      </c>
      <c r="D28" s="17" t="n">
        <v>0</v>
      </c>
      <c r="E28" s="17" t="n">
        <v>0</v>
      </c>
      <c r="F28" s="15" t="s">
        <v>1310</v>
      </c>
      <c r="G28" s="15" t="str">
        <f aca="false">HYPERLINK("#'Forrásszöveg'!A"&amp;(MATCH("TV-S0469",Forrásszöveg!$A$6:$A$2497,0)+5),"Szöveg megnyitása")</f>
        <v>Szöveg megnyitása</v>
      </c>
    </row>
    <row r="29" customFormat="false" ht="38" hidden="false" customHeight="true" outlineLevel="0" collapsed="false">
      <c r="A29" s="15" t="s">
        <v>1299</v>
      </c>
      <c r="B29" s="15" t="s">
        <v>1342</v>
      </c>
      <c r="C29" s="15" t="s">
        <v>1343</v>
      </c>
      <c r="D29" s="17" t="n">
        <v>0</v>
      </c>
      <c r="E29" s="17" t="n">
        <v>0</v>
      </c>
      <c r="F29" s="15" t="s">
        <v>1310</v>
      </c>
      <c r="G29" s="15" t="str">
        <f aca="false">HYPERLINK("#'Forrásszöveg'!A"&amp;(MATCH("TV-S0487",Forrásszöveg!$A$6:$A$2497,0)+5),"Szöveg megnyitása")</f>
        <v>Szöveg megnyitása</v>
      </c>
    </row>
    <row r="30" customFormat="false" ht="34" hidden="false" customHeight="true" outlineLevel="0" collapsed="false">
      <c r="A30" s="15" t="s">
        <v>1299</v>
      </c>
      <c r="B30" s="15" t="s">
        <v>1344</v>
      </c>
      <c r="C30" s="15" t="s">
        <v>1345</v>
      </c>
      <c r="D30" s="17" t="n">
        <v>0</v>
      </c>
      <c r="E30" s="17" t="n">
        <v>0</v>
      </c>
      <c r="F30" s="15" t="s">
        <v>1310</v>
      </c>
      <c r="G30" s="15" t="str">
        <f aca="false">HYPERLINK("#'Forrásszöveg'!A"&amp;(MATCH("TV-S0494",Forrásszöveg!$A$6:$A$2497,0)+5),"Szöveg megnyitása")</f>
        <v>Szöveg megnyitása</v>
      </c>
    </row>
    <row r="31" customFormat="false" ht="34" hidden="false" customHeight="true" outlineLevel="0" collapsed="false">
      <c r="A31" s="15" t="s">
        <v>1299</v>
      </c>
      <c r="B31" s="15" t="s">
        <v>1346</v>
      </c>
      <c r="C31" s="15" t="s">
        <v>1347</v>
      </c>
      <c r="D31" s="17" t="n">
        <v>0</v>
      </c>
      <c r="E31" s="17" t="n">
        <v>0</v>
      </c>
      <c r="F31" s="15" t="s">
        <v>1310</v>
      </c>
      <c r="G31" s="15" t="str">
        <f aca="false">HYPERLINK("#'Forrásszöveg'!A"&amp;(MATCH("TV-S0537",Forrásszöveg!$A$6:$A$2497,0)+5),"Szöveg megnyitása")</f>
        <v>Szöveg megnyitása</v>
      </c>
    </row>
    <row r="32" customFormat="false" ht="34" hidden="false" customHeight="true" outlineLevel="0" collapsed="false">
      <c r="A32" s="15" t="s">
        <v>1299</v>
      </c>
      <c r="B32" s="15" t="s">
        <v>1348</v>
      </c>
      <c r="C32" s="15" t="s">
        <v>1349</v>
      </c>
      <c r="D32" s="17" t="n">
        <v>0</v>
      </c>
      <c r="E32" s="17" t="n">
        <v>0</v>
      </c>
      <c r="F32" s="15" t="s">
        <v>1310</v>
      </c>
      <c r="G32" s="15" t="str">
        <f aca="false">HYPERLINK("#'Forrásszöveg'!A"&amp;(MATCH("TV-S0542",Forrásszöveg!$A$6:$A$2497,0)+5),"Szöveg megnyitása")</f>
        <v>Szöveg megnyitása</v>
      </c>
    </row>
    <row r="33" customFormat="false" ht="34" hidden="false" customHeight="true" outlineLevel="0" collapsed="false">
      <c r="A33" s="15" t="s">
        <v>1299</v>
      </c>
      <c r="B33" s="15" t="s">
        <v>1350</v>
      </c>
      <c r="C33" s="15" t="s">
        <v>1349</v>
      </c>
      <c r="D33" s="17" t="n">
        <v>0</v>
      </c>
      <c r="E33" s="17" t="n">
        <v>0</v>
      </c>
      <c r="F33" s="15" t="s">
        <v>1310</v>
      </c>
      <c r="G33" s="15" t="str">
        <f aca="false">HYPERLINK("#'Forrásszöveg'!A"&amp;(MATCH("TV-S0545",Forrásszöveg!$A$6:$A$2497,0)+5),"Szöveg megnyitása")</f>
        <v>Szöveg megnyitása</v>
      </c>
    </row>
    <row r="34" customFormat="false" ht="34" hidden="false" customHeight="true" outlineLevel="0" collapsed="false">
      <c r="A34" s="15" t="s">
        <v>1299</v>
      </c>
      <c r="B34" s="15" t="s">
        <v>1351</v>
      </c>
      <c r="C34" s="15" t="s">
        <v>1352</v>
      </c>
      <c r="D34" s="17" t="n">
        <v>0</v>
      </c>
      <c r="E34" s="17" t="n">
        <v>0</v>
      </c>
      <c r="F34" s="15" t="s">
        <v>1310</v>
      </c>
      <c r="G34" s="15" t="str">
        <f aca="false">HYPERLINK("#'Forrásszöveg'!A"&amp;(MATCH("TV-S0554",Forrásszöveg!$A$6:$A$2497,0)+5),"Szöveg megnyitása")</f>
        <v>Szöveg megnyitása</v>
      </c>
    </row>
    <row r="35" customFormat="false" ht="34" hidden="false" customHeight="true" outlineLevel="0" collapsed="false">
      <c r="A35" s="15" t="s">
        <v>1299</v>
      </c>
      <c r="B35" s="15" t="s">
        <v>1353</v>
      </c>
      <c r="C35" s="15" t="s">
        <v>1352</v>
      </c>
      <c r="D35" s="17" t="n">
        <v>0</v>
      </c>
      <c r="E35" s="17" t="n">
        <v>0</v>
      </c>
      <c r="F35" s="15" t="s">
        <v>1310</v>
      </c>
      <c r="G35" s="15" t="str">
        <f aca="false">HYPERLINK("#'Forrásszöveg'!A"&amp;(MATCH("TV-S0608",Forrásszöveg!$A$6:$A$2497,0)+5),"Szöveg megnyitása")</f>
        <v>Szöveg megnyitása</v>
      </c>
    </row>
    <row r="36" customFormat="false" ht="34" hidden="false" customHeight="true" outlineLevel="0" collapsed="false">
      <c r="A36" s="15" t="s">
        <v>1299</v>
      </c>
      <c r="B36" s="15" t="s">
        <v>1354</v>
      </c>
      <c r="C36" s="15" t="s">
        <v>1355</v>
      </c>
      <c r="D36" s="17" t="n">
        <v>0</v>
      </c>
      <c r="E36" s="17" t="n">
        <v>0</v>
      </c>
      <c r="F36" s="15" t="s">
        <v>1310</v>
      </c>
      <c r="G36" s="15" t="str">
        <f aca="false">HYPERLINK("#'Forrásszöveg'!A"&amp;(MATCH("TV-S0633",Forrásszöveg!$A$6:$A$2497,0)+5),"Szöveg megnyitása")</f>
        <v>Szöveg megnyitása</v>
      </c>
    </row>
    <row r="37" customFormat="false" ht="34" hidden="false" customHeight="true" outlineLevel="0" collapsed="false">
      <c r="A37" s="15" t="s">
        <v>1299</v>
      </c>
      <c r="B37" s="15" t="s">
        <v>1356</v>
      </c>
      <c r="C37" s="15" t="s">
        <v>1355</v>
      </c>
      <c r="D37" s="17" t="n">
        <v>0</v>
      </c>
      <c r="E37" s="17" t="n">
        <v>0</v>
      </c>
      <c r="F37" s="15" t="s">
        <v>1310</v>
      </c>
      <c r="G37" s="15" t="str">
        <f aca="false">HYPERLINK("#'Forrásszöveg'!A"&amp;(MATCH("TV-S0656",Forrásszöveg!$A$6:$A$2497,0)+5),"Szöveg megnyitása")</f>
        <v>Szöveg megnyitása</v>
      </c>
    </row>
    <row r="38" customFormat="false" ht="34" hidden="false" customHeight="true" outlineLevel="0" collapsed="false">
      <c r="A38" s="15" t="s">
        <v>1299</v>
      </c>
      <c r="B38" s="15" t="s">
        <v>1357</v>
      </c>
      <c r="C38" s="15" t="s">
        <v>1355</v>
      </c>
      <c r="D38" s="17" t="n">
        <v>0</v>
      </c>
      <c r="E38" s="17" t="n">
        <v>0</v>
      </c>
      <c r="F38" s="15" t="s">
        <v>1310</v>
      </c>
      <c r="G38" s="15" t="str">
        <f aca="false">HYPERLINK("#'Forrásszöveg'!A"&amp;(MATCH("TV-S0661",Forrásszöveg!$A$6:$A$2497,0)+5),"Szöveg megnyitása")</f>
        <v>Szöveg megnyitása</v>
      </c>
    </row>
    <row r="39" customFormat="false" ht="34" hidden="false" customHeight="true" outlineLevel="0" collapsed="false">
      <c r="A39" s="15" t="s">
        <v>1299</v>
      </c>
      <c r="B39" s="15" t="s">
        <v>1358</v>
      </c>
      <c r="C39" s="15" t="s">
        <v>1359</v>
      </c>
      <c r="D39" s="17" t="n">
        <v>0</v>
      </c>
      <c r="E39" s="17" t="n">
        <v>0</v>
      </c>
      <c r="F39" s="15" t="s">
        <v>1310</v>
      </c>
      <c r="G39" s="15" t="str">
        <f aca="false">HYPERLINK("#'Forrásszöveg'!A"&amp;(MATCH("TV-S0668",Forrásszöveg!$A$6:$A$2497,0)+5),"Szöveg megnyitása")</f>
        <v>Szöveg megnyitása</v>
      </c>
    </row>
    <row r="40" customFormat="false" ht="34" hidden="false" customHeight="true" outlineLevel="0" collapsed="false">
      <c r="A40" s="15" t="s">
        <v>1299</v>
      </c>
      <c r="B40" s="15" t="s">
        <v>1360</v>
      </c>
      <c r="C40" s="15" t="s">
        <v>1359</v>
      </c>
      <c r="D40" s="17" t="n">
        <v>0</v>
      </c>
      <c r="E40" s="17" t="n">
        <v>0</v>
      </c>
      <c r="F40" s="15" t="s">
        <v>1310</v>
      </c>
      <c r="G40" s="15" t="str">
        <f aca="false">HYPERLINK("#'Forrásszöveg'!A"&amp;(MATCH("TV-S0682",Forrásszöveg!$A$6:$A$2497,0)+5),"Szöveg megnyitása")</f>
        <v>Szöveg megnyitása</v>
      </c>
    </row>
    <row r="41" customFormat="false" ht="34" hidden="false" customHeight="true" outlineLevel="0" collapsed="false">
      <c r="A41" s="15" t="s">
        <v>1299</v>
      </c>
      <c r="B41" s="15" t="s">
        <v>1361</v>
      </c>
      <c r="C41" s="15" t="s">
        <v>1359</v>
      </c>
      <c r="D41" s="17" t="n">
        <v>0</v>
      </c>
      <c r="E41" s="17" t="n">
        <v>0</v>
      </c>
      <c r="F41" s="15" t="s">
        <v>1310</v>
      </c>
      <c r="G41" s="15" t="str">
        <f aca="false">HYPERLINK("#'Forrásszöveg'!A"&amp;(MATCH("TV-S0684",Forrásszöveg!$A$6:$A$2497,0)+5),"Szöveg megnyitása")</f>
        <v>Szöveg megnyitása</v>
      </c>
    </row>
    <row r="42" customFormat="false" ht="34" hidden="false" customHeight="true" outlineLevel="0" collapsed="false">
      <c r="A42" s="15" t="s">
        <v>1299</v>
      </c>
      <c r="B42" s="15" t="s">
        <v>1362</v>
      </c>
      <c r="C42" s="15" t="s">
        <v>1363</v>
      </c>
      <c r="D42" s="17" t="n">
        <v>0</v>
      </c>
      <c r="E42" s="17" t="n">
        <v>0</v>
      </c>
      <c r="F42" s="15" t="s">
        <v>1310</v>
      </c>
      <c r="G42" s="15" t="str">
        <f aca="false">HYPERLINK("#'Forrásszöveg'!A"&amp;(MATCH("TV-S0687",Forrásszöveg!$A$6:$A$2497,0)+5),"Szöveg megnyitása")</f>
        <v>Szöveg megnyitása</v>
      </c>
    </row>
    <row r="43" customFormat="false" ht="34" hidden="false" customHeight="true" outlineLevel="0" collapsed="false">
      <c r="A43" s="15" t="s">
        <v>1299</v>
      </c>
      <c r="B43" s="15" t="s">
        <v>1364</v>
      </c>
      <c r="C43" s="15" t="s">
        <v>1363</v>
      </c>
      <c r="D43" s="17" t="n">
        <v>0</v>
      </c>
      <c r="E43" s="17" t="n">
        <v>0</v>
      </c>
      <c r="F43" s="15" t="s">
        <v>1310</v>
      </c>
      <c r="G43" s="15" t="str">
        <f aca="false">HYPERLINK("#'Forrásszöveg'!A"&amp;(MATCH("TV-S0692",Forrásszöveg!$A$6:$A$2497,0)+5),"Szöveg megnyitása")</f>
        <v>Szöveg megnyitása</v>
      </c>
    </row>
    <row r="44" customFormat="false" ht="38" hidden="false" customHeight="true" outlineLevel="0" collapsed="false">
      <c r="A44" s="15" t="s">
        <v>1299</v>
      </c>
      <c r="B44" s="15" t="s">
        <v>1365</v>
      </c>
      <c r="C44" s="15" t="s">
        <v>1366</v>
      </c>
      <c r="D44" s="17" t="n">
        <v>0</v>
      </c>
      <c r="E44" s="17" t="n">
        <v>0</v>
      </c>
      <c r="F44" s="15" t="s">
        <v>1310</v>
      </c>
      <c r="G44" s="15" t="str">
        <f aca="false">HYPERLINK("#'Forrásszöveg'!A"&amp;(MATCH("TV-S0694",Forrásszöveg!$A$6:$A$2497,0)+5),"Szöveg megnyitása")</f>
        <v>Szöveg megnyitása</v>
      </c>
    </row>
    <row r="45" customFormat="false" ht="38" hidden="false" customHeight="true" outlineLevel="0" collapsed="false">
      <c r="A45" s="15" t="s">
        <v>1299</v>
      </c>
      <c r="B45" s="15" t="s">
        <v>1367</v>
      </c>
      <c r="C45" s="15" t="s">
        <v>1366</v>
      </c>
      <c r="D45" s="17" t="n">
        <v>0</v>
      </c>
      <c r="E45" s="17" t="n">
        <v>0</v>
      </c>
      <c r="F45" s="15" t="s">
        <v>1310</v>
      </c>
      <c r="G45" s="15" t="str">
        <f aca="false">HYPERLINK("#'Forrásszöveg'!A"&amp;(MATCH("TV-S0706",Forrásszöveg!$A$6:$A$2497,0)+5),"Szöveg megnyitása")</f>
        <v>Szöveg megnyitása</v>
      </c>
    </row>
    <row r="46" customFormat="false" ht="38" hidden="false" customHeight="true" outlineLevel="0" collapsed="false">
      <c r="A46" s="15" t="s">
        <v>1299</v>
      </c>
      <c r="B46" s="15" t="s">
        <v>1368</v>
      </c>
      <c r="C46" s="15" t="s">
        <v>1369</v>
      </c>
      <c r="D46" s="17" t="n">
        <v>0</v>
      </c>
      <c r="E46" s="17" t="n">
        <v>0</v>
      </c>
      <c r="F46" s="15" t="s">
        <v>1310</v>
      </c>
      <c r="G46" s="15" t="str">
        <f aca="false">HYPERLINK("#'Forrásszöveg'!A"&amp;(MATCH("TV-S0723",Forrásszöveg!$A$6:$A$2497,0)+5),"Szöveg megnyitása")</f>
        <v>Szöveg megnyitása</v>
      </c>
    </row>
    <row r="47" customFormat="false" ht="38" hidden="false" customHeight="true" outlineLevel="0" collapsed="false">
      <c r="A47" s="15" t="s">
        <v>1299</v>
      </c>
      <c r="B47" s="15" t="s">
        <v>1370</v>
      </c>
      <c r="C47" s="15" t="s">
        <v>1371</v>
      </c>
      <c r="D47" s="17" t="n">
        <v>0</v>
      </c>
      <c r="E47" s="17" t="n">
        <v>0</v>
      </c>
      <c r="F47" s="15" t="s">
        <v>1310</v>
      </c>
      <c r="G47" s="15" t="str">
        <f aca="false">HYPERLINK("#'Forrásszöveg'!A"&amp;(MATCH("TV-S0742",Forrásszöveg!$A$6:$A$2497,0)+5),"Szöveg megnyitása")</f>
        <v>Szöveg megnyitása</v>
      </c>
    </row>
    <row r="48" customFormat="false" ht="38" hidden="false" customHeight="true" outlineLevel="0" collapsed="false">
      <c r="A48" s="15" t="s">
        <v>1299</v>
      </c>
      <c r="B48" s="15" t="s">
        <v>1372</v>
      </c>
      <c r="C48" s="15" t="s">
        <v>1371</v>
      </c>
      <c r="D48" s="17" t="n">
        <v>0</v>
      </c>
      <c r="E48" s="17" t="n">
        <v>0</v>
      </c>
      <c r="F48" s="15" t="s">
        <v>1310</v>
      </c>
      <c r="G48" s="15" t="str">
        <f aca="false">HYPERLINK("#'Forrásszöveg'!A"&amp;(MATCH("TV-S0756",Forrásszöveg!$A$6:$A$2497,0)+5),"Szöveg megnyitása")</f>
        <v>Szöveg megnyitása</v>
      </c>
    </row>
    <row r="49" customFormat="false" ht="34" hidden="false" customHeight="true" outlineLevel="0" collapsed="false">
      <c r="A49" s="15" t="s">
        <v>1299</v>
      </c>
      <c r="B49" s="15" t="s">
        <v>1373</v>
      </c>
      <c r="C49" s="15" t="s">
        <v>1374</v>
      </c>
      <c r="D49" s="17" t="n">
        <v>0</v>
      </c>
      <c r="E49" s="17" t="n">
        <v>0</v>
      </c>
      <c r="F49" s="15" t="s">
        <v>1310</v>
      </c>
      <c r="G49" s="15" t="str">
        <f aca="false">HYPERLINK("#'Forrásszöveg'!A"&amp;(MATCH("TV-S0759",Forrásszöveg!$A$6:$A$2497,0)+5),"Szöveg megnyitása")</f>
        <v>Szöveg megnyitása</v>
      </c>
    </row>
    <row r="50" customFormat="false" ht="34" hidden="false" customHeight="true" outlineLevel="0" collapsed="false">
      <c r="A50" s="15" t="s">
        <v>1299</v>
      </c>
      <c r="B50" s="15" t="s">
        <v>1375</v>
      </c>
      <c r="C50" s="15" t="s">
        <v>1374</v>
      </c>
      <c r="D50" s="17" t="n">
        <v>0</v>
      </c>
      <c r="E50" s="17" t="n">
        <v>0</v>
      </c>
      <c r="F50" s="15" t="s">
        <v>1310</v>
      </c>
      <c r="G50" s="15" t="str">
        <f aca="false">HYPERLINK("#'Forrásszöveg'!A"&amp;(MATCH("TV-S0762",Forrásszöveg!$A$6:$A$2497,0)+5),"Szöveg megnyitása")</f>
        <v>Szöveg megnyitása</v>
      </c>
    </row>
    <row r="51" customFormat="false" ht="34" hidden="false" customHeight="true" outlineLevel="0" collapsed="false">
      <c r="A51" s="15" t="s">
        <v>1299</v>
      </c>
      <c r="B51" s="15" t="s">
        <v>1376</v>
      </c>
      <c r="C51" s="15" t="s">
        <v>1377</v>
      </c>
      <c r="D51" s="17" t="n">
        <v>0</v>
      </c>
      <c r="E51" s="17" t="n">
        <v>0</v>
      </c>
      <c r="F51" s="15" t="s">
        <v>1310</v>
      </c>
      <c r="G51" s="15" t="str">
        <f aca="false">HYPERLINK("#'Forrásszöveg'!A"&amp;(MATCH("TV-S0772",Forrásszöveg!$A$6:$A$2497,0)+5),"Szöveg megnyitása")</f>
        <v>Szöveg megnyitása</v>
      </c>
    </row>
    <row r="52" customFormat="false" ht="34" hidden="false" customHeight="true" outlineLevel="0" collapsed="false">
      <c r="A52" s="15" t="s">
        <v>1299</v>
      </c>
      <c r="B52" s="15" t="s">
        <v>1378</v>
      </c>
      <c r="C52" s="15" t="s">
        <v>1377</v>
      </c>
      <c r="D52" s="17" t="n">
        <v>0</v>
      </c>
      <c r="E52" s="17" t="n">
        <v>0</v>
      </c>
      <c r="F52" s="15" t="s">
        <v>1310</v>
      </c>
      <c r="G52" s="15" t="str">
        <f aca="false">HYPERLINK("#'Forrásszöveg'!A"&amp;(MATCH("TV-S0777",Forrásszöveg!$A$6:$A$2497,0)+5),"Szöveg megnyitása")</f>
        <v>Szöveg megnyitása</v>
      </c>
    </row>
    <row r="53" customFormat="false" ht="34" hidden="false" customHeight="true" outlineLevel="0" collapsed="false">
      <c r="A53" s="15" t="s">
        <v>1299</v>
      </c>
      <c r="B53" s="15" t="s">
        <v>1379</v>
      </c>
      <c r="C53" s="15" t="s">
        <v>1377</v>
      </c>
      <c r="D53" s="17" t="n">
        <v>0</v>
      </c>
      <c r="E53" s="17" t="n">
        <v>0</v>
      </c>
      <c r="F53" s="15" t="s">
        <v>1310</v>
      </c>
      <c r="G53" s="15" t="str">
        <f aca="false">HYPERLINK("#'Forrásszöveg'!A"&amp;(MATCH("TV-S0788",Forrásszöveg!$A$6:$A$2497,0)+5),"Szöveg megnyitása")</f>
        <v>Szöveg megnyitása</v>
      </c>
    </row>
    <row r="54" customFormat="false" ht="34" hidden="false" customHeight="true" outlineLevel="0" collapsed="false">
      <c r="A54" s="15" t="s">
        <v>1299</v>
      </c>
      <c r="B54" s="15" t="s">
        <v>1380</v>
      </c>
      <c r="C54" s="15" t="s">
        <v>1377</v>
      </c>
      <c r="D54" s="17" t="n">
        <v>0</v>
      </c>
      <c r="E54" s="17" t="n">
        <v>0</v>
      </c>
      <c r="F54" s="15" t="s">
        <v>1310</v>
      </c>
      <c r="G54" s="15" t="str">
        <f aca="false">HYPERLINK("#'Forrásszöveg'!A"&amp;(MATCH("TV-S0802",Forrásszöveg!$A$6:$A$2497,0)+5),"Szöveg megnyitása")</f>
        <v>Szöveg megnyitása</v>
      </c>
    </row>
    <row r="55" customFormat="false" ht="34" hidden="false" customHeight="true" outlineLevel="0" collapsed="false">
      <c r="A55" s="15" t="s">
        <v>1299</v>
      </c>
      <c r="B55" s="15" t="s">
        <v>1381</v>
      </c>
      <c r="C55" s="15" t="s">
        <v>1377</v>
      </c>
      <c r="D55" s="17" t="n">
        <v>0</v>
      </c>
      <c r="E55" s="17" t="n">
        <v>0</v>
      </c>
      <c r="F55" s="15" t="s">
        <v>1310</v>
      </c>
      <c r="G55" s="15" t="str">
        <f aca="false">HYPERLINK("#'Forrásszöveg'!A"&amp;(MATCH("TV-S0827",Forrásszöveg!$A$6:$A$2497,0)+5),"Szöveg megnyitása")</f>
        <v>Szöveg megnyitása</v>
      </c>
    </row>
    <row r="56" customFormat="false" ht="34" hidden="false" customHeight="true" outlineLevel="0" collapsed="false">
      <c r="A56" s="15" t="s">
        <v>1299</v>
      </c>
      <c r="B56" s="15" t="s">
        <v>1382</v>
      </c>
      <c r="C56" s="15" t="s">
        <v>1377</v>
      </c>
      <c r="D56" s="17" t="n">
        <v>0</v>
      </c>
      <c r="E56" s="17" t="n">
        <v>0</v>
      </c>
      <c r="F56" s="15" t="s">
        <v>1310</v>
      </c>
      <c r="G56" s="15" t="str">
        <f aca="false">HYPERLINK("#'Forrásszöveg'!A"&amp;(MATCH("TV-S0830",Forrásszöveg!$A$6:$A$2497,0)+5),"Szöveg megnyitása")</f>
        <v>Szöveg megnyitása</v>
      </c>
    </row>
    <row r="57" customFormat="false" ht="38" hidden="false" customHeight="true" outlineLevel="0" collapsed="false">
      <c r="A57" s="15" t="s">
        <v>1299</v>
      </c>
      <c r="B57" s="15" t="s">
        <v>1383</v>
      </c>
      <c r="C57" s="15" t="s">
        <v>1384</v>
      </c>
      <c r="D57" s="17" t="n">
        <v>0</v>
      </c>
      <c r="E57" s="17" t="n">
        <v>0</v>
      </c>
      <c r="F57" s="15" t="s">
        <v>1310</v>
      </c>
      <c r="G57" s="15" t="str">
        <f aca="false">HYPERLINK("#'Forrásszöveg'!A"&amp;(MATCH("TV-S0838",Forrásszöveg!$A$6:$A$2497,0)+5),"Szöveg megnyitása")</f>
        <v>Szöveg megnyitása</v>
      </c>
    </row>
    <row r="58" customFormat="false" ht="38" hidden="false" customHeight="true" outlineLevel="0" collapsed="false">
      <c r="A58" s="15" t="s">
        <v>1299</v>
      </c>
      <c r="B58" s="15" t="s">
        <v>1385</v>
      </c>
      <c r="C58" s="15" t="s">
        <v>1386</v>
      </c>
      <c r="D58" s="17" t="n">
        <v>0</v>
      </c>
      <c r="E58" s="17" t="n">
        <v>0</v>
      </c>
      <c r="F58" s="15" t="s">
        <v>1310</v>
      </c>
      <c r="G58" s="15" t="str">
        <f aca="false">HYPERLINK("#'Forrásszöveg'!A"&amp;(MATCH("TV-S0843",Forrásszöveg!$A$6:$A$2497,0)+5),"Szöveg megnyitása")</f>
        <v>Szöveg megnyitása</v>
      </c>
    </row>
    <row r="59" customFormat="false" ht="38" hidden="false" customHeight="true" outlineLevel="0" collapsed="false">
      <c r="A59" s="15" t="s">
        <v>1299</v>
      </c>
      <c r="B59" s="15" t="s">
        <v>1387</v>
      </c>
      <c r="C59" s="15" t="s">
        <v>1388</v>
      </c>
      <c r="D59" s="17" t="n">
        <v>0</v>
      </c>
      <c r="E59" s="17" t="n">
        <v>0</v>
      </c>
      <c r="F59" s="15" t="s">
        <v>1310</v>
      </c>
      <c r="G59" s="15" t="str">
        <f aca="false">HYPERLINK("#'Forrásszöveg'!A"&amp;(MATCH("TV-S0845",Forrásszöveg!$A$6:$A$2497,0)+5),"Szöveg megnyitása")</f>
        <v>Szöveg megnyitása</v>
      </c>
    </row>
    <row r="60" customFormat="false" ht="38" hidden="false" customHeight="true" outlineLevel="0" collapsed="false">
      <c r="A60" s="15" t="s">
        <v>1299</v>
      </c>
      <c r="B60" s="15" t="s">
        <v>1389</v>
      </c>
      <c r="C60" s="15" t="s">
        <v>1390</v>
      </c>
      <c r="D60" s="17" t="n">
        <v>0</v>
      </c>
      <c r="E60" s="17" t="n">
        <v>0</v>
      </c>
      <c r="F60" s="15" t="s">
        <v>1310</v>
      </c>
      <c r="G60" s="15" t="str">
        <f aca="false">HYPERLINK("#'Forrásszöveg'!A"&amp;(MATCH("TV-S0853",Forrásszöveg!$A$6:$A$2497,0)+5),"Szöveg megnyitása")</f>
        <v>Szöveg megnyitása</v>
      </c>
    </row>
    <row r="61" customFormat="false" ht="34" hidden="false" customHeight="true" outlineLevel="0" collapsed="false">
      <c r="A61" s="15" t="s">
        <v>1299</v>
      </c>
      <c r="B61" s="15" t="s">
        <v>1391</v>
      </c>
      <c r="C61" s="15" t="s">
        <v>1392</v>
      </c>
      <c r="D61" s="17" t="n">
        <v>0</v>
      </c>
      <c r="E61" s="17" t="n">
        <v>0</v>
      </c>
      <c r="F61" s="15" t="s">
        <v>1310</v>
      </c>
      <c r="G61" s="15" t="str">
        <f aca="false">HYPERLINK("#'Forrásszöveg'!A"&amp;(MATCH("TV-S0857",Forrásszöveg!$A$6:$A$2497,0)+5),"Szöveg megnyitása")</f>
        <v>Szöveg megnyitása</v>
      </c>
    </row>
    <row r="62" customFormat="false" ht="34" hidden="false" customHeight="true" outlineLevel="0" collapsed="false">
      <c r="A62" s="15" t="s">
        <v>1299</v>
      </c>
      <c r="B62" s="15" t="s">
        <v>1393</v>
      </c>
      <c r="C62" s="15" t="s">
        <v>1394</v>
      </c>
      <c r="D62" s="17" t="n">
        <v>0</v>
      </c>
      <c r="E62" s="17" t="n">
        <v>0</v>
      </c>
      <c r="F62" s="15" t="s">
        <v>1310</v>
      </c>
      <c r="G62" s="15" t="str">
        <f aca="false">HYPERLINK("#'Forrásszöveg'!A"&amp;(MATCH("TV-S0861",Forrásszöveg!$A$6:$A$2497,0)+5),"Szöveg megnyitása")</f>
        <v>Szöveg megnyitása</v>
      </c>
    </row>
    <row r="63" customFormat="false" ht="34" hidden="false" customHeight="true" outlineLevel="0" collapsed="false">
      <c r="A63" s="15" t="s">
        <v>1299</v>
      </c>
      <c r="B63" s="15" t="s">
        <v>1395</v>
      </c>
      <c r="C63" s="15" t="s">
        <v>1396</v>
      </c>
      <c r="D63" s="17" t="n">
        <v>0</v>
      </c>
      <c r="E63" s="17" t="n">
        <v>0</v>
      </c>
      <c r="F63" s="15" t="s">
        <v>1310</v>
      </c>
      <c r="G63" s="15" t="str">
        <f aca="false">HYPERLINK("#'Forrásszöveg'!A"&amp;(MATCH("TV-S0879",Forrásszöveg!$A$6:$A$2497,0)+5),"Szöveg megnyitása")</f>
        <v>Szöveg megnyitása</v>
      </c>
    </row>
    <row r="64" customFormat="false" ht="34" hidden="false" customHeight="true" outlineLevel="0" collapsed="false">
      <c r="A64" s="15" t="s">
        <v>1299</v>
      </c>
      <c r="B64" s="15" t="s">
        <v>1397</v>
      </c>
      <c r="C64" s="15" t="s">
        <v>1398</v>
      </c>
      <c r="D64" s="17" t="n">
        <v>0</v>
      </c>
      <c r="E64" s="17" t="n">
        <v>0</v>
      </c>
      <c r="F64" s="15" t="s">
        <v>1310</v>
      </c>
      <c r="G64" s="15" t="str">
        <f aca="false">HYPERLINK("#'Forrásszöveg'!A"&amp;(MATCH("TV-S0899",Forrásszöveg!$A$6:$A$2497,0)+5),"Szöveg megnyitása")</f>
        <v>Szöveg megnyitása</v>
      </c>
    </row>
    <row r="65" customFormat="false" ht="34" hidden="false" customHeight="true" outlineLevel="0" collapsed="false">
      <c r="A65" s="15" t="s">
        <v>1299</v>
      </c>
      <c r="B65" s="15" t="s">
        <v>1399</v>
      </c>
      <c r="C65" s="15" t="s">
        <v>1398</v>
      </c>
      <c r="D65" s="17" t="n">
        <v>0</v>
      </c>
      <c r="E65" s="17" t="n">
        <v>0</v>
      </c>
      <c r="F65" s="15" t="s">
        <v>1310</v>
      </c>
      <c r="G65" s="15" t="str">
        <f aca="false">HYPERLINK("#'Forrásszöveg'!A"&amp;(MATCH("TV-S0902",Forrásszöveg!$A$6:$A$2497,0)+5),"Szöveg megnyitása")</f>
        <v>Szöveg megnyitása</v>
      </c>
    </row>
    <row r="66" customFormat="false" ht="34" hidden="false" customHeight="true" outlineLevel="0" collapsed="false">
      <c r="A66" s="15" t="s">
        <v>1299</v>
      </c>
      <c r="B66" s="15" t="s">
        <v>1400</v>
      </c>
      <c r="C66" s="15" t="s">
        <v>1398</v>
      </c>
      <c r="D66" s="17" t="n">
        <v>0</v>
      </c>
      <c r="E66" s="17" t="n">
        <v>0</v>
      </c>
      <c r="F66" s="15" t="s">
        <v>1310</v>
      </c>
      <c r="G66" s="15" t="str">
        <f aca="false">HYPERLINK("#'Forrásszöveg'!A"&amp;(MATCH("TV-S0903",Forrásszöveg!$A$6:$A$2497,0)+5),"Szöveg megnyitása")</f>
        <v>Szöveg megnyitása</v>
      </c>
    </row>
    <row r="67" customFormat="false" ht="34" hidden="false" customHeight="true" outlineLevel="0" collapsed="false">
      <c r="A67" s="15" t="s">
        <v>1299</v>
      </c>
      <c r="B67" s="15" t="s">
        <v>1401</v>
      </c>
      <c r="C67" s="15" t="s">
        <v>1398</v>
      </c>
      <c r="D67" s="17" t="n">
        <v>0</v>
      </c>
      <c r="E67" s="17" t="n">
        <v>0</v>
      </c>
      <c r="F67" s="15" t="s">
        <v>1310</v>
      </c>
      <c r="G67" s="15" t="str">
        <f aca="false">HYPERLINK("#'Forrásszöveg'!A"&amp;(MATCH("TV-S0907",Forrásszöveg!$A$6:$A$2497,0)+5),"Szöveg megnyitása")</f>
        <v>Szöveg megnyitása</v>
      </c>
    </row>
    <row r="68" customFormat="false" ht="38" hidden="false" customHeight="true" outlineLevel="0" collapsed="false">
      <c r="A68" s="15" t="s">
        <v>1299</v>
      </c>
      <c r="B68" s="15" t="s">
        <v>1402</v>
      </c>
      <c r="C68" s="15" t="s">
        <v>1403</v>
      </c>
      <c r="D68" s="17" t="n">
        <v>0</v>
      </c>
      <c r="E68" s="17" t="n">
        <v>0</v>
      </c>
      <c r="F68" s="15" t="s">
        <v>1310</v>
      </c>
      <c r="G68" s="15" t="str">
        <f aca="false">HYPERLINK("#'Forrásszöveg'!A"&amp;(MATCH("TV-S0909",Forrásszöveg!$A$6:$A$2497,0)+5),"Szöveg megnyitása")</f>
        <v>Szöveg megnyitása</v>
      </c>
    </row>
    <row r="69" customFormat="false" ht="34" hidden="false" customHeight="true" outlineLevel="0" collapsed="false">
      <c r="A69" s="15" t="s">
        <v>1299</v>
      </c>
      <c r="B69" s="15" t="s">
        <v>1404</v>
      </c>
      <c r="C69" s="15" t="s">
        <v>1405</v>
      </c>
      <c r="D69" s="17" t="n">
        <v>0</v>
      </c>
      <c r="E69" s="17" t="n">
        <v>0</v>
      </c>
      <c r="F69" s="15" t="s">
        <v>1310</v>
      </c>
      <c r="G69" s="15" t="str">
        <f aca="false">HYPERLINK("#'Forrásszöveg'!A"&amp;(MATCH("TV-S0916",Forrásszöveg!$A$6:$A$2497,0)+5),"Szöveg megnyitása")</f>
        <v>Szöveg megnyitása</v>
      </c>
    </row>
    <row r="70" customFormat="false" ht="34" hidden="false" customHeight="true" outlineLevel="0" collapsed="false">
      <c r="A70" s="15" t="s">
        <v>1299</v>
      </c>
      <c r="B70" s="15" t="s">
        <v>1406</v>
      </c>
      <c r="C70" s="15" t="s">
        <v>1405</v>
      </c>
      <c r="D70" s="17" t="n">
        <v>0</v>
      </c>
      <c r="E70" s="17" t="n">
        <v>0</v>
      </c>
      <c r="F70" s="15" t="s">
        <v>1310</v>
      </c>
      <c r="G70" s="15" t="str">
        <f aca="false">HYPERLINK("#'Forrásszöveg'!A"&amp;(MATCH("TV-S0919",Forrásszöveg!$A$6:$A$2497,0)+5),"Szöveg megnyitása")</f>
        <v>Szöveg megnyitása</v>
      </c>
    </row>
    <row r="71" customFormat="false" ht="34" hidden="false" customHeight="true" outlineLevel="0" collapsed="false">
      <c r="A71" s="15" t="s">
        <v>1299</v>
      </c>
      <c r="B71" s="15" t="s">
        <v>1407</v>
      </c>
      <c r="C71" s="15" t="s">
        <v>1408</v>
      </c>
      <c r="D71" s="17" t="n">
        <v>2</v>
      </c>
      <c r="E71" s="17" t="n">
        <v>2</v>
      </c>
      <c r="F71" s="15" t="s">
        <v>1313</v>
      </c>
      <c r="G71" s="15" t="str">
        <f aca="false">HYPERLINK("#'Forrásszöveg'!A"&amp;(MATCH("TV-S0938",Forrásszöveg!$A$6:$A$2497,0)+5),"Szöveg megnyitása")</f>
        <v>Szöveg megnyitása</v>
      </c>
    </row>
    <row r="72" customFormat="false" ht="34" hidden="false" customHeight="true" outlineLevel="0" collapsed="false">
      <c r="A72" s="15" t="s">
        <v>1299</v>
      </c>
      <c r="B72" s="15" t="s">
        <v>1409</v>
      </c>
      <c r="C72" s="15" t="s">
        <v>1410</v>
      </c>
      <c r="D72" s="17" t="n">
        <v>5</v>
      </c>
      <c r="E72" s="17" t="n">
        <v>1</v>
      </c>
      <c r="F72" s="15" t="s">
        <v>1313</v>
      </c>
      <c r="G72" s="15" t="str">
        <f aca="false">HYPERLINK("#'Forrásszöveg'!A"&amp;(MATCH("TV-S0947",Forrásszöveg!$A$6:$A$2497,0)+5),"Szöveg megnyitása")</f>
        <v>Szöveg megnyitása</v>
      </c>
    </row>
    <row r="73" customFormat="false" ht="34" hidden="false" customHeight="true" outlineLevel="0" collapsed="false">
      <c r="A73" s="15" t="s">
        <v>1299</v>
      </c>
      <c r="B73" s="15" t="s">
        <v>1411</v>
      </c>
      <c r="C73" s="15" t="s">
        <v>1410</v>
      </c>
      <c r="D73" s="17" t="n">
        <v>0</v>
      </c>
      <c r="E73" s="17" t="n">
        <v>2</v>
      </c>
      <c r="F73" s="15" t="s">
        <v>1313</v>
      </c>
      <c r="G73" s="15" t="str">
        <f aca="false">HYPERLINK("#'Forrásszöveg'!A"&amp;(MATCH("TV-S0953",Forrásszöveg!$A$6:$A$2497,0)+5),"Szöveg megnyitása")</f>
        <v>Szöveg megnyitása</v>
      </c>
    </row>
    <row r="74" customFormat="false" ht="34" hidden="false" customHeight="true" outlineLevel="0" collapsed="false">
      <c r="A74" s="15" t="s">
        <v>1299</v>
      </c>
      <c r="B74" s="15" t="s">
        <v>1412</v>
      </c>
      <c r="C74" s="15" t="s">
        <v>1410</v>
      </c>
      <c r="D74" s="17" t="n">
        <v>0</v>
      </c>
      <c r="E74" s="17" t="n">
        <v>0</v>
      </c>
      <c r="F74" s="15" t="s">
        <v>1310</v>
      </c>
      <c r="G74" s="15" t="str">
        <f aca="false">HYPERLINK("#'Forrásszöveg'!A"&amp;(MATCH("TV-S0957",Forrásszöveg!$A$6:$A$2497,0)+5),"Szöveg megnyitása")</f>
        <v>Szöveg megnyitása</v>
      </c>
    </row>
    <row r="75" customFormat="false" ht="38" hidden="false" customHeight="true" outlineLevel="0" collapsed="false">
      <c r="A75" s="15" t="s">
        <v>1299</v>
      </c>
      <c r="B75" s="15" t="s">
        <v>1413</v>
      </c>
      <c r="C75" s="15" t="s">
        <v>1414</v>
      </c>
      <c r="D75" s="17" t="n">
        <v>0</v>
      </c>
      <c r="E75" s="17" t="n">
        <v>0</v>
      </c>
      <c r="F75" s="15" t="s">
        <v>1310</v>
      </c>
      <c r="G75" s="15" t="str">
        <f aca="false">HYPERLINK("#'Forrásszöveg'!A"&amp;(MATCH("TV-S0960",Forrásszöveg!$A$6:$A$2497,0)+5),"Szöveg megnyitása")</f>
        <v>Szöveg megnyitása</v>
      </c>
    </row>
    <row r="76" customFormat="false" ht="34" hidden="false" customHeight="true" outlineLevel="0" collapsed="false">
      <c r="A76" s="15" t="s">
        <v>1299</v>
      </c>
      <c r="B76" s="15" t="s">
        <v>1415</v>
      </c>
      <c r="C76" s="15" t="s">
        <v>1416</v>
      </c>
      <c r="D76" s="17" t="n">
        <v>3</v>
      </c>
      <c r="E76" s="17" t="n">
        <v>0</v>
      </c>
      <c r="F76" s="15" t="s">
        <v>1313</v>
      </c>
      <c r="G76" s="15" t="str">
        <f aca="false">HYPERLINK("#'Forrásszöveg'!A"&amp;(MATCH("TV-S0966",Forrásszöveg!$A$6:$A$2497,0)+5),"Szöveg megnyitása")</f>
        <v>Szöveg megnyitása</v>
      </c>
    </row>
    <row r="77" customFormat="false" ht="52" hidden="false" customHeight="true" outlineLevel="0" collapsed="false">
      <c r="A77" s="15" t="s">
        <v>1299</v>
      </c>
      <c r="B77" s="15" t="s">
        <v>1417</v>
      </c>
      <c r="C77" s="15" t="s">
        <v>1418</v>
      </c>
      <c r="D77" s="17" t="n">
        <v>0</v>
      </c>
      <c r="E77" s="17" t="n">
        <v>0</v>
      </c>
      <c r="F77" s="15" t="s">
        <v>1302</v>
      </c>
      <c r="G77" s="15" t="str">
        <f aca="false">HYPERLINK("#'Forrásszöveg'!A"&amp;(MATCH("TV-S0992",Forrásszöveg!$A$6:$A$2497,0)+5),"Szöveg megnyitása")</f>
        <v>Szöveg megnyitása</v>
      </c>
    </row>
    <row r="78" customFormat="false" ht="34" hidden="false" customHeight="true" outlineLevel="0" collapsed="false">
      <c r="A78" s="15" t="s">
        <v>1299</v>
      </c>
      <c r="B78" s="15" t="s">
        <v>1419</v>
      </c>
      <c r="C78" s="15" t="s">
        <v>1420</v>
      </c>
      <c r="D78" s="17" t="n">
        <v>0</v>
      </c>
      <c r="E78" s="17" t="n">
        <v>0</v>
      </c>
      <c r="F78" s="15" t="s">
        <v>1310</v>
      </c>
      <c r="G78" s="15" t="str">
        <f aca="false">HYPERLINK("#'Forrásszöveg'!A"&amp;(MATCH("TV-S0997",Forrásszöveg!$A$6:$A$2497,0)+5),"Szöveg megnyitása")</f>
        <v>Szöveg megnyitása</v>
      </c>
    </row>
    <row r="79" customFormat="false" ht="34" hidden="false" customHeight="true" outlineLevel="0" collapsed="false">
      <c r="A79" s="15" t="s">
        <v>1299</v>
      </c>
      <c r="B79" s="15" t="s">
        <v>1421</v>
      </c>
      <c r="C79" s="15" t="s">
        <v>1422</v>
      </c>
      <c r="D79" s="17" t="n">
        <v>0</v>
      </c>
      <c r="E79" s="17" t="n">
        <v>0</v>
      </c>
      <c r="F79" s="15" t="s">
        <v>1310</v>
      </c>
      <c r="G79" s="15" t="str">
        <f aca="false">HYPERLINK("#'Forrásszöveg'!A"&amp;(MATCH("TV-S1004",Forrásszöveg!$A$6:$A$2497,0)+5),"Szöveg megnyitása")</f>
        <v>Szöveg megnyitása</v>
      </c>
    </row>
    <row r="80" customFormat="false" ht="38" hidden="false" customHeight="true" outlineLevel="0" collapsed="false">
      <c r="A80" s="15" t="s">
        <v>1299</v>
      </c>
      <c r="B80" s="15" t="s">
        <v>1423</v>
      </c>
      <c r="C80" s="15" t="s">
        <v>1424</v>
      </c>
      <c r="D80" s="17" t="n">
        <v>0</v>
      </c>
      <c r="E80" s="17" t="n">
        <v>0</v>
      </c>
      <c r="F80" s="15" t="s">
        <v>1310</v>
      </c>
      <c r="G80" s="15" t="str">
        <f aca="false">HYPERLINK("#'Forrásszöveg'!A"&amp;(MATCH("TV-S1010",Forrásszöveg!$A$6:$A$2497,0)+5),"Szöveg megnyitása")</f>
        <v>Szöveg megnyitása</v>
      </c>
    </row>
    <row r="81" customFormat="false" ht="34" hidden="false" customHeight="true" outlineLevel="0" collapsed="false">
      <c r="A81" s="15" t="s">
        <v>1299</v>
      </c>
      <c r="B81" s="15" t="s">
        <v>1425</v>
      </c>
      <c r="C81" s="15" t="s">
        <v>1426</v>
      </c>
      <c r="D81" s="17" t="n">
        <v>0</v>
      </c>
      <c r="E81" s="17" t="n">
        <v>0</v>
      </c>
      <c r="F81" s="15" t="s">
        <v>1310</v>
      </c>
      <c r="G81" s="15" t="str">
        <f aca="false">HYPERLINK("#'Forrásszöveg'!A"&amp;(MATCH("TV-S1040",Forrásszöveg!$A$6:$A$2497,0)+5),"Szöveg megnyitása")</f>
        <v>Szöveg megnyitása</v>
      </c>
    </row>
    <row r="82" customFormat="false" ht="34" hidden="false" customHeight="true" outlineLevel="0" collapsed="false">
      <c r="A82" s="15" t="s">
        <v>1299</v>
      </c>
      <c r="B82" s="15" t="s">
        <v>1427</v>
      </c>
      <c r="C82" s="15" t="s">
        <v>1428</v>
      </c>
      <c r="D82" s="17" t="n">
        <v>0</v>
      </c>
      <c r="E82" s="17" t="n">
        <v>0</v>
      </c>
      <c r="F82" s="15" t="s">
        <v>1310</v>
      </c>
      <c r="G82" s="15" t="str">
        <f aca="false">HYPERLINK("#'Forrásszöveg'!A"&amp;(MATCH("TV-S1058",Forrásszöveg!$A$6:$A$2497,0)+5),"Szöveg megnyitása")</f>
        <v>Szöveg megnyitása</v>
      </c>
    </row>
    <row r="83" customFormat="false" ht="34" hidden="false" customHeight="true" outlineLevel="0" collapsed="false">
      <c r="A83" s="15" t="s">
        <v>1299</v>
      </c>
      <c r="B83" s="15" t="s">
        <v>1429</v>
      </c>
      <c r="C83" s="15" t="s">
        <v>1428</v>
      </c>
      <c r="D83" s="17" t="n">
        <v>0</v>
      </c>
      <c r="E83" s="17" t="n">
        <v>0</v>
      </c>
      <c r="F83" s="15" t="s">
        <v>1310</v>
      </c>
      <c r="G83" s="15" t="str">
        <f aca="false">HYPERLINK("#'Forrásszöveg'!A"&amp;(MATCH("TV-S1064",Forrásszöveg!$A$6:$A$2497,0)+5),"Szöveg megnyitása")</f>
        <v>Szöveg megnyitása</v>
      </c>
    </row>
    <row r="84" customFormat="false" ht="34" hidden="false" customHeight="true" outlineLevel="0" collapsed="false">
      <c r="A84" s="15" t="s">
        <v>1299</v>
      </c>
      <c r="B84" s="15" t="s">
        <v>1430</v>
      </c>
      <c r="C84" s="15" t="s">
        <v>1428</v>
      </c>
      <c r="D84" s="17" t="n">
        <v>0</v>
      </c>
      <c r="E84" s="17" t="n">
        <v>0</v>
      </c>
      <c r="F84" s="15" t="s">
        <v>1310</v>
      </c>
      <c r="G84" s="15" t="str">
        <f aca="false">HYPERLINK("#'Forrásszöveg'!A"&amp;(MATCH("TV-S1070",Forrásszöveg!$A$6:$A$2497,0)+5),"Szöveg megnyitása")</f>
        <v>Szöveg megnyitása</v>
      </c>
    </row>
    <row r="85" customFormat="false" ht="34" hidden="false" customHeight="true" outlineLevel="0" collapsed="false">
      <c r="A85" s="15" t="s">
        <v>1299</v>
      </c>
      <c r="B85" s="15" t="s">
        <v>1431</v>
      </c>
      <c r="C85" s="15" t="s">
        <v>1428</v>
      </c>
      <c r="D85" s="17" t="n">
        <v>0</v>
      </c>
      <c r="E85" s="17" t="n">
        <v>0</v>
      </c>
      <c r="F85" s="15" t="s">
        <v>1310</v>
      </c>
      <c r="G85" s="15" t="str">
        <f aca="false">HYPERLINK("#'Forrásszöveg'!A"&amp;(MATCH("TV-S1077",Forrásszöveg!$A$6:$A$2497,0)+5),"Szöveg megnyitása")</f>
        <v>Szöveg megnyitása</v>
      </c>
    </row>
    <row r="86" customFormat="false" ht="34" hidden="false" customHeight="true" outlineLevel="0" collapsed="false">
      <c r="A86" s="15" t="s">
        <v>1299</v>
      </c>
      <c r="B86" s="15" t="s">
        <v>1432</v>
      </c>
      <c r="C86" s="15" t="s">
        <v>1428</v>
      </c>
      <c r="D86" s="17" t="n">
        <v>0</v>
      </c>
      <c r="E86" s="17" t="n">
        <v>0</v>
      </c>
      <c r="F86" s="15" t="s">
        <v>1310</v>
      </c>
      <c r="G86" s="15" t="str">
        <f aca="false">HYPERLINK("#'Forrásszöveg'!A"&amp;(MATCH("TV-S1079",Forrásszöveg!$A$6:$A$2497,0)+5),"Szöveg megnyitása")</f>
        <v>Szöveg megnyitása</v>
      </c>
    </row>
    <row r="87" customFormat="false" ht="34" hidden="false" customHeight="true" outlineLevel="0" collapsed="false">
      <c r="A87" s="15" t="s">
        <v>1299</v>
      </c>
      <c r="B87" s="15" t="s">
        <v>1433</v>
      </c>
      <c r="C87" s="15" t="s">
        <v>1428</v>
      </c>
      <c r="D87" s="17" t="n">
        <v>0</v>
      </c>
      <c r="E87" s="17" t="n">
        <v>0</v>
      </c>
      <c r="F87" s="15" t="s">
        <v>1310</v>
      </c>
      <c r="G87" s="15" t="str">
        <f aca="false">HYPERLINK("#'Forrásszöveg'!A"&amp;(MATCH("TV-S1081",Forrásszöveg!$A$6:$A$2497,0)+5),"Szöveg megnyitása")</f>
        <v>Szöveg megnyitása</v>
      </c>
    </row>
    <row r="88" customFormat="false" ht="38" hidden="false" customHeight="true" outlineLevel="0" collapsed="false">
      <c r="A88" s="15" t="s">
        <v>1299</v>
      </c>
      <c r="B88" s="15" t="s">
        <v>1434</v>
      </c>
      <c r="C88" s="15" t="s">
        <v>1435</v>
      </c>
      <c r="D88" s="17" t="n">
        <v>0</v>
      </c>
      <c r="E88" s="17" t="n">
        <v>0</v>
      </c>
      <c r="F88" s="15" t="s">
        <v>1310</v>
      </c>
      <c r="G88" s="15" t="str">
        <f aca="false">HYPERLINK("#'Forrásszöveg'!A"&amp;(MATCH("TV-S1086",Forrásszöveg!$A$6:$A$2497,0)+5),"Szöveg megnyitása")</f>
        <v>Szöveg megnyitása</v>
      </c>
    </row>
    <row r="89" customFormat="false" ht="38" hidden="false" customHeight="true" outlineLevel="0" collapsed="false">
      <c r="A89" s="15" t="s">
        <v>1299</v>
      </c>
      <c r="B89" s="15" t="s">
        <v>1436</v>
      </c>
      <c r="C89" s="15" t="s">
        <v>1435</v>
      </c>
      <c r="D89" s="17" t="n">
        <v>0</v>
      </c>
      <c r="E89" s="17" t="n">
        <v>0</v>
      </c>
      <c r="F89" s="15" t="s">
        <v>1310</v>
      </c>
      <c r="G89" s="15" t="str">
        <f aca="false">HYPERLINK("#'Forrásszöveg'!A"&amp;(MATCH("TV-S1091",Forrásszöveg!$A$6:$A$2497,0)+5),"Szöveg megnyitása")</f>
        <v>Szöveg megnyitása</v>
      </c>
    </row>
    <row r="90" customFormat="false" ht="34" hidden="false" customHeight="true" outlineLevel="0" collapsed="false">
      <c r="A90" s="15" t="s">
        <v>1299</v>
      </c>
      <c r="B90" s="15" t="s">
        <v>1437</v>
      </c>
      <c r="C90" s="15" t="s">
        <v>1438</v>
      </c>
      <c r="D90" s="17" t="n">
        <v>0</v>
      </c>
      <c r="E90" s="17" t="n">
        <v>0</v>
      </c>
      <c r="F90" s="15" t="s">
        <v>1310</v>
      </c>
      <c r="G90" s="15" t="str">
        <f aca="false">HYPERLINK("#'Forrásszöveg'!A"&amp;(MATCH("TV-S1093",Forrásszöveg!$A$6:$A$2497,0)+5),"Szöveg megnyitása")</f>
        <v>Szöveg megnyitása</v>
      </c>
    </row>
    <row r="91" customFormat="false" ht="34" hidden="false" customHeight="true" outlineLevel="0" collapsed="false">
      <c r="A91" s="15" t="s">
        <v>1299</v>
      </c>
      <c r="B91" s="15" t="s">
        <v>1439</v>
      </c>
      <c r="C91" s="15" t="s">
        <v>1438</v>
      </c>
      <c r="D91" s="17" t="n">
        <v>0</v>
      </c>
      <c r="E91" s="17" t="n">
        <v>0</v>
      </c>
      <c r="F91" s="15" t="s">
        <v>1310</v>
      </c>
      <c r="G91" s="15" t="str">
        <f aca="false">HYPERLINK("#'Forrásszöveg'!A"&amp;(MATCH("TV-S1102",Forrásszöveg!$A$6:$A$2497,0)+5),"Szöveg megnyitása")</f>
        <v>Szöveg megnyitása</v>
      </c>
    </row>
    <row r="92" customFormat="false" ht="34" hidden="false" customHeight="true" outlineLevel="0" collapsed="false">
      <c r="A92" s="15" t="s">
        <v>1299</v>
      </c>
      <c r="B92" s="15" t="s">
        <v>1440</v>
      </c>
      <c r="C92" s="15" t="s">
        <v>1438</v>
      </c>
      <c r="D92" s="17" t="n">
        <v>0</v>
      </c>
      <c r="E92" s="17" t="n">
        <v>0</v>
      </c>
      <c r="F92" s="15" t="s">
        <v>1310</v>
      </c>
      <c r="G92" s="15" t="str">
        <f aca="false">HYPERLINK("#'Forrásszöveg'!A"&amp;(MATCH("TV-S1108",Forrásszöveg!$A$6:$A$2497,0)+5),"Szöveg megnyitása")</f>
        <v>Szöveg megnyitása</v>
      </c>
    </row>
    <row r="93" customFormat="false" ht="34" hidden="false" customHeight="true" outlineLevel="0" collapsed="false">
      <c r="A93" s="15" t="s">
        <v>1299</v>
      </c>
      <c r="B93" s="15" t="s">
        <v>1441</v>
      </c>
      <c r="C93" s="15" t="s">
        <v>1438</v>
      </c>
      <c r="D93" s="17" t="n">
        <v>0</v>
      </c>
      <c r="E93" s="17" t="n">
        <v>0</v>
      </c>
      <c r="F93" s="15" t="s">
        <v>1310</v>
      </c>
      <c r="G93" s="15" t="str">
        <f aca="false">HYPERLINK("#'Forrásszöveg'!A"&amp;(MATCH("TV-S1127",Forrásszöveg!$A$6:$A$2497,0)+5),"Szöveg megnyitása")</f>
        <v>Szöveg megnyitása</v>
      </c>
    </row>
    <row r="94" customFormat="false" ht="34" hidden="false" customHeight="true" outlineLevel="0" collapsed="false">
      <c r="A94" s="15" t="s">
        <v>1299</v>
      </c>
      <c r="B94" s="15" t="s">
        <v>1442</v>
      </c>
      <c r="C94" s="15" t="s">
        <v>1438</v>
      </c>
      <c r="D94" s="17" t="n">
        <v>0</v>
      </c>
      <c r="E94" s="17" t="n">
        <v>0</v>
      </c>
      <c r="F94" s="15" t="s">
        <v>1310</v>
      </c>
      <c r="G94" s="15" t="str">
        <f aca="false">HYPERLINK("#'Forrásszöveg'!A"&amp;(MATCH("TV-S1129",Forrásszöveg!$A$6:$A$2497,0)+5),"Szöveg megnyitása")</f>
        <v>Szöveg megnyitása</v>
      </c>
    </row>
    <row r="95" customFormat="false" ht="34" hidden="false" customHeight="true" outlineLevel="0" collapsed="false">
      <c r="A95" s="15" t="s">
        <v>1299</v>
      </c>
      <c r="B95" s="15" t="s">
        <v>1443</v>
      </c>
      <c r="C95" s="15" t="s">
        <v>1444</v>
      </c>
      <c r="D95" s="17" t="n">
        <v>0</v>
      </c>
      <c r="E95" s="17" t="n">
        <v>0</v>
      </c>
      <c r="F95" s="15" t="s">
        <v>1310</v>
      </c>
      <c r="G95" s="15" t="str">
        <f aca="false">HYPERLINK("#'Forrásszöveg'!A"&amp;(MATCH("TV-S1133",Forrásszöveg!$A$6:$A$2497,0)+5),"Szöveg megnyitása")</f>
        <v>Szöveg megnyitása</v>
      </c>
    </row>
    <row r="96" customFormat="false" ht="34" hidden="false" customHeight="true" outlineLevel="0" collapsed="false">
      <c r="A96" s="15" t="s">
        <v>1299</v>
      </c>
      <c r="B96" s="15" t="s">
        <v>1445</v>
      </c>
      <c r="C96" s="15" t="s">
        <v>1446</v>
      </c>
      <c r="D96" s="17" t="n">
        <v>0</v>
      </c>
      <c r="E96" s="17" t="n">
        <v>0</v>
      </c>
      <c r="F96" s="15" t="s">
        <v>1310</v>
      </c>
      <c r="G96" s="15" t="str">
        <f aca="false">HYPERLINK("#'Forrásszöveg'!A"&amp;(MATCH("TV-S1200",Forrásszöveg!$A$6:$A$2497,0)+5),"Szöveg megnyitása")</f>
        <v>Szöveg megnyitása</v>
      </c>
    </row>
    <row r="97" customFormat="false" ht="34" hidden="false" customHeight="true" outlineLevel="0" collapsed="false">
      <c r="A97" s="15" t="s">
        <v>1299</v>
      </c>
      <c r="B97" s="15" t="s">
        <v>1447</v>
      </c>
      <c r="C97" s="15" t="s">
        <v>1448</v>
      </c>
      <c r="D97" s="17" t="n">
        <v>0</v>
      </c>
      <c r="E97" s="17" t="n">
        <v>0</v>
      </c>
      <c r="F97" s="15" t="s">
        <v>1302</v>
      </c>
      <c r="G97" s="15" t="str">
        <f aca="false">HYPERLINK("#'Forrásszöveg'!A"&amp;(MATCH("TV-S1203",Forrásszöveg!$A$6:$A$2497,0)+5),"Szöveg megnyitása")</f>
        <v>Szöveg megnyitása</v>
      </c>
    </row>
    <row r="98" customFormat="false" ht="34" hidden="false" customHeight="true" outlineLevel="0" collapsed="false">
      <c r="A98" s="15" t="s">
        <v>1299</v>
      </c>
      <c r="B98" s="15" t="s">
        <v>1449</v>
      </c>
      <c r="C98" s="15" t="s">
        <v>1448</v>
      </c>
      <c r="D98" s="17" t="n">
        <v>0</v>
      </c>
      <c r="E98" s="17" t="n">
        <v>0</v>
      </c>
      <c r="F98" s="15" t="s">
        <v>1310</v>
      </c>
      <c r="G98" s="15" t="str">
        <f aca="false">HYPERLINK("#'Forrásszöveg'!A"&amp;(MATCH("TV-S1211",Forrásszöveg!$A$6:$A$2497,0)+5),"Szöveg megnyitása")</f>
        <v>Szöveg megnyitása</v>
      </c>
    </row>
    <row r="99" customFormat="false" ht="34" hidden="false" customHeight="true" outlineLevel="0" collapsed="false">
      <c r="A99" s="15" t="s">
        <v>1299</v>
      </c>
      <c r="B99" s="15" t="s">
        <v>1450</v>
      </c>
      <c r="C99" s="15" t="s">
        <v>1448</v>
      </c>
      <c r="D99" s="17" t="n">
        <v>0</v>
      </c>
      <c r="E99" s="17" t="n">
        <v>0</v>
      </c>
      <c r="F99" s="15" t="s">
        <v>1310</v>
      </c>
      <c r="G99" s="15" t="str">
        <f aca="false">HYPERLINK("#'Forrásszöveg'!A"&amp;(MATCH("TV-S1212",Forrásszöveg!$A$6:$A$2497,0)+5),"Szöveg megnyitása")</f>
        <v>Szöveg megnyitása</v>
      </c>
    </row>
    <row r="100" customFormat="false" ht="34" hidden="false" customHeight="true" outlineLevel="0" collapsed="false">
      <c r="A100" s="15" t="s">
        <v>1299</v>
      </c>
      <c r="B100" s="15" t="s">
        <v>1451</v>
      </c>
      <c r="C100" s="15" t="s">
        <v>1448</v>
      </c>
      <c r="D100" s="17" t="n">
        <v>0</v>
      </c>
      <c r="E100" s="17" t="n">
        <v>0</v>
      </c>
      <c r="F100" s="15" t="s">
        <v>1310</v>
      </c>
      <c r="G100" s="15" t="str">
        <f aca="false">HYPERLINK("#'Forrásszöveg'!A"&amp;(MATCH("TV-S1214",Forrásszöveg!$A$6:$A$2497,0)+5),"Szöveg megnyitása")</f>
        <v>Szöveg megnyitása</v>
      </c>
    </row>
    <row r="101" customFormat="false" ht="34" hidden="false" customHeight="true" outlineLevel="0" collapsed="false">
      <c r="A101" s="15" t="s">
        <v>1299</v>
      </c>
      <c r="B101" s="15" t="s">
        <v>1452</v>
      </c>
      <c r="C101" s="15" t="s">
        <v>1448</v>
      </c>
      <c r="D101" s="17" t="n">
        <v>0</v>
      </c>
      <c r="E101" s="17" t="n">
        <v>0</v>
      </c>
      <c r="F101" s="15" t="s">
        <v>1310</v>
      </c>
      <c r="G101" s="15" t="str">
        <f aca="false">HYPERLINK("#'Forrásszöveg'!A"&amp;(MATCH("TV-S1220",Forrásszöveg!$A$6:$A$2497,0)+5),"Szöveg megnyitása")</f>
        <v>Szöveg megnyitása</v>
      </c>
    </row>
    <row r="102" customFormat="false" ht="34" hidden="false" customHeight="true" outlineLevel="0" collapsed="false">
      <c r="A102" s="15" t="s">
        <v>1299</v>
      </c>
      <c r="B102" s="15" t="s">
        <v>1453</v>
      </c>
      <c r="C102" s="15" t="s">
        <v>1448</v>
      </c>
      <c r="D102" s="17" t="n">
        <v>0</v>
      </c>
      <c r="E102" s="17" t="n">
        <v>0</v>
      </c>
      <c r="F102" s="15" t="s">
        <v>1310</v>
      </c>
      <c r="G102" s="15" t="str">
        <f aca="false">HYPERLINK("#'Forrásszöveg'!A"&amp;(MATCH("TV-S1221",Forrásszöveg!$A$6:$A$2497,0)+5),"Szöveg megnyitása")</f>
        <v>Szöveg megnyitása</v>
      </c>
    </row>
    <row r="103" customFormat="false" ht="34" hidden="false" customHeight="true" outlineLevel="0" collapsed="false">
      <c r="A103" s="15" t="s">
        <v>1299</v>
      </c>
      <c r="B103" s="15" t="s">
        <v>1454</v>
      </c>
      <c r="C103" s="15" t="s">
        <v>1448</v>
      </c>
      <c r="D103" s="17" t="n">
        <v>2</v>
      </c>
      <c r="E103" s="17" t="n">
        <v>0</v>
      </c>
      <c r="F103" s="15" t="s">
        <v>1313</v>
      </c>
      <c r="G103" s="15" t="str">
        <f aca="false">HYPERLINK("#'Forrásszöveg'!A"&amp;(MATCH("TV-S1223",Forrásszöveg!$A$6:$A$2497,0)+5),"Szöveg megnyitása")</f>
        <v>Szöveg megnyitása</v>
      </c>
    </row>
    <row r="104" customFormat="false" ht="38" hidden="false" customHeight="true" outlineLevel="0" collapsed="false">
      <c r="A104" s="15" t="s">
        <v>1299</v>
      </c>
      <c r="B104" s="15" t="s">
        <v>1455</v>
      </c>
      <c r="C104" s="15" t="s">
        <v>1456</v>
      </c>
      <c r="D104" s="17" t="n">
        <v>0</v>
      </c>
      <c r="E104" s="17" t="n">
        <v>0</v>
      </c>
      <c r="F104" s="15" t="s">
        <v>1310</v>
      </c>
      <c r="G104" s="15" t="str">
        <f aca="false">HYPERLINK("#'Forrásszöveg'!A"&amp;(MATCH("TV-S1234",Forrásszöveg!$A$6:$A$2497,0)+5),"Szöveg megnyitása")</f>
        <v>Szöveg megnyitása</v>
      </c>
    </row>
    <row r="105" customFormat="false" ht="34" hidden="false" customHeight="true" outlineLevel="0" collapsed="false">
      <c r="A105" s="15" t="s">
        <v>1299</v>
      </c>
      <c r="B105" s="15" t="s">
        <v>1457</v>
      </c>
      <c r="C105" s="15" t="s">
        <v>1458</v>
      </c>
      <c r="D105" s="17" t="n">
        <v>0</v>
      </c>
      <c r="E105" s="17" t="n">
        <v>0</v>
      </c>
      <c r="F105" s="15" t="s">
        <v>1310</v>
      </c>
      <c r="G105" s="15" t="str">
        <f aca="false">HYPERLINK("#'Forrásszöveg'!A"&amp;(MATCH("TV-S1238",Forrásszöveg!$A$6:$A$2497,0)+5),"Szöveg megnyitása")</f>
        <v>Szöveg megnyitása</v>
      </c>
    </row>
    <row r="106" customFormat="false" ht="34" hidden="false" customHeight="true" outlineLevel="0" collapsed="false">
      <c r="A106" s="15" t="s">
        <v>1299</v>
      </c>
      <c r="B106" s="15" t="s">
        <v>1459</v>
      </c>
      <c r="C106" s="15" t="s">
        <v>1460</v>
      </c>
      <c r="D106" s="17" t="n">
        <v>0</v>
      </c>
      <c r="E106" s="17" t="n">
        <v>0</v>
      </c>
      <c r="F106" s="15" t="s">
        <v>1310</v>
      </c>
      <c r="G106" s="15" t="str">
        <f aca="false">HYPERLINK("#'Forrásszöveg'!A"&amp;(MATCH("TV-S1240",Forrásszöveg!$A$6:$A$2497,0)+5),"Szöveg megnyitása")</f>
        <v>Szöveg megnyitása</v>
      </c>
    </row>
    <row r="107" customFormat="false" ht="34" hidden="false" customHeight="true" outlineLevel="0" collapsed="false">
      <c r="A107" s="15" t="s">
        <v>1299</v>
      </c>
      <c r="B107" s="15" t="s">
        <v>1461</v>
      </c>
      <c r="C107" s="15" t="s">
        <v>1460</v>
      </c>
      <c r="D107" s="17" t="n">
        <v>0</v>
      </c>
      <c r="E107" s="17" t="n">
        <v>0</v>
      </c>
      <c r="F107" s="15" t="s">
        <v>1310</v>
      </c>
      <c r="G107" s="15" t="str">
        <f aca="false">HYPERLINK("#'Forrásszöveg'!A"&amp;(MATCH("TV-S1252",Forrásszöveg!$A$6:$A$2497,0)+5),"Szöveg megnyitása")</f>
        <v>Szöveg megnyitása</v>
      </c>
    </row>
    <row r="108" customFormat="false" ht="34" hidden="false" customHeight="true" outlineLevel="0" collapsed="false">
      <c r="A108" s="15" t="s">
        <v>1299</v>
      </c>
      <c r="B108" s="15" t="s">
        <v>1462</v>
      </c>
      <c r="C108" s="15" t="s">
        <v>1463</v>
      </c>
      <c r="D108" s="17" t="n">
        <v>0</v>
      </c>
      <c r="E108" s="17" t="n">
        <v>0</v>
      </c>
      <c r="F108" s="15" t="s">
        <v>1464</v>
      </c>
      <c r="G108" s="15" t="str">
        <f aca="false">HYPERLINK("#'Forrásszöveg'!A"&amp;(MATCH("TV-S1254",Forrásszöveg!$A$6:$A$2497,0)+5),"Szöveg megnyitása")</f>
        <v>Szöveg megnyitása</v>
      </c>
    </row>
    <row r="109" customFormat="false" ht="34" hidden="false" customHeight="true" outlineLevel="0" collapsed="false">
      <c r="A109" s="15" t="s">
        <v>1299</v>
      </c>
      <c r="B109" s="15" t="s">
        <v>1465</v>
      </c>
      <c r="C109" s="15" t="s">
        <v>1463</v>
      </c>
      <c r="D109" s="17" t="n">
        <v>0</v>
      </c>
      <c r="E109" s="17" t="n">
        <v>0</v>
      </c>
      <c r="F109" s="15" t="s">
        <v>1310</v>
      </c>
      <c r="G109" s="15" t="str">
        <f aca="false">HYPERLINK("#'Forrásszöveg'!A"&amp;(MATCH("TV-S1255",Forrásszöveg!$A$6:$A$2497,0)+5),"Szöveg megnyitása")</f>
        <v>Szöveg megnyitása</v>
      </c>
    </row>
    <row r="110" customFormat="false" ht="34" hidden="false" customHeight="true" outlineLevel="0" collapsed="false">
      <c r="A110" s="15" t="s">
        <v>1299</v>
      </c>
      <c r="B110" s="15" t="s">
        <v>1466</v>
      </c>
      <c r="C110" s="15" t="s">
        <v>1463</v>
      </c>
      <c r="D110" s="17" t="n">
        <v>0</v>
      </c>
      <c r="E110" s="17" t="n">
        <v>0</v>
      </c>
      <c r="F110" s="15" t="s">
        <v>1464</v>
      </c>
      <c r="G110" s="15" t="str">
        <f aca="false">HYPERLINK("#'Forrásszöveg'!A"&amp;(MATCH("TV-S1257",Forrásszöveg!$A$6:$A$2497,0)+5),"Szöveg megnyitása")</f>
        <v>Szöveg megnyitása</v>
      </c>
    </row>
    <row r="111" customFormat="false" ht="38" hidden="false" customHeight="true" outlineLevel="0" collapsed="false">
      <c r="A111" s="15" t="s">
        <v>1299</v>
      </c>
      <c r="B111" s="15" t="s">
        <v>1467</v>
      </c>
      <c r="C111" s="15" t="s">
        <v>1467</v>
      </c>
      <c r="D111" s="17" t="n">
        <v>0</v>
      </c>
      <c r="E111" s="17" t="n">
        <v>0</v>
      </c>
      <c r="F111" s="15" t="s">
        <v>1468</v>
      </c>
      <c r="G111" s="15" t="str">
        <f aca="false">HYPERLINK("#'Forrásszöveg'!A"&amp;(MATCH("TV-S1260",Forrásszöveg!$A$6:$A$2497,0)+5),"Szöveg megnyitása")</f>
        <v>Szöveg megnyitása</v>
      </c>
    </row>
    <row r="112" customFormat="false" ht="38" hidden="false" customHeight="true" outlineLevel="0" collapsed="false">
      <c r="A112" s="15" t="s">
        <v>1299</v>
      </c>
      <c r="B112" s="15" t="s">
        <v>1469</v>
      </c>
      <c r="C112" s="15" t="s">
        <v>1469</v>
      </c>
      <c r="D112" s="17" t="n">
        <v>0</v>
      </c>
      <c r="E112" s="17" t="n">
        <v>0</v>
      </c>
      <c r="F112" s="15" t="s">
        <v>1468</v>
      </c>
      <c r="G112" s="15" t="str">
        <f aca="false">HYPERLINK("#'Forrásszöveg'!A"&amp;(MATCH("TV-S1279",Forrásszöveg!$A$6:$A$2497,0)+5),"Szöveg megnyitása")</f>
        <v>Szöveg megnyitása</v>
      </c>
    </row>
    <row r="113" customFormat="false" ht="38" hidden="false" customHeight="true" outlineLevel="0" collapsed="false">
      <c r="A113" s="15" t="s">
        <v>1299</v>
      </c>
      <c r="B113" s="15" t="s">
        <v>1470</v>
      </c>
      <c r="C113" s="15" t="s">
        <v>1470</v>
      </c>
      <c r="D113" s="17" t="n">
        <v>0</v>
      </c>
      <c r="E113" s="17" t="n">
        <v>0</v>
      </c>
      <c r="F113" s="15" t="s">
        <v>1468</v>
      </c>
      <c r="G113" s="15" t="str">
        <f aca="false">HYPERLINK("#'Forrásszöveg'!A"&amp;(MATCH("TV-S1305",Forrásszöveg!$A$6:$A$2497,0)+5),"Szöveg megnyitása")</f>
        <v>Szöveg megnyitása</v>
      </c>
    </row>
    <row r="114" customFormat="false" ht="34" hidden="false" customHeight="true" outlineLevel="0" collapsed="false">
      <c r="A114" s="15" t="s">
        <v>1471</v>
      </c>
      <c r="B114" s="15" t="s">
        <v>1300</v>
      </c>
      <c r="C114" s="15" t="s">
        <v>1472</v>
      </c>
      <c r="D114" s="17" t="n">
        <v>0</v>
      </c>
      <c r="E114" s="17" t="n">
        <v>0</v>
      </c>
      <c r="F114" s="15" t="s">
        <v>1302</v>
      </c>
      <c r="G114" s="15" t="str">
        <f aca="false">HYPERLINK("#'Forrásszöveg'!A"&amp;(MATCH("VHR-S0032",Forrásszöveg!$A$6:$A$2497,0)+5),"Szöveg megnyitása")</f>
        <v>Szöveg megnyitása</v>
      </c>
    </row>
    <row r="115" customFormat="false" ht="34" hidden="false" customHeight="true" outlineLevel="0" collapsed="false">
      <c r="A115" s="15" t="s">
        <v>1471</v>
      </c>
      <c r="B115" s="15" t="s">
        <v>1303</v>
      </c>
      <c r="C115" s="15" t="s">
        <v>1306</v>
      </c>
      <c r="D115" s="17" t="n">
        <v>0</v>
      </c>
      <c r="E115" s="17" t="n">
        <v>0</v>
      </c>
      <c r="F115" s="15" t="s">
        <v>1307</v>
      </c>
      <c r="G115" s="15" t="str">
        <f aca="false">HYPERLINK("#'Forrásszöveg'!A"&amp;(MATCH("VHR-S0052",Forrásszöveg!$A$6:$A$2497,0)+5),"Szöveg megnyitása")</f>
        <v>Szöveg megnyitása</v>
      </c>
    </row>
    <row r="116" customFormat="false" ht="34" hidden="false" customHeight="true" outlineLevel="0" collapsed="false">
      <c r="A116" s="15" t="s">
        <v>1471</v>
      </c>
      <c r="B116" s="15" t="s">
        <v>1304</v>
      </c>
      <c r="C116" s="15" t="s">
        <v>1473</v>
      </c>
      <c r="D116" s="17" t="n">
        <v>4</v>
      </c>
      <c r="E116" s="17" t="n">
        <v>1</v>
      </c>
      <c r="F116" s="15" t="s">
        <v>1313</v>
      </c>
      <c r="G116" s="15" t="str">
        <f aca="false">HYPERLINK("#'Forrásszöveg'!A"&amp;(MATCH("VHR-S0084",Forrásszöveg!$A$6:$A$2497,0)+5),"Szöveg megnyitása")</f>
        <v>Szöveg megnyitása</v>
      </c>
    </row>
    <row r="117" customFormat="false" ht="34" hidden="false" customHeight="true" outlineLevel="0" collapsed="false">
      <c r="A117" s="15" t="s">
        <v>1471</v>
      </c>
      <c r="B117" s="15" t="s">
        <v>1305</v>
      </c>
      <c r="C117" s="15" t="s">
        <v>1474</v>
      </c>
      <c r="D117" s="17" t="n">
        <v>2</v>
      </c>
      <c r="E117" s="17" t="n">
        <v>0</v>
      </c>
      <c r="F117" s="15" t="s">
        <v>1313</v>
      </c>
      <c r="G117" s="15" t="str">
        <f aca="false">HYPERLINK("#'Forrásszöveg'!A"&amp;(MATCH("VHR-S0093",Forrásszöveg!$A$6:$A$2497,0)+5),"Szöveg megnyitása")</f>
        <v>Szöveg megnyitása</v>
      </c>
    </row>
    <row r="118" customFormat="false" ht="34" hidden="false" customHeight="true" outlineLevel="0" collapsed="false">
      <c r="A118" s="15" t="s">
        <v>1471</v>
      </c>
      <c r="B118" s="15" t="s">
        <v>1308</v>
      </c>
      <c r="C118" s="15" t="s">
        <v>1475</v>
      </c>
      <c r="D118" s="17" t="n">
        <v>2</v>
      </c>
      <c r="E118" s="17" t="n">
        <v>0</v>
      </c>
      <c r="F118" s="15" t="s">
        <v>1313</v>
      </c>
      <c r="G118" s="15" t="str">
        <f aca="false">HYPERLINK("#'Forrásszöveg'!A"&amp;(MATCH("VHR-S0096",Forrásszöveg!$A$6:$A$2497,0)+5),"Szöveg megnyitása")</f>
        <v>Szöveg megnyitása</v>
      </c>
    </row>
    <row r="119" customFormat="false" ht="34" hidden="false" customHeight="true" outlineLevel="0" collapsed="false">
      <c r="A119" s="15" t="s">
        <v>1471</v>
      </c>
      <c r="B119" s="15" t="s">
        <v>1311</v>
      </c>
      <c r="C119" s="15" t="s">
        <v>1476</v>
      </c>
      <c r="D119" s="17" t="n">
        <v>1</v>
      </c>
      <c r="E119" s="17" t="n">
        <v>0</v>
      </c>
      <c r="F119" s="15" t="s">
        <v>1313</v>
      </c>
      <c r="G119" s="15" t="str">
        <f aca="false">HYPERLINK("#'Forrásszöveg'!A"&amp;(MATCH("VHR-S0099",Forrásszöveg!$A$6:$A$2497,0)+5),"Szöveg megnyitása")</f>
        <v>Szöveg megnyitása</v>
      </c>
    </row>
    <row r="120" customFormat="false" ht="34" hidden="false" customHeight="true" outlineLevel="0" collapsed="false">
      <c r="A120" s="15" t="s">
        <v>1471</v>
      </c>
      <c r="B120" s="15" t="s">
        <v>1314</v>
      </c>
      <c r="C120" s="15" t="s">
        <v>1476</v>
      </c>
      <c r="D120" s="17" t="n">
        <v>1</v>
      </c>
      <c r="E120" s="17" t="n">
        <v>0</v>
      </c>
      <c r="F120" s="15" t="s">
        <v>1313</v>
      </c>
      <c r="G120" s="15" t="str">
        <f aca="false">HYPERLINK("#'Forrásszöveg'!A"&amp;(MATCH("VHR-S0103",Forrásszöveg!$A$6:$A$2497,0)+5),"Szöveg megnyitása")</f>
        <v>Szöveg megnyitása</v>
      </c>
    </row>
    <row r="121" customFormat="false" ht="34" hidden="false" customHeight="true" outlineLevel="0" collapsed="false">
      <c r="A121" s="15" t="s">
        <v>1471</v>
      </c>
      <c r="B121" s="15" t="s">
        <v>1315</v>
      </c>
      <c r="C121" s="15" t="s">
        <v>1477</v>
      </c>
      <c r="D121" s="17" t="n">
        <v>2</v>
      </c>
      <c r="E121" s="17" t="n">
        <v>0</v>
      </c>
      <c r="F121" s="15" t="s">
        <v>1313</v>
      </c>
      <c r="G121" s="15" t="str">
        <f aca="false">HYPERLINK("#'Forrásszöveg'!A"&amp;(MATCH("VHR-S0105",Forrásszöveg!$A$6:$A$2497,0)+5),"Szöveg megnyitása")</f>
        <v>Szöveg megnyitása</v>
      </c>
    </row>
    <row r="122" customFormat="false" ht="34" hidden="false" customHeight="true" outlineLevel="0" collapsed="false">
      <c r="A122" s="15" t="s">
        <v>1471</v>
      </c>
      <c r="B122" s="15" t="s">
        <v>1316</v>
      </c>
      <c r="C122" s="15" t="s">
        <v>1477</v>
      </c>
      <c r="D122" s="17" t="n">
        <v>3</v>
      </c>
      <c r="E122" s="17" t="n">
        <v>0</v>
      </c>
      <c r="F122" s="15" t="s">
        <v>1313</v>
      </c>
      <c r="G122" s="15" t="str">
        <f aca="false">HYPERLINK("#'Forrásszöveg'!A"&amp;(MATCH("VHR-S0111",Forrásszöveg!$A$6:$A$2497,0)+5),"Szöveg megnyitása")</f>
        <v>Szöveg megnyitása</v>
      </c>
    </row>
    <row r="123" customFormat="false" ht="34" hidden="false" customHeight="true" outlineLevel="0" collapsed="false">
      <c r="A123" s="15" t="s">
        <v>1471</v>
      </c>
      <c r="B123" s="15" t="s">
        <v>1318</v>
      </c>
      <c r="C123" s="15" t="s">
        <v>1478</v>
      </c>
      <c r="D123" s="17" t="n">
        <v>4</v>
      </c>
      <c r="E123" s="17" t="n">
        <v>1</v>
      </c>
      <c r="F123" s="15" t="s">
        <v>1313</v>
      </c>
      <c r="G123" s="15" t="str">
        <f aca="false">HYPERLINK("#'Forrásszöveg'!A"&amp;(MATCH("VHR-S0115",Forrásszöveg!$A$6:$A$2497,0)+5),"Szöveg megnyitása")</f>
        <v>Szöveg megnyitása</v>
      </c>
    </row>
    <row r="124" customFormat="false" ht="38" hidden="false" customHeight="true" outlineLevel="0" collapsed="false">
      <c r="A124" s="15" t="s">
        <v>1471</v>
      </c>
      <c r="B124" s="15" t="s">
        <v>1320</v>
      </c>
      <c r="C124" s="15" t="s">
        <v>1479</v>
      </c>
      <c r="D124" s="17" t="n">
        <v>5</v>
      </c>
      <c r="E124" s="17" t="n">
        <v>1</v>
      </c>
      <c r="F124" s="15" t="s">
        <v>1313</v>
      </c>
      <c r="G124" s="15" t="str">
        <f aca="false">HYPERLINK("#'Forrásszöveg'!A"&amp;(MATCH("VHR-S0126",Forrásszöveg!$A$6:$A$2497,0)+5),"Szöveg megnyitása")</f>
        <v>Szöveg megnyitása</v>
      </c>
    </row>
    <row r="125" customFormat="false" ht="38" hidden="false" customHeight="true" outlineLevel="0" collapsed="false">
      <c r="A125" s="15" t="s">
        <v>1471</v>
      </c>
      <c r="B125" s="15" t="s">
        <v>1322</v>
      </c>
      <c r="C125" s="15" t="s">
        <v>1479</v>
      </c>
      <c r="D125" s="17" t="n">
        <v>15</v>
      </c>
      <c r="E125" s="17" t="n">
        <v>1</v>
      </c>
      <c r="F125" s="15" t="s">
        <v>1313</v>
      </c>
      <c r="G125" s="15" t="str">
        <f aca="false">HYPERLINK("#'Forrásszöveg'!A"&amp;(MATCH("VHR-S0138",Forrásszöveg!$A$6:$A$2497,0)+5),"Szöveg megnyitása")</f>
        <v>Szöveg megnyitása</v>
      </c>
    </row>
    <row r="126" customFormat="false" ht="38" hidden="false" customHeight="true" outlineLevel="0" collapsed="false">
      <c r="A126" s="15" t="s">
        <v>1471</v>
      </c>
      <c r="B126" s="15" t="s">
        <v>1324</v>
      </c>
      <c r="C126" s="15" t="s">
        <v>1480</v>
      </c>
      <c r="D126" s="17" t="n">
        <v>5</v>
      </c>
      <c r="E126" s="17" t="n">
        <v>1</v>
      </c>
      <c r="F126" s="15" t="s">
        <v>1313</v>
      </c>
      <c r="G126" s="15" t="str">
        <f aca="false">HYPERLINK("#'Forrásszöveg'!A"&amp;(MATCH("VHR-S0156",Forrásszöveg!$A$6:$A$2497,0)+5),"Szöveg megnyitása")</f>
        <v>Szöveg megnyitása</v>
      </c>
    </row>
    <row r="127" customFormat="false" ht="38" hidden="false" customHeight="true" outlineLevel="0" collapsed="false">
      <c r="A127" s="15" t="s">
        <v>1471</v>
      </c>
      <c r="B127" s="15" t="s">
        <v>1327</v>
      </c>
      <c r="C127" s="15" t="s">
        <v>1480</v>
      </c>
      <c r="D127" s="17" t="n">
        <v>2</v>
      </c>
      <c r="E127" s="17" t="n">
        <v>0</v>
      </c>
      <c r="F127" s="15" t="s">
        <v>1313</v>
      </c>
      <c r="G127" s="15" t="str">
        <f aca="false">HYPERLINK("#'Forrásszöveg'!A"&amp;(MATCH("VHR-S0165",Forrásszöveg!$A$6:$A$2497,0)+5),"Szöveg megnyitása")</f>
        <v>Szöveg megnyitása</v>
      </c>
    </row>
    <row r="128" customFormat="false" ht="38" hidden="false" customHeight="true" outlineLevel="0" collapsed="false">
      <c r="A128" s="15" t="s">
        <v>1471</v>
      </c>
      <c r="B128" s="15" t="s">
        <v>1328</v>
      </c>
      <c r="C128" s="15" t="s">
        <v>1481</v>
      </c>
      <c r="D128" s="17" t="n">
        <v>4</v>
      </c>
      <c r="E128" s="17" t="n">
        <v>0</v>
      </c>
      <c r="F128" s="15" t="s">
        <v>1313</v>
      </c>
      <c r="G128" s="15" t="str">
        <f aca="false">HYPERLINK("#'Forrásszöveg'!A"&amp;(MATCH("VHR-S0169",Forrásszöveg!$A$6:$A$2497,0)+5),"Szöveg megnyitása")</f>
        <v>Szöveg megnyitása</v>
      </c>
    </row>
    <row r="129" customFormat="false" ht="38" hidden="false" customHeight="true" outlineLevel="0" collapsed="false">
      <c r="A129" s="15" t="s">
        <v>1471</v>
      </c>
      <c r="B129" s="15" t="s">
        <v>1329</v>
      </c>
      <c r="C129" s="15" t="s">
        <v>1482</v>
      </c>
      <c r="D129" s="17" t="n">
        <v>0</v>
      </c>
      <c r="E129" s="17" t="n">
        <v>0</v>
      </c>
      <c r="F129" s="15" t="s">
        <v>1302</v>
      </c>
      <c r="G129" s="15" t="str">
        <f aca="false">HYPERLINK("#'Forrásszöveg'!A"&amp;(MATCH("VHR-S0186",Forrásszöveg!$A$6:$A$2497,0)+5),"Szöveg megnyitása")</f>
        <v>Szöveg megnyitása</v>
      </c>
    </row>
    <row r="130" customFormat="false" ht="38" hidden="false" customHeight="true" outlineLevel="0" collapsed="false">
      <c r="A130" s="15" t="s">
        <v>1471</v>
      </c>
      <c r="B130" s="15" t="s">
        <v>1331</v>
      </c>
      <c r="C130" s="15" t="s">
        <v>1482</v>
      </c>
      <c r="D130" s="17" t="n">
        <v>1</v>
      </c>
      <c r="E130" s="17" t="n">
        <v>14</v>
      </c>
      <c r="F130" s="15" t="s">
        <v>1313</v>
      </c>
      <c r="G130" s="15" t="str">
        <f aca="false">HYPERLINK("#'Forrásszöveg'!A"&amp;(MATCH("VHR-S0192",Forrásszöveg!$A$6:$A$2497,0)+5),"Szöveg megnyitása")</f>
        <v>Szöveg megnyitása</v>
      </c>
    </row>
    <row r="131" customFormat="false" ht="38" hidden="false" customHeight="true" outlineLevel="0" collapsed="false">
      <c r="A131" s="15" t="s">
        <v>1471</v>
      </c>
      <c r="B131" s="15" t="s">
        <v>1333</v>
      </c>
      <c r="C131" s="15" t="s">
        <v>1482</v>
      </c>
      <c r="D131" s="17" t="n">
        <v>0</v>
      </c>
      <c r="E131" s="17" t="n">
        <v>0</v>
      </c>
      <c r="F131" s="15" t="s">
        <v>1310</v>
      </c>
      <c r="G131" s="15" t="str">
        <f aca="false">HYPERLINK("#'Forrásszöveg'!A"&amp;(MATCH("VHR-S0213",Forrásszöveg!$A$6:$A$2497,0)+5),"Szöveg megnyitása")</f>
        <v>Szöveg megnyitása</v>
      </c>
    </row>
    <row r="132" customFormat="false" ht="38" hidden="false" customHeight="true" outlineLevel="0" collapsed="false">
      <c r="A132" s="15" t="s">
        <v>1471</v>
      </c>
      <c r="B132" s="15" t="s">
        <v>1483</v>
      </c>
      <c r="C132" s="15" t="s">
        <v>1482</v>
      </c>
      <c r="D132" s="17" t="n">
        <v>0</v>
      </c>
      <c r="E132" s="17" t="n">
        <v>0</v>
      </c>
      <c r="F132" s="15" t="s">
        <v>1310</v>
      </c>
      <c r="G132" s="15" t="str">
        <f aca="false">HYPERLINK("#'Forrásszöveg'!A"&amp;(MATCH("VHR-S0226",Forrásszöveg!$A$6:$A$2497,0)+5),"Szöveg megnyitása")</f>
        <v>Szöveg megnyitása</v>
      </c>
    </row>
    <row r="133" customFormat="false" ht="38" hidden="false" customHeight="true" outlineLevel="0" collapsed="false">
      <c r="A133" s="15" t="s">
        <v>1471</v>
      </c>
      <c r="B133" s="15" t="s">
        <v>1335</v>
      </c>
      <c r="C133" s="15" t="s">
        <v>1482</v>
      </c>
      <c r="D133" s="17" t="n">
        <v>0</v>
      </c>
      <c r="E133" s="17" t="n">
        <v>0</v>
      </c>
      <c r="F133" s="15" t="s">
        <v>1310</v>
      </c>
      <c r="G133" s="15" t="str">
        <f aca="false">HYPERLINK("#'Forrásszöveg'!A"&amp;(MATCH("VHR-S0230",Forrásszöveg!$A$6:$A$2497,0)+5),"Szöveg megnyitása")</f>
        <v>Szöveg megnyitása</v>
      </c>
    </row>
    <row r="134" customFormat="false" ht="38" hidden="false" customHeight="true" outlineLevel="0" collapsed="false">
      <c r="A134" s="15" t="s">
        <v>1471</v>
      </c>
      <c r="B134" s="15" t="s">
        <v>1337</v>
      </c>
      <c r="C134" s="15" t="s">
        <v>1482</v>
      </c>
      <c r="D134" s="17" t="n">
        <v>0</v>
      </c>
      <c r="E134" s="17" t="n">
        <v>0</v>
      </c>
      <c r="F134" s="15" t="s">
        <v>1310</v>
      </c>
      <c r="G134" s="15" t="str">
        <f aca="false">HYPERLINK("#'Forrásszöveg'!A"&amp;(MATCH("VHR-S0231",Forrásszöveg!$A$6:$A$2497,0)+5),"Szöveg megnyitása")</f>
        <v>Szöveg megnyitása</v>
      </c>
    </row>
    <row r="135" customFormat="false" ht="38" hidden="false" customHeight="true" outlineLevel="0" collapsed="false">
      <c r="A135" s="15" t="s">
        <v>1471</v>
      </c>
      <c r="B135" s="15" t="s">
        <v>1339</v>
      </c>
      <c r="C135" s="15" t="s">
        <v>1482</v>
      </c>
      <c r="D135" s="17" t="n">
        <v>0</v>
      </c>
      <c r="E135" s="17" t="n">
        <v>0</v>
      </c>
      <c r="F135" s="15" t="s">
        <v>1310</v>
      </c>
      <c r="G135" s="15" t="str">
        <f aca="false">HYPERLINK("#'Forrásszöveg'!A"&amp;(MATCH("VHR-S0238",Forrásszöveg!$A$6:$A$2497,0)+5),"Szöveg megnyitása")</f>
        <v>Szöveg megnyitása</v>
      </c>
    </row>
    <row r="136" customFormat="false" ht="34" hidden="false" customHeight="true" outlineLevel="0" collapsed="false">
      <c r="A136" s="15" t="s">
        <v>1471</v>
      </c>
      <c r="B136" s="15" t="s">
        <v>1341</v>
      </c>
      <c r="C136" s="15" t="s">
        <v>1484</v>
      </c>
      <c r="D136" s="17" t="n">
        <v>0</v>
      </c>
      <c r="E136" s="17" t="n">
        <v>0</v>
      </c>
      <c r="F136" s="15" t="s">
        <v>1310</v>
      </c>
      <c r="G136" s="15" t="str">
        <f aca="false">HYPERLINK("#'Forrásszöveg'!A"&amp;(MATCH("VHR-S0245",Forrásszöveg!$A$6:$A$2497,0)+5),"Szöveg megnyitása")</f>
        <v>Szöveg megnyitása</v>
      </c>
    </row>
    <row r="137" customFormat="false" ht="34" hidden="false" customHeight="true" outlineLevel="0" collapsed="false">
      <c r="A137" s="15" t="s">
        <v>1471</v>
      </c>
      <c r="B137" s="15" t="s">
        <v>1342</v>
      </c>
      <c r="C137" s="15" t="s">
        <v>1484</v>
      </c>
      <c r="D137" s="17" t="n">
        <v>0</v>
      </c>
      <c r="E137" s="17" t="n">
        <v>0</v>
      </c>
      <c r="F137" s="15" t="s">
        <v>1310</v>
      </c>
      <c r="G137" s="15" t="str">
        <f aca="false">HYPERLINK("#'Forrásszöveg'!A"&amp;(MATCH("VHR-S0250",Forrásszöveg!$A$6:$A$2497,0)+5),"Szöveg megnyitása")</f>
        <v>Szöveg megnyitása</v>
      </c>
    </row>
    <row r="138" customFormat="false" ht="34" hidden="false" customHeight="true" outlineLevel="0" collapsed="false">
      <c r="A138" s="15" t="s">
        <v>1471</v>
      </c>
      <c r="B138" s="15" t="s">
        <v>1344</v>
      </c>
      <c r="C138" s="15" t="s">
        <v>1484</v>
      </c>
      <c r="D138" s="17" t="n">
        <v>0</v>
      </c>
      <c r="E138" s="17" t="n">
        <v>0</v>
      </c>
      <c r="F138" s="15" t="s">
        <v>1310</v>
      </c>
      <c r="G138" s="15" t="str">
        <f aca="false">HYPERLINK("#'Forrásszöveg'!A"&amp;(MATCH("VHR-S0255",Forrásszöveg!$A$6:$A$2497,0)+5),"Szöveg megnyitása")</f>
        <v>Szöveg megnyitása</v>
      </c>
    </row>
    <row r="139" customFormat="false" ht="34" hidden="false" customHeight="true" outlineLevel="0" collapsed="false">
      <c r="A139" s="15" t="s">
        <v>1471</v>
      </c>
      <c r="B139" s="15" t="s">
        <v>1346</v>
      </c>
      <c r="C139" s="15" t="s">
        <v>1484</v>
      </c>
      <c r="D139" s="17" t="n">
        <v>0</v>
      </c>
      <c r="E139" s="17" t="n">
        <v>0</v>
      </c>
      <c r="F139" s="15" t="s">
        <v>1310</v>
      </c>
      <c r="G139" s="15" t="str">
        <f aca="false">HYPERLINK("#'Forrásszöveg'!A"&amp;(MATCH("VHR-S0259",Forrásszöveg!$A$6:$A$2497,0)+5),"Szöveg megnyitása")</f>
        <v>Szöveg megnyitása</v>
      </c>
    </row>
    <row r="140" customFormat="false" ht="38" hidden="false" customHeight="true" outlineLevel="0" collapsed="false">
      <c r="A140" s="15" t="s">
        <v>1471</v>
      </c>
      <c r="B140" s="15" t="s">
        <v>1348</v>
      </c>
      <c r="C140" s="15" t="s">
        <v>1485</v>
      </c>
      <c r="D140" s="17" t="n">
        <v>0</v>
      </c>
      <c r="E140" s="17" t="n">
        <v>0</v>
      </c>
      <c r="F140" s="15" t="s">
        <v>1310</v>
      </c>
      <c r="G140" s="15" t="str">
        <f aca="false">HYPERLINK("#'Forrásszöveg'!A"&amp;(MATCH("VHR-S0276",Forrásszöveg!$A$6:$A$2497,0)+5),"Szöveg megnyitása")</f>
        <v>Szöveg megnyitása</v>
      </c>
    </row>
    <row r="141" customFormat="false" ht="38" hidden="false" customHeight="true" outlineLevel="0" collapsed="false">
      <c r="A141" s="15" t="s">
        <v>1471</v>
      </c>
      <c r="B141" s="15" t="s">
        <v>1350</v>
      </c>
      <c r="C141" s="15" t="s">
        <v>1485</v>
      </c>
      <c r="D141" s="17" t="n">
        <v>0</v>
      </c>
      <c r="E141" s="17" t="n">
        <v>0</v>
      </c>
      <c r="F141" s="15" t="s">
        <v>1310</v>
      </c>
      <c r="G141" s="15" t="str">
        <f aca="false">HYPERLINK("#'Forrásszöveg'!A"&amp;(MATCH("VHR-S0290",Forrásszöveg!$A$6:$A$2497,0)+5),"Szöveg megnyitása")</f>
        <v>Szöveg megnyitása</v>
      </c>
    </row>
    <row r="142" customFormat="false" ht="38" hidden="false" customHeight="true" outlineLevel="0" collapsed="false">
      <c r="A142" s="15" t="s">
        <v>1471</v>
      </c>
      <c r="B142" s="15" t="s">
        <v>1351</v>
      </c>
      <c r="C142" s="15" t="s">
        <v>1485</v>
      </c>
      <c r="D142" s="17" t="n">
        <v>0</v>
      </c>
      <c r="E142" s="17" t="n">
        <v>0</v>
      </c>
      <c r="F142" s="15" t="s">
        <v>1310</v>
      </c>
      <c r="G142" s="15" t="str">
        <f aca="false">HYPERLINK("#'Forrásszöveg'!A"&amp;(MATCH("VHR-S0296",Forrásszöveg!$A$6:$A$2497,0)+5),"Szöveg megnyitása")</f>
        <v>Szöveg megnyitása</v>
      </c>
    </row>
    <row r="143" customFormat="false" ht="34" hidden="false" customHeight="true" outlineLevel="0" collapsed="false">
      <c r="A143" s="15" t="s">
        <v>1471</v>
      </c>
      <c r="B143" s="15" t="s">
        <v>1353</v>
      </c>
      <c r="C143" s="15" t="s">
        <v>1486</v>
      </c>
      <c r="D143" s="17" t="n">
        <v>0</v>
      </c>
      <c r="E143" s="17" t="n">
        <v>0</v>
      </c>
      <c r="F143" s="15" t="s">
        <v>1310</v>
      </c>
      <c r="G143" s="15" t="str">
        <f aca="false">HYPERLINK("#'Forrásszöveg'!A"&amp;(MATCH("VHR-S0298",Forrásszöveg!$A$6:$A$2497,0)+5),"Szöveg megnyitása")</f>
        <v>Szöveg megnyitása</v>
      </c>
    </row>
    <row r="144" customFormat="false" ht="34" hidden="false" customHeight="true" outlineLevel="0" collapsed="false">
      <c r="A144" s="15" t="s">
        <v>1471</v>
      </c>
      <c r="B144" s="15" t="s">
        <v>1354</v>
      </c>
      <c r="C144" s="15" t="s">
        <v>1487</v>
      </c>
      <c r="D144" s="17" t="n">
        <v>0</v>
      </c>
      <c r="E144" s="17" t="n">
        <v>0</v>
      </c>
      <c r="F144" s="15" t="s">
        <v>1310</v>
      </c>
      <c r="G144" s="15" t="str">
        <f aca="false">HYPERLINK("#'Forrásszöveg'!A"&amp;(MATCH("VHR-S0303",Forrásszöveg!$A$6:$A$2497,0)+5),"Szöveg megnyitása")</f>
        <v>Szöveg megnyitása</v>
      </c>
    </row>
    <row r="145" customFormat="false" ht="38" hidden="false" customHeight="true" outlineLevel="0" collapsed="false">
      <c r="A145" s="15" t="s">
        <v>1471</v>
      </c>
      <c r="B145" s="15" t="s">
        <v>1356</v>
      </c>
      <c r="C145" s="15" t="s">
        <v>1488</v>
      </c>
      <c r="D145" s="17" t="n">
        <v>0</v>
      </c>
      <c r="E145" s="17" t="n">
        <v>0</v>
      </c>
      <c r="F145" s="15" t="s">
        <v>1310</v>
      </c>
      <c r="G145" s="15" t="str">
        <f aca="false">HYPERLINK("#'Forrásszöveg'!A"&amp;(MATCH("VHR-S0310",Forrásszöveg!$A$6:$A$2497,0)+5),"Szöveg megnyitása")</f>
        <v>Szöveg megnyitása</v>
      </c>
    </row>
    <row r="146" customFormat="false" ht="34" hidden="false" customHeight="true" outlineLevel="0" collapsed="false">
      <c r="A146" s="15" t="s">
        <v>1471</v>
      </c>
      <c r="B146" s="15" t="s">
        <v>1357</v>
      </c>
      <c r="C146" s="15" t="s">
        <v>1489</v>
      </c>
      <c r="D146" s="17" t="n">
        <v>0</v>
      </c>
      <c r="E146" s="17" t="n">
        <v>0</v>
      </c>
      <c r="F146" s="15" t="s">
        <v>1310</v>
      </c>
      <c r="G146" s="15" t="str">
        <f aca="false">HYPERLINK("#'Forrásszöveg'!A"&amp;(MATCH("VHR-S0316",Forrásszöveg!$A$6:$A$2497,0)+5),"Szöveg megnyitása")</f>
        <v>Szöveg megnyitása</v>
      </c>
    </row>
    <row r="147" customFormat="false" ht="34" hidden="false" customHeight="true" outlineLevel="0" collapsed="false">
      <c r="A147" s="15" t="s">
        <v>1471</v>
      </c>
      <c r="B147" s="15" t="s">
        <v>1358</v>
      </c>
      <c r="C147" s="15" t="s">
        <v>1489</v>
      </c>
      <c r="D147" s="17" t="n">
        <v>0</v>
      </c>
      <c r="E147" s="17" t="n">
        <v>0</v>
      </c>
      <c r="F147" s="15" t="s">
        <v>1310</v>
      </c>
      <c r="G147" s="15" t="str">
        <f aca="false">HYPERLINK("#'Forrásszöveg'!A"&amp;(MATCH("VHR-S0321",Forrásszöveg!$A$6:$A$2497,0)+5),"Szöveg megnyitása")</f>
        <v>Szöveg megnyitása</v>
      </c>
    </row>
    <row r="148" customFormat="false" ht="34" hidden="false" customHeight="true" outlineLevel="0" collapsed="false">
      <c r="A148" s="15" t="s">
        <v>1471</v>
      </c>
      <c r="B148" s="15" t="s">
        <v>1360</v>
      </c>
      <c r="C148" s="15" t="s">
        <v>1489</v>
      </c>
      <c r="D148" s="17" t="n">
        <v>0</v>
      </c>
      <c r="E148" s="17" t="n">
        <v>0</v>
      </c>
      <c r="F148" s="15" t="s">
        <v>1310</v>
      </c>
      <c r="G148" s="15" t="str">
        <f aca="false">HYPERLINK("#'Forrásszöveg'!A"&amp;(MATCH("VHR-S0328",Forrásszöveg!$A$6:$A$2497,0)+5),"Szöveg megnyitása")</f>
        <v>Szöveg megnyitása</v>
      </c>
    </row>
    <row r="149" customFormat="false" ht="34" hidden="false" customHeight="true" outlineLevel="0" collapsed="false">
      <c r="A149" s="15" t="s">
        <v>1471</v>
      </c>
      <c r="B149" s="15" t="s">
        <v>1361</v>
      </c>
      <c r="C149" s="15" t="s">
        <v>1489</v>
      </c>
      <c r="D149" s="17" t="n">
        <v>0</v>
      </c>
      <c r="E149" s="17" t="n">
        <v>0</v>
      </c>
      <c r="F149" s="15" t="s">
        <v>1310</v>
      </c>
      <c r="G149" s="15" t="str">
        <f aca="false">HYPERLINK("#'Forrásszöveg'!A"&amp;(MATCH("VHR-S0335",Forrásszöveg!$A$6:$A$2497,0)+5),"Szöveg megnyitása")</f>
        <v>Szöveg megnyitása</v>
      </c>
    </row>
    <row r="150" customFormat="false" ht="34" hidden="false" customHeight="true" outlineLevel="0" collapsed="false">
      <c r="A150" s="15" t="s">
        <v>1471</v>
      </c>
      <c r="B150" s="15" t="s">
        <v>1362</v>
      </c>
      <c r="C150" s="15" t="s">
        <v>1489</v>
      </c>
      <c r="D150" s="17" t="n">
        <v>0</v>
      </c>
      <c r="E150" s="17" t="n">
        <v>0</v>
      </c>
      <c r="F150" s="15" t="s">
        <v>1310</v>
      </c>
      <c r="G150" s="15" t="str">
        <f aca="false">HYPERLINK("#'Forrásszöveg'!A"&amp;(MATCH("VHR-S0338",Forrásszöveg!$A$6:$A$2497,0)+5),"Szöveg megnyitása")</f>
        <v>Szöveg megnyitása</v>
      </c>
    </row>
    <row r="151" customFormat="false" ht="34" hidden="false" customHeight="true" outlineLevel="0" collapsed="false">
      <c r="A151" s="15" t="s">
        <v>1471</v>
      </c>
      <c r="B151" s="15" t="s">
        <v>1364</v>
      </c>
      <c r="C151" s="15" t="s">
        <v>1490</v>
      </c>
      <c r="D151" s="17" t="n">
        <v>0</v>
      </c>
      <c r="E151" s="17" t="n">
        <v>0</v>
      </c>
      <c r="F151" s="15" t="s">
        <v>1310</v>
      </c>
      <c r="G151" s="15" t="str">
        <f aca="false">HYPERLINK("#'Forrásszöveg'!A"&amp;(MATCH("VHR-S0340",Forrásszöveg!$A$6:$A$2497,0)+5),"Szöveg megnyitása")</f>
        <v>Szöveg megnyitása</v>
      </c>
    </row>
    <row r="152" customFormat="false" ht="34" hidden="false" customHeight="true" outlineLevel="0" collapsed="false">
      <c r="A152" s="15" t="s">
        <v>1471</v>
      </c>
      <c r="B152" s="15" t="s">
        <v>1365</v>
      </c>
      <c r="C152" s="15" t="s">
        <v>1490</v>
      </c>
      <c r="D152" s="17" t="n">
        <v>0</v>
      </c>
      <c r="E152" s="17" t="n">
        <v>0</v>
      </c>
      <c r="F152" s="15" t="s">
        <v>1310</v>
      </c>
      <c r="G152" s="15" t="str">
        <f aca="false">HYPERLINK("#'Forrásszöveg'!A"&amp;(MATCH("VHR-S0344",Forrásszöveg!$A$6:$A$2497,0)+5),"Szöveg megnyitása")</f>
        <v>Szöveg megnyitása</v>
      </c>
    </row>
    <row r="153" customFormat="false" ht="34" hidden="false" customHeight="true" outlineLevel="0" collapsed="false">
      <c r="A153" s="15" t="s">
        <v>1471</v>
      </c>
      <c r="B153" s="15" t="s">
        <v>1367</v>
      </c>
      <c r="C153" s="15" t="s">
        <v>1490</v>
      </c>
      <c r="D153" s="17" t="n">
        <v>0</v>
      </c>
      <c r="E153" s="17" t="n">
        <v>0</v>
      </c>
      <c r="F153" s="15" t="s">
        <v>1310</v>
      </c>
      <c r="G153" s="15" t="str">
        <f aca="false">HYPERLINK("#'Forrásszöveg'!A"&amp;(MATCH("VHR-S0363",Forrásszöveg!$A$6:$A$2497,0)+5),"Szöveg megnyitása")</f>
        <v>Szöveg megnyitása</v>
      </c>
    </row>
    <row r="154" customFormat="false" ht="34" hidden="false" customHeight="true" outlineLevel="0" collapsed="false">
      <c r="A154" s="15" t="s">
        <v>1471</v>
      </c>
      <c r="B154" s="15" t="s">
        <v>1368</v>
      </c>
      <c r="C154" s="15" t="s">
        <v>1491</v>
      </c>
      <c r="D154" s="17" t="n">
        <v>0</v>
      </c>
      <c r="E154" s="17" t="n">
        <v>0</v>
      </c>
      <c r="F154" s="15" t="s">
        <v>1310</v>
      </c>
      <c r="G154" s="15" t="str">
        <f aca="false">HYPERLINK("#'Forrásszöveg'!A"&amp;(MATCH("VHR-S0372",Forrásszöveg!$A$6:$A$2497,0)+5),"Szöveg megnyitása")</f>
        <v>Szöveg megnyitása</v>
      </c>
    </row>
    <row r="155" customFormat="false" ht="34" hidden="false" customHeight="true" outlineLevel="0" collapsed="false">
      <c r="A155" s="15" t="s">
        <v>1471</v>
      </c>
      <c r="B155" s="15" t="s">
        <v>1370</v>
      </c>
      <c r="C155" s="15" t="s">
        <v>1491</v>
      </c>
      <c r="D155" s="17" t="n">
        <v>0</v>
      </c>
      <c r="E155" s="17" t="n">
        <v>0</v>
      </c>
      <c r="F155" s="15" t="s">
        <v>1310</v>
      </c>
      <c r="G155" s="15" t="str">
        <f aca="false">HYPERLINK("#'Forrásszöveg'!A"&amp;(MATCH("VHR-S0384",Forrásszöveg!$A$6:$A$2497,0)+5),"Szöveg megnyitása")</f>
        <v>Szöveg megnyitása</v>
      </c>
    </row>
    <row r="156" customFormat="false" ht="34" hidden="false" customHeight="true" outlineLevel="0" collapsed="false">
      <c r="A156" s="15" t="s">
        <v>1471</v>
      </c>
      <c r="B156" s="15" t="s">
        <v>1372</v>
      </c>
      <c r="C156" s="15" t="s">
        <v>1492</v>
      </c>
      <c r="D156" s="17" t="n">
        <v>0</v>
      </c>
      <c r="E156" s="17" t="n">
        <v>0</v>
      </c>
      <c r="F156" s="15" t="s">
        <v>1310</v>
      </c>
      <c r="G156" s="15" t="str">
        <f aca="false">HYPERLINK("#'Forrásszöveg'!A"&amp;(MATCH("VHR-S0415",Forrásszöveg!$A$6:$A$2497,0)+5),"Szöveg megnyitása")</f>
        <v>Szöveg megnyitása</v>
      </c>
    </row>
    <row r="157" customFormat="false" ht="34" hidden="false" customHeight="true" outlineLevel="0" collapsed="false">
      <c r="A157" s="15" t="s">
        <v>1471</v>
      </c>
      <c r="B157" s="15" t="s">
        <v>1373</v>
      </c>
      <c r="C157" s="15" t="s">
        <v>1492</v>
      </c>
      <c r="D157" s="17" t="n">
        <v>0</v>
      </c>
      <c r="E157" s="17" t="n">
        <v>0</v>
      </c>
      <c r="F157" s="15" t="s">
        <v>1310</v>
      </c>
      <c r="G157" s="15" t="str">
        <f aca="false">HYPERLINK("#'Forrásszöveg'!A"&amp;(MATCH("VHR-S0424",Forrásszöveg!$A$6:$A$2497,0)+5),"Szöveg megnyitása")</f>
        <v>Szöveg megnyitása</v>
      </c>
    </row>
    <row r="158" customFormat="false" ht="34" hidden="false" customHeight="true" outlineLevel="0" collapsed="false">
      <c r="A158" s="15" t="s">
        <v>1471</v>
      </c>
      <c r="B158" s="15" t="s">
        <v>1375</v>
      </c>
      <c r="C158" s="15" t="s">
        <v>1492</v>
      </c>
      <c r="D158" s="17" t="n">
        <v>0</v>
      </c>
      <c r="E158" s="17" t="n">
        <v>0</v>
      </c>
      <c r="F158" s="15" t="s">
        <v>1310</v>
      </c>
      <c r="G158" s="15" t="str">
        <f aca="false">HYPERLINK("#'Forrásszöveg'!A"&amp;(MATCH("VHR-S0425",Forrásszöveg!$A$6:$A$2497,0)+5),"Szöveg megnyitása")</f>
        <v>Szöveg megnyitása</v>
      </c>
    </row>
    <row r="159" customFormat="false" ht="38" hidden="false" customHeight="true" outlineLevel="0" collapsed="false">
      <c r="A159" s="15" t="s">
        <v>1471</v>
      </c>
      <c r="B159" s="15" t="s">
        <v>1376</v>
      </c>
      <c r="C159" s="15" t="s">
        <v>1493</v>
      </c>
      <c r="D159" s="17" t="n">
        <v>0</v>
      </c>
      <c r="E159" s="17" t="n">
        <v>0</v>
      </c>
      <c r="F159" s="15" t="s">
        <v>1310</v>
      </c>
      <c r="G159" s="15" t="str">
        <f aca="false">HYPERLINK("#'Forrásszöveg'!A"&amp;(MATCH("VHR-S0433",Forrásszöveg!$A$6:$A$2497,0)+5),"Szöveg megnyitása")</f>
        <v>Szöveg megnyitása</v>
      </c>
    </row>
    <row r="160" customFormat="false" ht="38" hidden="false" customHeight="true" outlineLevel="0" collapsed="false">
      <c r="A160" s="15" t="s">
        <v>1471</v>
      </c>
      <c r="B160" s="15" t="s">
        <v>1378</v>
      </c>
      <c r="C160" s="15" t="s">
        <v>1493</v>
      </c>
      <c r="D160" s="17" t="n">
        <v>0</v>
      </c>
      <c r="E160" s="17" t="n">
        <v>0</v>
      </c>
      <c r="F160" s="15" t="s">
        <v>1310</v>
      </c>
      <c r="G160" s="15" t="str">
        <f aca="false">HYPERLINK("#'Forrásszöveg'!A"&amp;(MATCH("VHR-S0434",Forrásszöveg!$A$6:$A$2497,0)+5),"Szöveg megnyitása")</f>
        <v>Szöveg megnyitása</v>
      </c>
    </row>
    <row r="161" customFormat="false" ht="38" hidden="false" customHeight="true" outlineLevel="0" collapsed="false">
      <c r="A161" s="15" t="s">
        <v>1471</v>
      </c>
      <c r="B161" s="15" t="s">
        <v>1379</v>
      </c>
      <c r="C161" s="15" t="s">
        <v>1493</v>
      </c>
      <c r="D161" s="17" t="n">
        <v>0</v>
      </c>
      <c r="E161" s="17" t="n">
        <v>0</v>
      </c>
      <c r="F161" s="15" t="s">
        <v>1310</v>
      </c>
      <c r="G161" s="15" t="str">
        <f aca="false">HYPERLINK("#'Forrásszöveg'!A"&amp;(MATCH("VHR-S0438",Forrásszöveg!$A$6:$A$2497,0)+5),"Szöveg megnyitása")</f>
        <v>Szöveg megnyitása</v>
      </c>
    </row>
    <row r="162" customFormat="false" ht="38" hidden="false" customHeight="true" outlineLevel="0" collapsed="false">
      <c r="A162" s="15" t="s">
        <v>1471</v>
      </c>
      <c r="B162" s="15" t="s">
        <v>1380</v>
      </c>
      <c r="C162" s="15" t="s">
        <v>1494</v>
      </c>
      <c r="D162" s="17" t="n">
        <v>0</v>
      </c>
      <c r="E162" s="17" t="n">
        <v>0</v>
      </c>
      <c r="F162" s="15" t="s">
        <v>1310</v>
      </c>
      <c r="G162" s="15" t="str">
        <f aca="false">HYPERLINK("#'Forrásszöveg'!A"&amp;(MATCH("VHR-S0442",Forrásszöveg!$A$6:$A$2497,0)+5),"Szöveg megnyitása")</f>
        <v>Szöveg megnyitása</v>
      </c>
    </row>
    <row r="163" customFormat="false" ht="38" hidden="false" customHeight="true" outlineLevel="0" collapsed="false">
      <c r="A163" s="15" t="s">
        <v>1471</v>
      </c>
      <c r="B163" s="15" t="s">
        <v>1381</v>
      </c>
      <c r="C163" s="15" t="s">
        <v>1494</v>
      </c>
      <c r="D163" s="17" t="n">
        <v>0</v>
      </c>
      <c r="E163" s="17" t="n">
        <v>0</v>
      </c>
      <c r="F163" s="15" t="s">
        <v>1310</v>
      </c>
      <c r="G163" s="15" t="str">
        <f aca="false">HYPERLINK("#'Forrásszöveg'!A"&amp;(MATCH("VHR-S0446",Forrásszöveg!$A$6:$A$2497,0)+5),"Szöveg megnyitása")</f>
        <v>Szöveg megnyitása</v>
      </c>
    </row>
    <row r="164" customFormat="false" ht="34" hidden="false" customHeight="true" outlineLevel="0" collapsed="false">
      <c r="A164" s="15" t="s">
        <v>1471</v>
      </c>
      <c r="B164" s="15" t="s">
        <v>1382</v>
      </c>
      <c r="C164" s="15" t="s">
        <v>1495</v>
      </c>
      <c r="D164" s="17" t="n">
        <v>0</v>
      </c>
      <c r="E164" s="17" t="n">
        <v>0</v>
      </c>
      <c r="F164" s="15" t="s">
        <v>1310</v>
      </c>
      <c r="G164" s="15" t="str">
        <f aca="false">HYPERLINK("#'Forrásszöveg'!A"&amp;(MATCH("VHR-S0449",Forrásszöveg!$A$6:$A$2497,0)+5),"Szöveg megnyitása")</f>
        <v>Szöveg megnyitása</v>
      </c>
    </row>
    <row r="165" customFormat="false" ht="34" hidden="false" customHeight="true" outlineLevel="0" collapsed="false">
      <c r="A165" s="15" t="s">
        <v>1471</v>
      </c>
      <c r="B165" s="15" t="s">
        <v>1383</v>
      </c>
      <c r="C165" s="15" t="s">
        <v>1495</v>
      </c>
      <c r="D165" s="17" t="n">
        <v>0</v>
      </c>
      <c r="E165" s="17" t="n">
        <v>0</v>
      </c>
      <c r="F165" s="15" t="s">
        <v>1310</v>
      </c>
      <c r="G165" s="15" t="str">
        <f aca="false">HYPERLINK("#'Forrásszöveg'!A"&amp;(MATCH("VHR-S0459",Forrásszöveg!$A$6:$A$2497,0)+5),"Szöveg megnyitása")</f>
        <v>Szöveg megnyitása</v>
      </c>
    </row>
    <row r="166" customFormat="false" ht="34" hidden="false" customHeight="true" outlineLevel="0" collapsed="false">
      <c r="A166" s="15" t="s">
        <v>1471</v>
      </c>
      <c r="B166" s="15" t="s">
        <v>1385</v>
      </c>
      <c r="C166" s="15" t="s">
        <v>1495</v>
      </c>
      <c r="D166" s="17" t="n">
        <v>0</v>
      </c>
      <c r="E166" s="17" t="n">
        <v>0</v>
      </c>
      <c r="F166" s="15" t="s">
        <v>1310</v>
      </c>
      <c r="G166" s="15" t="str">
        <f aca="false">HYPERLINK("#'Forrásszöveg'!A"&amp;(MATCH("VHR-S0466",Forrásszöveg!$A$6:$A$2497,0)+5),"Szöveg megnyitása")</f>
        <v>Szöveg megnyitása</v>
      </c>
    </row>
    <row r="167" customFormat="false" ht="34" hidden="false" customHeight="true" outlineLevel="0" collapsed="false">
      <c r="A167" s="15" t="s">
        <v>1471</v>
      </c>
      <c r="B167" s="15" t="s">
        <v>1387</v>
      </c>
      <c r="C167" s="15" t="s">
        <v>1496</v>
      </c>
      <c r="D167" s="17" t="n">
        <v>0</v>
      </c>
      <c r="E167" s="17" t="n">
        <v>0</v>
      </c>
      <c r="F167" s="15" t="s">
        <v>1310</v>
      </c>
      <c r="G167" s="15" t="str">
        <f aca="false">HYPERLINK("#'Forrásszöveg'!A"&amp;(MATCH("VHR-S0481",Forrásszöveg!$A$6:$A$2497,0)+5),"Szöveg megnyitása")</f>
        <v>Szöveg megnyitása</v>
      </c>
    </row>
    <row r="168" customFormat="false" ht="34" hidden="false" customHeight="true" outlineLevel="0" collapsed="false">
      <c r="A168" s="15" t="s">
        <v>1471</v>
      </c>
      <c r="B168" s="15" t="s">
        <v>1389</v>
      </c>
      <c r="C168" s="15" t="s">
        <v>1496</v>
      </c>
      <c r="D168" s="17" t="n">
        <v>0</v>
      </c>
      <c r="E168" s="17" t="n">
        <v>0</v>
      </c>
      <c r="F168" s="15" t="s">
        <v>1310</v>
      </c>
      <c r="G168" s="15" t="str">
        <f aca="false">HYPERLINK("#'Forrásszöveg'!A"&amp;(MATCH("VHR-S0500",Forrásszöveg!$A$6:$A$2497,0)+5),"Szöveg megnyitása")</f>
        <v>Szöveg megnyitása</v>
      </c>
    </row>
    <row r="169" customFormat="false" ht="34" hidden="false" customHeight="true" outlineLevel="0" collapsed="false">
      <c r="A169" s="15" t="s">
        <v>1471</v>
      </c>
      <c r="B169" s="15" t="s">
        <v>1391</v>
      </c>
      <c r="C169" s="15" t="s">
        <v>1496</v>
      </c>
      <c r="D169" s="17" t="n">
        <v>0</v>
      </c>
      <c r="E169" s="17" t="n">
        <v>0</v>
      </c>
      <c r="F169" s="15" t="s">
        <v>1310</v>
      </c>
      <c r="G169" s="15" t="str">
        <f aca="false">HYPERLINK("#'Forrásszöveg'!A"&amp;(MATCH("VHR-S0502",Forrásszöveg!$A$6:$A$2497,0)+5),"Szöveg megnyitása")</f>
        <v>Szöveg megnyitása</v>
      </c>
    </row>
    <row r="170" customFormat="false" ht="34" hidden="false" customHeight="true" outlineLevel="0" collapsed="false">
      <c r="A170" s="15" t="s">
        <v>1471</v>
      </c>
      <c r="B170" s="15" t="s">
        <v>1393</v>
      </c>
      <c r="C170" s="15" t="s">
        <v>1496</v>
      </c>
      <c r="D170" s="17" t="n">
        <v>0</v>
      </c>
      <c r="E170" s="17" t="n">
        <v>0</v>
      </c>
      <c r="F170" s="15" t="s">
        <v>1310</v>
      </c>
      <c r="G170" s="15" t="str">
        <f aca="false">HYPERLINK("#'Forrásszöveg'!A"&amp;(MATCH("VHR-S0510",Forrásszöveg!$A$6:$A$2497,0)+5),"Szöveg megnyitása")</f>
        <v>Szöveg megnyitása</v>
      </c>
    </row>
    <row r="171" customFormat="false" ht="34" hidden="false" customHeight="true" outlineLevel="0" collapsed="false">
      <c r="A171" s="15" t="s">
        <v>1471</v>
      </c>
      <c r="B171" s="15" t="s">
        <v>1395</v>
      </c>
      <c r="C171" s="15" t="s">
        <v>1496</v>
      </c>
      <c r="D171" s="17" t="n">
        <v>0</v>
      </c>
      <c r="E171" s="17" t="n">
        <v>0</v>
      </c>
      <c r="F171" s="15" t="s">
        <v>1310</v>
      </c>
      <c r="G171" s="15" t="str">
        <f aca="false">HYPERLINK("#'Forrásszöveg'!A"&amp;(MATCH("VHR-S0513",Forrásszöveg!$A$6:$A$2497,0)+5),"Szöveg megnyitása")</f>
        <v>Szöveg megnyitása</v>
      </c>
    </row>
    <row r="172" customFormat="false" ht="34" hidden="false" customHeight="true" outlineLevel="0" collapsed="false">
      <c r="A172" s="15" t="s">
        <v>1471</v>
      </c>
      <c r="B172" s="15" t="s">
        <v>1397</v>
      </c>
      <c r="C172" s="15" t="s">
        <v>1496</v>
      </c>
      <c r="D172" s="17" t="n">
        <v>0</v>
      </c>
      <c r="E172" s="17" t="n">
        <v>0</v>
      </c>
      <c r="F172" s="15" t="s">
        <v>1310</v>
      </c>
      <c r="G172" s="15" t="str">
        <f aca="false">HYPERLINK("#'Forrásszöveg'!A"&amp;(MATCH("VHR-S0514",Forrásszöveg!$A$6:$A$2497,0)+5),"Szöveg megnyitása")</f>
        <v>Szöveg megnyitása</v>
      </c>
    </row>
    <row r="173" customFormat="false" ht="34" hidden="false" customHeight="true" outlineLevel="0" collapsed="false">
      <c r="A173" s="15" t="s">
        <v>1471</v>
      </c>
      <c r="B173" s="15" t="s">
        <v>1399</v>
      </c>
      <c r="C173" s="15" t="s">
        <v>1496</v>
      </c>
      <c r="D173" s="17" t="n">
        <v>3</v>
      </c>
      <c r="E173" s="17" t="n">
        <v>0</v>
      </c>
      <c r="F173" s="15" t="s">
        <v>1313</v>
      </c>
      <c r="G173" s="15" t="str">
        <f aca="false">HYPERLINK("#'Forrásszöveg'!A"&amp;(MATCH("VHR-S0526",Forrásszöveg!$A$6:$A$2497,0)+5),"Szöveg megnyitása")</f>
        <v>Szöveg megnyitása</v>
      </c>
    </row>
    <row r="174" customFormat="false" ht="34" hidden="false" customHeight="true" outlineLevel="0" collapsed="false">
      <c r="A174" s="15" t="s">
        <v>1471</v>
      </c>
      <c r="B174" s="15" t="s">
        <v>1400</v>
      </c>
      <c r="C174" s="15" t="s">
        <v>1496</v>
      </c>
      <c r="D174" s="17" t="n">
        <v>2</v>
      </c>
      <c r="E174" s="17" t="n">
        <v>0</v>
      </c>
      <c r="F174" s="15" t="s">
        <v>1313</v>
      </c>
      <c r="G174" s="15" t="str">
        <f aca="false">HYPERLINK("#'Forrásszöveg'!A"&amp;(MATCH("VHR-S0539",Forrásszöveg!$A$6:$A$2497,0)+5),"Szöveg megnyitása")</f>
        <v>Szöveg megnyitása</v>
      </c>
    </row>
    <row r="175" customFormat="false" ht="34" hidden="false" customHeight="true" outlineLevel="0" collapsed="false">
      <c r="A175" s="15" t="s">
        <v>1471</v>
      </c>
      <c r="B175" s="15" t="s">
        <v>1401</v>
      </c>
      <c r="C175" s="15" t="s">
        <v>1496</v>
      </c>
      <c r="D175" s="17" t="n">
        <v>0</v>
      </c>
      <c r="E175" s="17" t="n">
        <v>0</v>
      </c>
      <c r="F175" s="15" t="s">
        <v>1310</v>
      </c>
      <c r="G175" s="15" t="str">
        <f aca="false">HYPERLINK("#'Forrásszöveg'!A"&amp;(MATCH("VHR-S0541",Forrásszöveg!$A$6:$A$2497,0)+5),"Szöveg megnyitása")</f>
        <v>Szöveg megnyitása</v>
      </c>
    </row>
    <row r="176" customFormat="false" ht="34" hidden="false" customHeight="true" outlineLevel="0" collapsed="false">
      <c r="A176" s="15" t="s">
        <v>1471</v>
      </c>
      <c r="B176" s="15" t="s">
        <v>1402</v>
      </c>
      <c r="C176" s="15" t="s">
        <v>1496</v>
      </c>
      <c r="D176" s="17" t="n">
        <v>1</v>
      </c>
      <c r="E176" s="17" t="n">
        <v>1</v>
      </c>
      <c r="F176" s="15" t="s">
        <v>1313</v>
      </c>
      <c r="G176" s="15" t="str">
        <f aca="false">HYPERLINK("#'Forrásszöveg'!A"&amp;(MATCH("VHR-S0542",Forrásszöveg!$A$6:$A$2497,0)+5),"Szöveg megnyitása")</f>
        <v>Szöveg megnyitása</v>
      </c>
    </row>
    <row r="177" customFormat="false" ht="34" hidden="false" customHeight="true" outlineLevel="0" collapsed="false">
      <c r="A177" s="15" t="s">
        <v>1471</v>
      </c>
      <c r="B177" s="15" t="s">
        <v>1404</v>
      </c>
      <c r="C177" s="15" t="s">
        <v>1496</v>
      </c>
      <c r="D177" s="17" t="n">
        <v>3</v>
      </c>
      <c r="E177" s="17" t="n">
        <v>1</v>
      </c>
      <c r="F177" s="15" t="s">
        <v>1313</v>
      </c>
      <c r="G177" s="15" t="str">
        <f aca="false">HYPERLINK("#'Forrásszöveg'!A"&amp;(MATCH("VHR-S0568",Forrásszöveg!$A$6:$A$2497,0)+5),"Szöveg megnyitása")</f>
        <v>Szöveg megnyitása</v>
      </c>
    </row>
    <row r="178" customFormat="false" ht="34" hidden="false" customHeight="true" outlineLevel="0" collapsed="false">
      <c r="A178" s="15" t="s">
        <v>1471</v>
      </c>
      <c r="B178" s="15" t="s">
        <v>1406</v>
      </c>
      <c r="C178" s="15" t="s">
        <v>1497</v>
      </c>
      <c r="D178" s="17" t="n">
        <v>1</v>
      </c>
      <c r="E178" s="17" t="n">
        <v>1</v>
      </c>
      <c r="F178" s="15" t="s">
        <v>1313</v>
      </c>
      <c r="G178" s="15" t="str">
        <f aca="false">HYPERLINK("#'Forrásszöveg'!A"&amp;(MATCH("VHR-S0576",Forrásszöveg!$A$6:$A$2497,0)+5),"Szöveg megnyitása")</f>
        <v>Szöveg megnyitása</v>
      </c>
    </row>
    <row r="179" customFormat="false" ht="34" hidden="false" customHeight="true" outlineLevel="0" collapsed="false">
      <c r="A179" s="15" t="s">
        <v>1471</v>
      </c>
      <c r="B179" s="15" t="s">
        <v>1407</v>
      </c>
      <c r="C179" s="15" t="s">
        <v>1498</v>
      </c>
      <c r="D179" s="17" t="n">
        <v>0</v>
      </c>
      <c r="E179" s="17" t="n">
        <v>0</v>
      </c>
      <c r="F179" s="15" t="s">
        <v>1310</v>
      </c>
      <c r="G179" s="15" t="str">
        <f aca="false">HYPERLINK("#'Forrásszöveg'!A"&amp;(MATCH("VHR-S0587",Forrásszöveg!$A$6:$A$2497,0)+5),"Szöveg megnyitása")</f>
        <v>Szöveg megnyitása</v>
      </c>
    </row>
    <row r="180" customFormat="false" ht="34" hidden="false" customHeight="true" outlineLevel="0" collapsed="false">
      <c r="A180" s="15" t="s">
        <v>1471</v>
      </c>
      <c r="B180" s="15" t="s">
        <v>1409</v>
      </c>
      <c r="C180" s="15" t="s">
        <v>1498</v>
      </c>
      <c r="D180" s="17" t="n">
        <v>0</v>
      </c>
      <c r="E180" s="17" t="n">
        <v>0</v>
      </c>
      <c r="F180" s="15" t="s">
        <v>1310</v>
      </c>
      <c r="G180" s="15" t="str">
        <f aca="false">HYPERLINK("#'Forrásszöveg'!A"&amp;(MATCH("VHR-S0589",Forrásszöveg!$A$6:$A$2497,0)+5),"Szöveg megnyitása")</f>
        <v>Szöveg megnyitása</v>
      </c>
    </row>
    <row r="181" customFormat="false" ht="34" hidden="false" customHeight="true" outlineLevel="0" collapsed="false">
      <c r="A181" s="15" t="s">
        <v>1471</v>
      </c>
      <c r="B181" s="15" t="s">
        <v>1411</v>
      </c>
      <c r="C181" s="15" t="s">
        <v>1498</v>
      </c>
      <c r="D181" s="17" t="n">
        <v>0</v>
      </c>
      <c r="E181" s="17" t="n">
        <v>0</v>
      </c>
      <c r="F181" s="15" t="s">
        <v>1310</v>
      </c>
      <c r="G181" s="15" t="str">
        <f aca="false">HYPERLINK("#'Forrásszöveg'!A"&amp;(MATCH("VHR-S0592",Forrásszöveg!$A$6:$A$2497,0)+5),"Szöveg megnyitása")</f>
        <v>Szöveg megnyitása</v>
      </c>
    </row>
    <row r="182" customFormat="false" ht="34" hidden="false" customHeight="true" outlineLevel="0" collapsed="false">
      <c r="A182" s="15" t="s">
        <v>1471</v>
      </c>
      <c r="B182" s="15" t="s">
        <v>1412</v>
      </c>
      <c r="C182" s="15" t="s">
        <v>1498</v>
      </c>
      <c r="D182" s="17" t="n">
        <v>0</v>
      </c>
      <c r="E182" s="17" t="n">
        <v>0</v>
      </c>
      <c r="F182" s="15" t="s">
        <v>1310</v>
      </c>
      <c r="G182" s="15" t="str">
        <f aca="false">HYPERLINK("#'Forrásszöveg'!A"&amp;(MATCH("VHR-S0670",Forrásszöveg!$A$6:$A$2497,0)+5),"Szöveg megnyitása")</f>
        <v>Szöveg megnyitása</v>
      </c>
    </row>
    <row r="183" customFormat="false" ht="34" hidden="false" customHeight="true" outlineLevel="0" collapsed="false">
      <c r="A183" s="15" t="s">
        <v>1471</v>
      </c>
      <c r="B183" s="15" t="s">
        <v>1413</v>
      </c>
      <c r="C183" s="15" t="s">
        <v>1498</v>
      </c>
      <c r="D183" s="17" t="n">
        <v>0</v>
      </c>
      <c r="E183" s="17" t="n">
        <v>0</v>
      </c>
      <c r="F183" s="15" t="s">
        <v>1310</v>
      </c>
      <c r="G183" s="15" t="str">
        <f aca="false">HYPERLINK("#'Forrásszöveg'!A"&amp;(MATCH("VHR-S0675",Forrásszöveg!$A$6:$A$2497,0)+5),"Szöveg megnyitása")</f>
        <v>Szöveg megnyitása</v>
      </c>
    </row>
    <row r="184" customFormat="false" ht="34" hidden="false" customHeight="true" outlineLevel="0" collapsed="false">
      <c r="A184" s="15" t="s">
        <v>1471</v>
      </c>
      <c r="B184" s="15" t="s">
        <v>1415</v>
      </c>
      <c r="C184" s="15" t="s">
        <v>1499</v>
      </c>
      <c r="D184" s="17" t="n">
        <v>0</v>
      </c>
      <c r="E184" s="17" t="n">
        <v>0</v>
      </c>
      <c r="F184" s="15" t="s">
        <v>1310</v>
      </c>
      <c r="G184" s="15" t="str">
        <f aca="false">HYPERLINK("#'Forrásszöveg'!A"&amp;(MATCH("VHR-S0684",Forrásszöveg!$A$6:$A$2497,0)+5),"Szöveg megnyitása")</f>
        <v>Szöveg megnyitása</v>
      </c>
    </row>
    <row r="185" customFormat="false" ht="34" hidden="false" customHeight="true" outlineLevel="0" collapsed="false">
      <c r="A185" s="15" t="s">
        <v>1471</v>
      </c>
      <c r="B185" s="15" t="s">
        <v>1417</v>
      </c>
      <c r="C185" s="15" t="s">
        <v>1499</v>
      </c>
      <c r="D185" s="17" t="n">
        <v>0</v>
      </c>
      <c r="E185" s="17" t="n">
        <v>0</v>
      </c>
      <c r="F185" s="15" t="s">
        <v>1310</v>
      </c>
      <c r="G185" s="15" t="str">
        <f aca="false">HYPERLINK("#'Forrásszöveg'!A"&amp;(MATCH("VHR-S0687",Forrásszöveg!$A$6:$A$2497,0)+5),"Szöveg megnyitása")</f>
        <v>Szöveg megnyitása</v>
      </c>
    </row>
    <row r="186" customFormat="false" ht="34" hidden="false" customHeight="true" outlineLevel="0" collapsed="false">
      <c r="A186" s="15" t="s">
        <v>1471</v>
      </c>
      <c r="B186" s="15" t="s">
        <v>1419</v>
      </c>
      <c r="C186" s="15" t="s">
        <v>1499</v>
      </c>
      <c r="D186" s="17" t="n">
        <v>0</v>
      </c>
      <c r="E186" s="17" t="n">
        <v>0</v>
      </c>
      <c r="F186" s="15" t="s">
        <v>1310</v>
      </c>
      <c r="G186" s="15" t="str">
        <f aca="false">HYPERLINK("#'Forrásszöveg'!A"&amp;(MATCH("VHR-S0689",Forrásszöveg!$A$6:$A$2497,0)+5),"Szöveg megnyitása")</f>
        <v>Szöveg megnyitása</v>
      </c>
    </row>
    <row r="187" customFormat="false" ht="34" hidden="false" customHeight="true" outlineLevel="0" collapsed="false">
      <c r="A187" s="15" t="s">
        <v>1471</v>
      </c>
      <c r="B187" s="15" t="s">
        <v>1421</v>
      </c>
      <c r="C187" s="15" t="s">
        <v>1500</v>
      </c>
      <c r="D187" s="17" t="n">
        <v>0</v>
      </c>
      <c r="E187" s="17" t="n">
        <v>0</v>
      </c>
      <c r="F187" s="15" t="s">
        <v>1310</v>
      </c>
      <c r="G187" s="15" t="str">
        <f aca="false">HYPERLINK("#'Forrásszöveg'!A"&amp;(MATCH("VHR-S0692",Forrásszöveg!$A$6:$A$2497,0)+5),"Szöveg megnyitása")</f>
        <v>Szöveg megnyitása</v>
      </c>
    </row>
    <row r="188" customFormat="false" ht="34" hidden="false" customHeight="true" outlineLevel="0" collapsed="false">
      <c r="A188" s="15" t="s">
        <v>1471</v>
      </c>
      <c r="B188" s="15" t="s">
        <v>1423</v>
      </c>
      <c r="C188" s="15" t="s">
        <v>1500</v>
      </c>
      <c r="D188" s="17" t="n">
        <v>0</v>
      </c>
      <c r="E188" s="17" t="n">
        <v>0</v>
      </c>
      <c r="F188" s="15" t="s">
        <v>1310</v>
      </c>
      <c r="G188" s="15" t="str">
        <f aca="false">HYPERLINK("#'Forrásszöveg'!A"&amp;(MATCH("VHR-S0694",Forrásszöveg!$A$6:$A$2497,0)+5),"Szöveg megnyitása")</f>
        <v>Szöveg megnyitása</v>
      </c>
    </row>
    <row r="189" customFormat="false" ht="34" hidden="false" customHeight="true" outlineLevel="0" collapsed="false">
      <c r="A189" s="15" t="s">
        <v>1471</v>
      </c>
      <c r="B189" s="15" t="s">
        <v>1425</v>
      </c>
      <c r="C189" s="15" t="s">
        <v>1500</v>
      </c>
      <c r="D189" s="17" t="n">
        <v>0</v>
      </c>
      <c r="E189" s="17" t="n">
        <v>0</v>
      </c>
      <c r="F189" s="15" t="s">
        <v>1310</v>
      </c>
      <c r="G189" s="15" t="str">
        <f aca="false">HYPERLINK("#'Forrásszöveg'!A"&amp;(MATCH("VHR-S0696",Forrásszöveg!$A$6:$A$2497,0)+5),"Szöveg megnyitása")</f>
        <v>Szöveg megnyitása</v>
      </c>
    </row>
    <row r="190" customFormat="false" ht="34" hidden="false" customHeight="true" outlineLevel="0" collapsed="false">
      <c r="A190" s="15" t="s">
        <v>1471</v>
      </c>
      <c r="B190" s="15" t="s">
        <v>1427</v>
      </c>
      <c r="C190" s="15" t="s">
        <v>1500</v>
      </c>
      <c r="D190" s="17" t="n">
        <v>0</v>
      </c>
      <c r="E190" s="17" t="n">
        <v>0</v>
      </c>
      <c r="F190" s="15" t="s">
        <v>1310</v>
      </c>
      <c r="G190" s="15" t="str">
        <f aca="false">HYPERLINK("#'Forrásszöveg'!A"&amp;(MATCH("VHR-S0733",Forrásszöveg!$A$6:$A$2497,0)+5),"Szöveg megnyitása")</f>
        <v>Szöveg megnyitása</v>
      </c>
    </row>
    <row r="191" customFormat="false" ht="34" hidden="false" customHeight="true" outlineLevel="0" collapsed="false">
      <c r="A191" s="15" t="s">
        <v>1471</v>
      </c>
      <c r="B191" s="15" t="s">
        <v>1429</v>
      </c>
      <c r="C191" s="15" t="s">
        <v>1501</v>
      </c>
      <c r="D191" s="17" t="n">
        <v>8</v>
      </c>
      <c r="E191" s="17" t="n">
        <v>0</v>
      </c>
      <c r="F191" s="15" t="s">
        <v>1313</v>
      </c>
      <c r="G191" s="15" t="str">
        <f aca="false">HYPERLINK("#'Forrásszöveg'!A"&amp;(MATCH("VHR-S0765",Forrásszöveg!$A$6:$A$2497,0)+5),"Szöveg megnyitása")</f>
        <v>Szöveg megnyitása</v>
      </c>
    </row>
    <row r="192" customFormat="false" ht="34" hidden="false" customHeight="true" outlineLevel="0" collapsed="false">
      <c r="A192" s="15" t="s">
        <v>1471</v>
      </c>
      <c r="B192" s="15" t="s">
        <v>1430</v>
      </c>
      <c r="C192" s="15" t="s">
        <v>1501</v>
      </c>
      <c r="D192" s="17" t="n">
        <v>2</v>
      </c>
      <c r="E192" s="17" t="n">
        <v>0</v>
      </c>
      <c r="F192" s="15" t="s">
        <v>1313</v>
      </c>
      <c r="G192" s="15" t="str">
        <f aca="false">HYPERLINK("#'Forrásszöveg'!A"&amp;(MATCH("VHR-S0794",Forrásszöveg!$A$6:$A$2497,0)+5),"Szöveg megnyitása")</f>
        <v>Szöveg megnyitása</v>
      </c>
    </row>
    <row r="193" customFormat="false" ht="34" hidden="false" customHeight="true" outlineLevel="0" collapsed="false">
      <c r="A193" s="15" t="s">
        <v>1471</v>
      </c>
      <c r="B193" s="15" t="s">
        <v>1431</v>
      </c>
      <c r="C193" s="15" t="s">
        <v>1502</v>
      </c>
      <c r="D193" s="17" t="n">
        <v>0</v>
      </c>
      <c r="E193" s="17" t="n">
        <v>1</v>
      </c>
      <c r="F193" s="15" t="s">
        <v>1313</v>
      </c>
      <c r="G193" s="15" t="str">
        <f aca="false">HYPERLINK("#'Forrásszöveg'!A"&amp;(MATCH("VHR-S0798",Forrásszöveg!$A$6:$A$2497,0)+5),"Szöveg megnyitása")</f>
        <v>Szöveg megnyitása</v>
      </c>
    </row>
    <row r="194" customFormat="false" ht="34" hidden="false" customHeight="true" outlineLevel="0" collapsed="false">
      <c r="A194" s="15" t="s">
        <v>1471</v>
      </c>
      <c r="B194" s="15" t="s">
        <v>1433</v>
      </c>
      <c r="C194" s="15" t="s">
        <v>1502</v>
      </c>
      <c r="D194" s="17" t="n">
        <v>2</v>
      </c>
      <c r="E194" s="17" t="n">
        <v>0</v>
      </c>
      <c r="F194" s="15" t="s">
        <v>1313</v>
      </c>
      <c r="G194" s="15" t="str">
        <f aca="false">HYPERLINK("#'Forrásszöveg'!A"&amp;(MATCH("VHR-S0800",Forrásszöveg!$A$6:$A$2497,0)+5),"Szöveg megnyitása")</f>
        <v>Szöveg megnyitása</v>
      </c>
    </row>
    <row r="195" customFormat="false" ht="34" hidden="false" customHeight="true" outlineLevel="0" collapsed="false">
      <c r="A195" s="15" t="s">
        <v>1471</v>
      </c>
      <c r="B195" s="15" t="s">
        <v>1443</v>
      </c>
      <c r="C195" s="15" t="s">
        <v>1502</v>
      </c>
      <c r="D195" s="17" t="n">
        <v>0</v>
      </c>
      <c r="E195" s="17" t="n">
        <v>0</v>
      </c>
      <c r="F195" s="15" t="s">
        <v>1310</v>
      </c>
      <c r="G195" s="15" t="str">
        <f aca="false">HYPERLINK("#'Forrásszöveg'!A"&amp;(MATCH("VHR-S0803",Forrásszöveg!$A$6:$A$2497,0)+5),"Szöveg megnyitása")</f>
        <v>Szöveg megnyitása</v>
      </c>
    </row>
    <row r="196" customFormat="false" ht="34" hidden="false" customHeight="true" outlineLevel="0" collapsed="false">
      <c r="A196" s="15" t="s">
        <v>1471</v>
      </c>
      <c r="B196" s="15" t="s">
        <v>1445</v>
      </c>
      <c r="C196" s="15" t="s">
        <v>1502</v>
      </c>
      <c r="D196" s="17" t="n">
        <v>0</v>
      </c>
      <c r="E196" s="17" t="n">
        <v>0</v>
      </c>
      <c r="F196" s="15" t="s">
        <v>1310</v>
      </c>
      <c r="G196" s="15" t="str">
        <f aca="false">HYPERLINK("#'Forrásszöveg'!A"&amp;(MATCH("VHR-S0808",Forrásszöveg!$A$6:$A$2497,0)+5),"Szöveg megnyitása")</f>
        <v>Szöveg megnyitása</v>
      </c>
    </row>
    <row r="197" customFormat="false" ht="34" hidden="false" customHeight="true" outlineLevel="0" collapsed="false">
      <c r="A197" s="15" t="s">
        <v>1471</v>
      </c>
      <c r="B197" s="15" t="s">
        <v>1447</v>
      </c>
      <c r="C197" s="15" t="s">
        <v>1502</v>
      </c>
      <c r="D197" s="17" t="n">
        <v>9</v>
      </c>
      <c r="E197" s="17" t="n">
        <v>0</v>
      </c>
      <c r="F197" s="15" t="s">
        <v>1313</v>
      </c>
      <c r="G197" s="15" t="str">
        <f aca="false">HYPERLINK("#'Forrásszöveg'!A"&amp;(MATCH("VHR-S0814",Forrásszöveg!$A$6:$A$2497,0)+5),"Szöveg megnyitása")</f>
        <v>Szöveg megnyitása</v>
      </c>
    </row>
    <row r="198" customFormat="false" ht="34" hidden="false" customHeight="true" outlineLevel="0" collapsed="false">
      <c r="A198" s="15" t="s">
        <v>1471</v>
      </c>
      <c r="B198" s="15" t="s">
        <v>1449</v>
      </c>
      <c r="C198" s="15" t="s">
        <v>1502</v>
      </c>
      <c r="D198" s="17" t="n">
        <v>3</v>
      </c>
      <c r="E198" s="17" t="n">
        <v>0</v>
      </c>
      <c r="F198" s="15" t="s">
        <v>1313</v>
      </c>
      <c r="G198" s="15" t="str">
        <f aca="false">HYPERLINK("#'Forrásszöveg'!A"&amp;(MATCH("VHR-S0826",Forrásszöveg!$A$6:$A$2497,0)+5),"Szöveg megnyitása")</f>
        <v>Szöveg megnyitása</v>
      </c>
    </row>
    <row r="199" customFormat="false" ht="34" hidden="false" customHeight="true" outlineLevel="0" collapsed="false">
      <c r="A199" s="15" t="s">
        <v>1471</v>
      </c>
      <c r="B199" s="15" t="s">
        <v>1450</v>
      </c>
      <c r="C199" s="15" t="s">
        <v>1502</v>
      </c>
      <c r="D199" s="17" t="n">
        <v>0</v>
      </c>
      <c r="E199" s="17" t="n">
        <v>0</v>
      </c>
      <c r="F199" s="15" t="s">
        <v>1310</v>
      </c>
      <c r="G199" s="15" t="str">
        <f aca="false">HYPERLINK("#'Forrásszöveg'!A"&amp;(MATCH("VHR-S0829",Forrásszöveg!$A$6:$A$2497,0)+5),"Szöveg megnyitása")</f>
        <v>Szöveg megnyitása</v>
      </c>
    </row>
    <row r="200" customFormat="false" ht="34" hidden="false" customHeight="true" outlineLevel="0" collapsed="false">
      <c r="A200" s="15" t="s">
        <v>1471</v>
      </c>
      <c r="B200" s="15" t="s">
        <v>1451</v>
      </c>
      <c r="C200" s="15" t="s">
        <v>1502</v>
      </c>
      <c r="D200" s="17" t="n">
        <v>0</v>
      </c>
      <c r="E200" s="17" t="n">
        <v>1</v>
      </c>
      <c r="F200" s="15" t="s">
        <v>1313</v>
      </c>
      <c r="G200" s="15" t="str">
        <f aca="false">HYPERLINK("#'Forrásszöveg'!A"&amp;(MATCH("VHR-S0834",Forrásszöveg!$A$6:$A$2497,0)+5),"Szöveg megnyitása")</f>
        <v>Szöveg megnyitása</v>
      </c>
    </row>
    <row r="201" customFormat="false" ht="34" hidden="false" customHeight="true" outlineLevel="0" collapsed="false">
      <c r="A201" s="15" t="s">
        <v>1471</v>
      </c>
      <c r="B201" s="15" t="s">
        <v>1452</v>
      </c>
      <c r="C201" s="15" t="s">
        <v>1502</v>
      </c>
      <c r="D201" s="17" t="n">
        <v>0</v>
      </c>
      <c r="E201" s="17" t="n">
        <v>0</v>
      </c>
      <c r="F201" s="15" t="s">
        <v>1310</v>
      </c>
      <c r="G201" s="15" t="str">
        <f aca="false">HYPERLINK("#'Forrásszöveg'!A"&amp;(MATCH("VHR-S0837",Forrásszöveg!$A$6:$A$2497,0)+5),"Szöveg megnyitása")</f>
        <v>Szöveg megnyitása</v>
      </c>
    </row>
    <row r="202" customFormat="false" ht="34" hidden="false" customHeight="true" outlineLevel="0" collapsed="false">
      <c r="A202" s="15" t="s">
        <v>1471</v>
      </c>
      <c r="B202" s="15" t="s">
        <v>1453</v>
      </c>
      <c r="C202" s="15" t="s">
        <v>1502</v>
      </c>
      <c r="D202" s="17" t="n">
        <v>0</v>
      </c>
      <c r="E202" s="17" t="n">
        <v>0</v>
      </c>
      <c r="F202" s="15" t="s">
        <v>1310</v>
      </c>
      <c r="G202" s="15" t="str">
        <f aca="false">HYPERLINK("#'Forrásszöveg'!A"&amp;(MATCH("VHR-S0839",Forrásszöveg!$A$6:$A$2497,0)+5),"Szöveg megnyitása")</f>
        <v>Szöveg megnyitása</v>
      </c>
    </row>
    <row r="203" customFormat="false" ht="34" hidden="false" customHeight="true" outlineLevel="0" collapsed="false">
      <c r="A203" s="15" t="s">
        <v>1471</v>
      </c>
      <c r="B203" s="15" t="s">
        <v>1454</v>
      </c>
      <c r="C203" s="15" t="s">
        <v>1502</v>
      </c>
      <c r="D203" s="17" t="n">
        <v>0</v>
      </c>
      <c r="E203" s="17" t="n">
        <v>0</v>
      </c>
      <c r="F203" s="15" t="s">
        <v>1310</v>
      </c>
      <c r="G203" s="15" t="str">
        <f aca="false">HYPERLINK("#'Forrásszöveg'!A"&amp;(MATCH("VHR-S0840",Forrásszöveg!$A$6:$A$2497,0)+5),"Szöveg megnyitása")</f>
        <v>Szöveg megnyitása</v>
      </c>
    </row>
    <row r="204" customFormat="false" ht="52" hidden="false" customHeight="true" outlineLevel="0" collapsed="false">
      <c r="A204" s="15" t="s">
        <v>1471</v>
      </c>
      <c r="B204" s="15" t="s">
        <v>1455</v>
      </c>
      <c r="C204" s="15" t="s">
        <v>1503</v>
      </c>
      <c r="D204" s="17" t="n">
        <v>0</v>
      </c>
      <c r="E204" s="17" t="n">
        <v>0</v>
      </c>
      <c r="F204" s="15" t="s">
        <v>1310</v>
      </c>
      <c r="G204" s="15" t="str">
        <f aca="false">HYPERLINK("#'Forrásszöveg'!A"&amp;(MATCH("VHR-S0842",Forrásszöveg!$A$6:$A$2497,0)+5),"Szöveg megnyitása")</f>
        <v>Szöveg megnyitása</v>
      </c>
    </row>
    <row r="205" customFormat="false" ht="34" hidden="false" customHeight="true" outlineLevel="0" collapsed="false">
      <c r="A205" s="15" t="s">
        <v>1471</v>
      </c>
      <c r="B205" s="15" t="s">
        <v>1459</v>
      </c>
      <c r="C205" s="15" t="s">
        <v>1504</v>
      </c>
      <c r="D205" s="17" t="n">
        <v>0</v>
      </c>
      <c r="E205" s="17" t="n">
        <v>0</v>
      </c>
      <c r="F205" s="15" t="s">
        <v>1310</v>
      </c>
      <c r="G205" s="15" t="str">
        <f aca="false">HYPERLINK("#'Forrásszöveg'!A"&amp;(MATCH("VHR-S0848",Forrásszöveg!$A$6:$A$2497,0)+5),"Szöveg megnyitása")</f>
        <v>Szöveg megnyitása</v>
      </c>
    </row>
    <row r="206" customFormat="false" ht="34" hidden="false" customHeight="true" outlineLevel="0" collapsed="false">
      <c r="A206" s="15" t="s">
        <v>1471</v>
      </c>
      <c r="B206" s="15" t="s">
        <v>1461</v>
      </c>
      <c r="C206" s="15" t="s">
        <v>1505</v>
      </c>
      <c r="D206" s="17" t="n">
        <v>0</v>
      </c>
      <c r="E206" s="17" t="n">
        <v>0</v>
      </c>
      <c r="F206" s="15" t="s">
        <v>1310</v>
      </c>
      <c r="G206" s="15" t="str">
        <f aca="false">HYPERLINK("#'Forrásszöveg'!A"&amp;(MATCH("VHR-S0852",Forrásszöveg!$A$6:$A$2497,0)+5),"Szöveg megnyitása")</f>
        <v>Szöveg megnyitása</v>
      </c>
    </row>
    <row r="207" customFormat="false" ht="34" hidden="false" customHeight="true" outlineLevel="0" collapsed="false">
      <c r="A207" s="15" t="s">
        <v>1471</v>
      </c>
      <c r="B207" s="15" t="s">
        <v>1506</v>
      </c>
      <c r="C207" s="15" t="s">
        <v>1507</v>
      </c>
      <c r="D207" s="17" t="n">
        <v>0</v>
      </c>
      <c r="E207" s="17" t="n">
        <v>0</v>
      </c>
      <c r="F207" s="15" t="s">
        <v>1310</v>
      </c>
      <c r="G207" s="15" t="str">
        <f aca="false">HYPERLINK("#'Forrásszöveg'!A"&amp;(MATCH("VHR-S0866",Forrásszöveg!$A$6:$A$2497,0)+5),"Szöveg megnyitása")</f>
        <v>Szöveg megnyitása</v>
      </c>
    </row>
    <row r="208" customFormat="false" ht="34" hidden="false" customHeight="true" outlineLevel="0" collapsed="false">
      <c r="A208" s="15" t="s">
        <v>1471</v>
      </c>
      <c r="B208" s="15" t="s">
        <v>1508</v>
      </c>
      <c r="C208" s="15" t="s">
        <v>1509</v>
      </c>
      <c r="D208" s="17" t="n">
        <v>0</v>
      </c>
      <c r="E208" s="17" t="n">
        <v>0</v>
      </c>
      <c r="F208" s="15" t="s">
        <v>1310</v>
      </c>
      <c r="G208" s="15" t="str">
        <f aca="false">HYPERLINK("#'Forrásszöveg'!A"&amp;(MATCH("VHR-S0873",Forrásszöveg!$A$6:$A$2497,0)+5),"Szöveg megnyitása")</f>
        <v>Szöveg megnyitása</v>
      </c>
    </row>
    <row r="209" customFormat="false" ht="34" hidden="false" customHeight="true" outlineLevel="0" collapsed="false">
      <c r="A209" s="15" t="s">
        <v>1471</v>
      </c>
      <c r="B209" s="15" t="s">
        <v>1510</v>
      </c>
      <c r="C209" s="15" t="s">
        <v>1511</v>
      </c>
      <c r="D209" s="17" t="n">
        <v>0</v>
      </c>
      <c r="E209" s="17" t="n">
        <v>0</v>
      </c>
      <c r="F209" s="15" t="s">
        <v>1310</v>
      </c>
      <c r="G209" s="15" t="str">
        <f aca="false">HYPERLINK("#'Forrásszöveg'!A"&amp;(MATCH("VHR-S0875",Forrásszöveg!$A$6:$A$2497,0)+5),"Szöveg megnyitása")</f>
        <v>Szöveg megnyitása</v>
      </c>
    </row>
    <row r="210" customFormat="false" ht="34" hidden="false" customHeight="true" outlineLevel="0" collapsed="false">
      <c r="A210" s="15" t="s">
        <v>1471</v>
      </c>
      <c r="B210" s="15" t="s">
        <v>1512</v>
      </c>
      <c r="C210" s="15" t="s">
        <v>1513</v>
      </c>
      <c r="D210" s="17" t="n">
        <v>0</v>
      </c>
      <c r="E210" s="17" t="n">
        <v>0</v>
      </c>
      <c r="F210" s="15" t="s">
        <v>1310</v>
      </c>
      <c r="G210" s="15" t="str">
        <f aca="false">HYPERLINK("#'Forrásszöveg'!A"&amp;(MATCH("VHR-S0885",Forrásszöveg!$A$6:$A$2497,0)+5),"Szöveg megnyitása")</f>
        <v>Szöveg megnyitása</v>
      </c>
    </row>
    <row r="211" customFormat="false" ht="34" hidden="false" customHeight="true" outlineLevel="0" collapsed="false">
      <c r="A211" s="15" t="s">
        <v>1471</v>
      </c>
      <c r="B211" s="15" t="s">
        <v>1514</v>
      </c>
      <c r="C211" s="15" t="s">
        <v>1515</v>
      </c>
      <c r="D211" s="17" t="n">
        <v>0</v>
      </c>
      <c r="E211" s="17" t="n">
        <v>0</v>
      </c>
      <c r="F211" s="15" t="s">
        <v>1310</v>
      </c>
      <c r="G211" s="15" t="str">
        <f aca="false">HYPERLINK("#'Forrásszöveg'!A"&amp;(MATCH("VHR-S0887",Forrásszöveg!$A$6:$A$2497,0)+5),"Szöveg megnyitása")</f>
        <v>Szöveg megnyitása</v>
      </c>
    </row>
    <row r="212" customFormat="false" ht="34" hidden="false" customHeight="true" outlineLevel="0" collapsed="false">
      <c r="A212" s="15" t="s">
        <v>1471</v>
      </c>
      <c r="B212" s="15" t="s">
        <v>1516</v>
      </c>
      <c r="C212" s="15" t="s">
        <v>1515</v>
      </c>
      <c r="D212" s="17" t="n">
        <v>0</v>
      </c>
      <c r="E212" s="17" t="n">
        <v>0</v>
      </c>
      <c r="F212" s="15" t="s">
        <v>1310</v>
      </c>
      <c r="G212" s="15" t="str">
        <f aca="false">HYPERLINK("#'Forrásszöveg'!A"&amp;(MATCH("VHR-S0890",Forrásszöveg!$A$6:$A$2497,0)+5),"Szöveg megnyitása")</f>
        <v>Szöveg megnyitása</v>
      </c>
    </row>
    <row r="213" customFormat="false" ht="34" hidden="false" customHeight="true" outlineLevel="0" collapsed="false">
      <c r="A213" s="15" t="s">
        <v>1471</v>
      </c>
      <c r="B213" s="15" t="s">
        <v>1517</v>
      </c>
      <c r="C213" s="15" t="s">
        <v>1515</v>
      </c>
      <c r="D213" s="17" t="n">
        <v>0</v>
      </c>
      <c r="E213" s="17" t="n">
        <v>0</v>
      </c>
      <c r="F213" s="15" t="s">
        <v>1310</v>
      </c>
      <c r="G213" s="15" t="str">
        <f aca="false">HYPERLINK("#'Forrásszöveg'!A"&amp;(MATCH("VHR-S0892",Forrásszöveg!$A$6:$A$2497,0)+5),"Szöveg megnyitása")</f>
        <v>Szöveg megnyitása</v>
      </c>
    </row>
    <row r="214" customFormat="false" ht="34" hidden="false" customHeight="true" outlineLevel="0" collapsed="false">
      <c r="A214" s="15" t="s">
        <v>1471</v>
      </c>
      <c r="B214" s="15" t="s">
        <v>1518</v>
      </c>
      <c r="C214" s="15" t="s">
        <v>1515</v>
      </c>
      <c r="D214" s="17" t="n">
        <v>0</v>
      </c>
      <c r="E214" s="17" t="n">
        <v>0</v>
      </c>
      <c r="F214" s="15" t="s">
        <v>1310</v>
      </c>
      <c r="G214" s="15" t="str">
        <f aca="false">HYPERLINK("#'Forrásszöveg'!A"&amp;(MATCH("VHR-S0905",Forrásszöveg!$A$6:$A$2497,0)+5),"Szöveg megnyitása")</f>
        <v>Szöveg megnyitása</v>
      </c>
    </row>
    <row r="215" customFormat="false" ht="34" hidden="false" customHeight="true" outlineLevel="0" collapsed="false">
      <c r="A215" s="15" t="s">
        <v>1471</v>
      </c>
      <c r="B215" s="15" t="s">
        <v>1519</v>
      </c>
      <c r="C215" s="15" t="s">
        <v>1515</v>
      </c>
      <c r="D215" s="17" t="n">
        <v>0</v>
      </c>
      <c r="E215" s="17" t="n">
        <v>0</v>
      </c>
      <c r="F215" s="15" t="s">
        <v>1310</v>
      </c>
      <c r="G215" s="15" t="str">
        <f aca="false">HYPERLINK("#'Forrásszöveg'!A"&amp;(MATCH("VHR-S0907",Forrásszöveg!$A$6:$A$2497,0)+5),"Szöveg megnyitása")</f>
        <v>Szöveg megnyitása</v>
      </c>
    </row>
    <row r="216" customFormat="false" ht="34" hidden="false" customHeight="true" outlineLevel="0" collapsed="false">
      <c r="A216" s="15" t="s">
        <v>1471</v>
      </c>
      <c r="B216" s="15" t="s">
        <v>1520</v>
      </c>
      <c r="C216" s="15" t="s">
        <v>1515</v>
      </c>
      <c r="D216" s="17" t="n">
        <v>0</v>
      </c>
      <c r="E216" s="17" t="n">
        <v>0</v>
      </c>
      <c r="F216" s="15" t="s">
        <v>1310</v>
      </c>
      <c r="G216" s="15" t="str">
        <f aca="false">HYPERLINK("#'Forrásszöveg'!A"&amp;(MATCH("VHR-S0909",Forrásszöveg!$A$6:$A$2497,0)+5),"Szöveg megnyitása")</f>
        <v>Szöveg megnyitása</v>
      </c>
    </row>
    <row r="217" customFormat="false" ht="34" hidden="false" customHeight="true" outlineLevel="0" collapsed="false">
      <c r="A217" s="15" t="s">
        <v>1471</v>
      </c>
      <c r="B217" s="15" t="s">
        <v>1521</v>
      </c>
      <c r="C217" s="15" t="s">
        <v>1515</v>
      </c>
      <c r="D217" s="17" t="n">
        <v>0</v>
      </c>
      <c r="E217" s="17" t="n">
        <v>0</v>
      </c>
      <c r="F217" s="15" t="s">
        <v>1310</v>
      </c>
      <c r="G217" s="15" t="str">
        <f aca="false">HYPERLINK("#'Forrásszöveg'!A"&amp;(MATCH("VHR-S0910",Forrásszöveg!$A$6:$A$2497,0)+5),"Szöveg megnyitása")</f>
        <v>Szöveg megnyitása</v>
      </c>
    </row>
    <row r="218" customFormat="false" ht="34" hidden="false" customHeight="true" outlineLevel="0" collapsed="false">
      <c r="A218" s="15" t="s">
        <v>1471</v>
      </c>
      <c r="B218" s="15" t="s">
        <v>1522</v>
      </c>
      <c r="C218" s="15" t="s">
        <v>1515</v>
      </c>
      <c r="D218" s="17" t="n">
        <v>0</v>
      </c>
      <c r="E218" s="17" t="n">
        <v>0</v>
      </c>
      <c r="F218" s="15" t="s">
        <v>1310</v>
      </c>
      <c r="G218" s="15" t="str">
        <f aca="false">HYPERLINK("#'Forrásszöveg'!A"&amp;(MATCH("VHR-S0911",Forrásszöveg!$A$6:$A$2497,0)+5),"Szöveg megnyitása")</f>
        <v>Szöveg megnyitása</v>
      </c>
    </row>
    <row r="219" customFormat="false" ht="34" hidden="false" customHeight="true" outlineLevel="0" collapsed="false">
      <c r="A219" s="15" t="s">
        <v>1471</v>
      </c>
      <c r="B219" s="15" t="s">
        <v>1523</v>
      </c>
      <c r="C219" s="15" t="s">
        <v>1515</v>
      </c>
      <c r="D219" s="17" t="n">
        <v>0</v>
      </c>
      <c r="E219" s="17" t="n">
        <v>0</v>
      </c>
      <c r="F219" s="15" t="s">
        <v>1310</v>
      </c>
      <c r="G219" s="15" t="str">
        <f aca="false">HYPERLINK("#'Forrásszöveg'!A"&amp;(MATCH("VHR-S0914",Forrásszöveg!$A$6:$A$2497,0)+5),"Szöveg megnyitása")</f>
        <v>Szöveg megnyitása</v>
      </c>
    </row>
    <row r="220" customFormat="false" ht="38" hidden="false" customHeight="true" outlineLevel="0" collapsed="false">
      <c r="A220" s="15" t="s">
        <v>1471</v>
      </c>
      <c r="B220" s="15" t="s">
        <v>1524</v>
      </c>
      <c r="C220" s="15" t="s">
        <v>1525</v>
      </c>
      <c r="D220" s="17" t="n">
        <v>0</v>
      </c>
      <c r="E220" s="17" t="n">
        <v>0</v>
      </c>
      <c r="F220" s="15" t="s">
        <v>1310</v>
      </c>
      <c r="G220" s="15" t="str">
        <f aca="false">HYPERLINK("#'Forrásszöveg'!A"&amp;(MATCH("VHR-S0918",Forrásszöveg!$A$6:$A$2497,0)+5),"Szöveg megnyitása")</f>
        <v>Szöveg megnyitása</v>
      </c>
    </row>
    <row r="221" customFormat="false" ht="34" hidden="false" customHeight="true" outlineLevel="0" collapsed="false">
      <c r="A221" s="15" t="s">
        <v>1471</v>
      </c>
      <c r="B221" s="15" t="s">
        <v>1526</v>
      </c>
      <c r="C221" s="15" t="s">
        <v>1527</v>
      </c>
      <c r="D221" s="17" t="n">
        <v>0</v>
      </c>
      <c r="E221" s="17" t="n">
        <v>0</v>
      </c>
      <c r="F221" s="15" t="s">
        <v>1310</v>
      </c>
      <c r="G221" s="15" t="str">
        <f aca="false">HYPERLINK("#'Forrásszöveg'!A"&amp;(MATCH("VHR-S0930",Forrásszöveg!$A$6:$A$2497,0)+5),"Szöveg megnyitása")</f>
        <v>Szöveg megnyitása</v>
      </c>
    </row>
    <row r="222" customFormat="false" ht="34" hidden="false" customHeight="true" outlineLevel="0" collapsed="false">
      <c r="A222" s="15" t="s">
        <v>1471</v>
      </c>
      <c r="B222" s="15" t="s">
        <v>1528</v>
      </c>
      <c r="C222" s="15" t="s">
        <v>1527</v>
      </c>
      <c r="D222" s="17" t="n">
        <v>0</v>
      </c>
      <c r="E222" s="17" t="n">
        <v>0</v>
      </c>
      <c r="F222" s="15" t="s">
        <v>1310</v>
      </c>
      <c r="G222" s="15" t="str">
        <f aca="false">HYPERLINK("#'Forrásszöveg'!A"&amp;(MATCH("VHR-S0941",Forrásszöveg!$A$6:$A$2497,0)+5),"Szöveg megnyitása")</f>
        <v>Szöveg megnyitása</v>
      </c>
    </row>
    <row r="223" customFormat="false" ht="34" hidden="false" customHeight="true" outlineLevel="0" collapsed="false">
      <c r="A223" s="15" t="s">
        <v>1471</v>
      </c>
      <c r="B223" s="15" t="s">
        <v>1529</v>
      </c>
      <c r="C223" s="15" t="s">
        <v>1527</v>
      </c>
      <c r="D223" s="17" t="n">
        <v>0</v>
      </c>
      <c r="E223" s="17" t="n">
        <v>0</v>
      </c>
      <c r="F223" s="15" t="s">
        <v>1310</v>
      </c>
      <c r="G223" s="15" t="str">
        <f aca="false">HYPERLINK("#'Forrásszöveg'!A"&amp;(MATCH("VHR-S0943",Forrásszöveg!$A$6:$A$2497,0)+5),"Szöveg megnyitása")</f>
        <v>Szöveg megnyitása</v>
      </c>
    </row>
    <row r="224" customFormat="false" ht="34" hidden="false" customHeight="true" outlineLevel="0" collapsed="false">
      <c r="A224" s="15" t="s">
        <v>1471</v>
      </c>
      <c r="B224" s="15" t="s">
        <v>1530</v>
      </c>
      <c r="C224" s="15" t="s">
        <v>1527</v>
      </c>
      <c r="D224" s="17" t="n">
        <v>0</v>
      </c>
      <c r="E224" s="17" t="n">
        <v>0</v>
      </c>
      <c r="F224" s="15" t="s">
        <v>1310</v>
      </c>
      <c r="G224" s="15" t="str">
        <f aca="false">HYPERLINK("#'Forrásszöveg'!A"&amp;(MATCH("VHR-S0952",Forrásszöveg!$A$6:$A$2497,0)+5),"Szöveg megnyitása")</f>
        <v>Szöveg megnyitása</v>
      </c>
    </row>
    <row r="225" customFormat="false" ht="38" hidden="false" customHeight="true" outlineLevel="0" collapsed="false">
      <c r="A225" s="15" t="s">
        <v>1471</v>
      </c>
      <c r="B225" s="15" t="s">
        <v>1531</v>
      </c>
      <c r="C225" s="15" t="s">
        <v>1532</v>
      </c>
      <c r="D225" s="17" t="n">
        <v>0</v>
      </c>
      <c r="E225" s="17" t="n">
        <v>0</v>
      </c>
      <c r="F225" s="15" t="s">
        <v>1310</v>
      </c>
      <c r="G225" s="15" t="str">
        <f aca="false">HYPERLINK("#'Forrásszöveg'!A"&amp;(MATCH("VHR-S0954",Forrásszöveg!$A$6:$A$2497,0)+5),"Szöveg megnyitása")</f>
        <v>Szöveg megnyitása</v>
      </c>
    </row>
    <row r="226" customFormat="false" ht="34" hidden="false" customHeight="true" outlineLevel="0" collapsed="false">
      <c r="A226" s="15" t="s">
        <v>1471</v>
      </c>
      <c r="B226" s="15" t="s">
        <v>1533</v>
      </c>
      <c r="C226" s="15" t="s">
        <v>1534</v>
      </c>
      <c r="D226" s="17" t="n">
        <v>0</v>
      </c>
      <c r="E226" s="17" t="n">
        <v>0</v>
      </c>
      <c r="F226" s="15" t="s">
        <v>1310</v>
      </c>
      <c r="G226" s="15" t="str">
        <f aca="false">HYPERLINK("#'Forrásszöveg'!A"&amp;(MATCH("VHR-S0959",Forrásszöveg!$A$6:$A$2497,0)+5),"Szöveg megnyitása")</f>
        <v>Szöveg megnyitása</v>
      </c>
    </row>
    <row r="227" customFormat="false" ht="34" hidden="false" customHeight="true" outlineLevel="0" collapsed="false">
      <c r="A227" s="15" t="s">
        <v>1471</v>
      </c>
      <c r="B227" s="15" t="s">
        <v>1535</v>
      </c>
      <c r="C227" s="15" t="s">
        <v>1534</v>
      </c>
      <c r="D227" s="17" t="n">
        <v>0</v>
      </c>
      <c r="E227" s="17" t="n">
        <v>0</v>
      </c>
      <c r="F227" s="15" t="s">
        <v>1310</v>
      </c>
      <c r="G227" s="15" t="str">
        <f aca="false">HYPERLINK("#'Forrásszöveg'!A"&amp;(MATCH("VHR-S0974",Forrásszöveg!$A$6:$A$2497,0)+5),"Szöveg megnyitása")</f>
        <v>Szöveg megnyitása</v>
      </c>
    </row>
    <row r="228" customFormat="false" ht="34" hidden="false" customHeight="true" outlineLevel="0" collapsed="false">
      <c r="A228" s="15" t="s">
        <v>1471</v>
      </c>
      <c r="B228" s="15" t="s">
        <v>1536</v>
      </c>
      <c r="C228" s="15" t="s">
        <v>1537</v>
      </c>
      <c r="D228" s="17" t="n">
        <v>0</v>
      </c>
      <c r="E228" s="17" t="n">
        <v>0</v>
      </c>
      <c r="F228" s="15" t="s">
        <v>1310</v>
      </c>
      <c r="G228" s="15" t="str">
        <f aca="false">HYPERLINK("#'Forrásszöveg'!A"&amp;(MATCH("VHR-S0995",Forrásszöveg!$A$6:$A$2497,0)+5),"Szöveg megnyitása")</f>
        <v>Szöveg megnyitása</v>
      </c>
    </row>
    <row r="229" customFormat="false" ht="34" hidden="false" customHeight="true" outlineLevel="0" collapsed="false">
      <c r="A229" s="15" t="s">
        <v>1471</v>
      </c>
      <c r="B229" s="15" t="s">
        <v>1538</v>
      </c>
      <c r="C229" s="15" t="s">
        <v>1537</v>
      </c>
      <c r="D229" s="17" t="n">
        <v>0</v>
      </c>
      <c r="E229" s="17" t="n">
        <v>0</v>
      </c>
      <c r="F229" s="15" t="s">
        <v>1310</v>
      </c>
      <c r="G229" s="15" t="str">
        <f aca="false">HYPERLINK("#'Forrásszöveg'!A"&amp;(MATCH("VHR-S1008",Forrásszöveg!$A$6:$A$2497,0)+5),"Szöveg megnyitása")</f>
        <v>Szöveg megnyitása</v>
      </c>
    </row>
    <row r="230" customFormat="false" ht="34" hidden="false" customHeight="true" outlineLevel="0" collapsed="false">
      <c r="A230" s="15" t="s">
        <v>1471</v>
      </c>
      <c r="B230" s="15" t="s">
        <v>1539</v>
      </c>
      <c r="C230" s="15" t="s">
        <v>1540</v>
      </c>
      <c r="D230" s="17" t="n">
        <v>0</v>
      </c>
      <c r="E230" s="17" t="n">
        <v>0</v>
      </c>
      <c r="F230" s="15" t="s">
        <v>1310</v>
      </c>
      <c r="G230" s="15" t="str">
        <f aca="false">HYPERLINK("#'Forrásszöveg'!A"&amp;(MATCH("VHR-S1012",Forrásszöveg!$A$6:$A$2497,0)+5),"Szöveg megnyitása")</f>
        <v>Szöveg megnyitása</v>
      </c>
    </row>
    <row r="231" customFormat="false" ht="34" hidden="false" customHeight="true" outlineLevel="0" collapsed="false">
      <c r="A231" s="15" t="s">
        <v>1471</v>
      </c>
      <c r="B231" s="15" t="s">
        <v>1541</v>
      </c>
      <c r="C231" s="15" t="s">
        <v>1540</v>
      </c>
      <c r="D231" s="17" t="n">
        <v>0</v>
      </c>
      <c r="E231" s="17" t="n">
        <v>0</v>
      </c>
      <c r="F231" s="15" t="s">
        <v>1310</v>
      </c>
      <c r="G231" s="15" t="str">
        <f aca="false">HYPERLINK("#'Forrásszöveg'!A"&amp;(MATCH("VHR-S1030",Forrásszöveg!$A$6:$A$2497,0)+5),"Szöveg megnyitása")</f>
        <v>Szöveg megnyitása</v>
      </c>
    </row>
    <row r="232" customFormat="false" ht="34" hidden="false" customHeight="true" outlineLevel="0" collapsed="false">
      <c r="A232" s="15" t="s">
        <v>1471</v>
      </c>
      <c r="B232" s="15" t="s">
        <v>1542</v>
      </c>
      <c r="C232" s="15" t="s">
        <v>1543</v>
      </c>
      <c r="D232" s="17" t="n">
        <v>0</v>
      </c>
      <c r="E232" s="17" t="n">
        <v>0</v>
      </c>
      <c r="F232" s="15" t="s">
        <v>1310</v>
      </c>
      <c r="G232" s="15" t="str">
        <f aca="false">HYPERLINK("#'Forrásszöveg'!A"&amp;(MATCH("VHR-S1040",Forrásszöveg!$A$6:$A$2497,0)+5),"Szöveg megnyitása")</f>
        <v>Szöveg megnyitása</v>
      </c>
    </row>
    <row r="233" customFormat="false" ht="34" hidden="false" customHeight="true" outlineLevel="0" collapsed="false">
      <c r="A233" s="15" t="s">
        <v>1471</v>
      </c>
      <c r="B233" s="15" t="s">
        <v>1544</v>
      </c>
      <c r="C233" s="15" t="s">
        <v>1545</v>
      </c>
      <c r="D233" s="17" t="n">
        <v>0</v>
      </c>
      <c r="E233" s="17" t="n">
        <v>0</v>
      </c>
      <c r="F233" s="15" t="s">
        <v>1310</v>
      </c>
      <c r="G233" s="15" t="str">
        <f aca="false">HYPERLINK("#'Forrásszöveg'!A"&amp;(MATCH("VHR-S1043",Forrásszöveg!$A$6:$A$2497,0)+5),"Szöveg megnyitása")</f>
        <v>Szöveg megnyitása</v>
      </c>
    </row>
    <row r="234" customFormat="false" ht="34" hidden="false" customHeight="true" outlineLevel="0" collapsed="false">
      <c r="A234" s="15" t="s">
        <v>1471</v>
      </c>
      <c r="B234" s="15" t="s">
        <v>1465</v>
      </c>
      <c r="C234" s="15" t="s">
        <v>1546</v>
      </c>
      <c r="D234" s="17" t="n">
        <v>0</v>
      </c>
      <c r="E234" s="17" t="n">
        <v>0</v>
      </c>
      <c r="F234" s="15" t="s">
        <v>1310</v>
      </c>
      <c r="G234" s="15" t="str">
        <f aca="false">HYPERLINK("#'Forrásszöveg'!A"&amp;(MATCH("VHR-S1055",Forrásszöveg!$A$6:$A$2497,0)+5),"Szöveg megnyitása")</f>
        <v>Szöveg megnyitása</v>
      </c>
    </row>
    <row r="235" customFormat="false" ht="34" hidden="false" customHeight="true" outlineLevel="0" collapsed="false">
      <c r="A235" s="15" t="s">
        <v>1471</v>
      </c>
      <c r="B235" s="15" t="s">
        <v>1547</v>
      </c>
      <c r="C235" s="15" t="s">
        <v>1548</v>
      </c>
      <c r="D235" s="17" t="n">
        <v>0</v>
      </c>
      <c r="E235" s="17" t="n">
        <v>0</v>
      </c>
      <c r="F235" s="15" t="s">
        <v>1464</v>
      </c>
      <c r="G235" s="15" t="str">
        <f aca="false">HYPERLINK("#'Forrásszöveg'!A"&amp;(MATCH("VHR-S1066",Forrásszöveg!$A$6:$A$2497,0)+5),"Szöveg megnyitása")</f>
        <v>Szöveg megnyitása</v>
      </c>
    </row>
    <row r="236" customFormat="false" ht="34" hidden="false" customHeight="true" outlineLevel="0" collapsed="false">
      <c r="A236" s="15" t="s">
        <v>1471</v>
      </c>
      <c r="B236" s="15" t="s">
        <v>1549</v>
      </c>
      <c r="C236" s="15" t="s">
        <v>1548</v>
      </c>
      <c r="D236" s="17" t="n">
        <v>0</v>
      </c>
      <c r="E236" s="17" t="n">
        <v>0</v>
      </c>
      <c r="F236" s="15" t="s">
        <v>1464</v>
      </c>
      <c r="G236" s="15" t="str">
        <f aca="false">HYPERLINK("#'Forrásszöveg'!A"&amp;(MATCH("VHR-S1067",Forrásszöveg!$A$6:$A$2497,0)+5),"Szöveg megnyitása")</f>
        <v>Szöveg megnyitása</v>
      </c>
    </row>
    <row r="237" customFormat="false" ht="34" hidden="false" customHeight="true" outlineLevel="0" collapsed="false">
      <c r="A237" s="15" t="s">
        <v>1471</v>
      </c>
      <c r="B237" s="15" t="s">
        <v>1550</v>
      </c>
      <c r="C237" s="15" t="s">
        <v>1548</v>
      </c>
      <c r="D237" s="17" t="n">
        <v>0</v>
      </c>
      <c r="E237" s="17" t="n">
        <v>0</v>
      </c>
      <c r="F237" s="15" t="s">
        <v>1464</v>
      </c>
      <c r="G237" s="15" t="str">
        <f aca="false">HYPERLINK("#'Forrásszöveg'!A"&amp;(MATCH("VHR-S1068",Forrásszöveg!$A$6:$A$2497,0)+5),"Szöveg megnyitása")</f>
        <v>Szöveg megnyitása</v>
      </c>
    </row>
    <row r="238" customFormat="false" ht="38" hidden="false" customHeight="true" outlineLevel="0" collapsed="false">
      <c r="A238" s="15" t="s">
        <v>1471</v>
      </c>
      <c r="B238" s="15" t="s">
        <v>1551</v>
      </c>
      <c r="C238" s="15" t="s">
        <v>1551</v>
      </c>
      <c r="D238" s="17" t="n">
        <v>0</v>
      </c>
      <c r="E238" s="17" t="n">
        <v>0</v>
      </c>
      <c r="F238" s="15" t="s">
        <v>1468</v>
      </c>
      <c r="G238" s="15" t="str">
        <f aca="false">HYPERLINK("#'Forrásszöveg'!A"&amp;(MATCH("VHR-S1071",Forrásszöveg!$A$6:$A$2497,0)+5),"Szöveg megnyitása")</f>
        <v>Szöveg megnyitása</v>
      </c>
    </row>
    <row r="239" customFormat="false" ht="38" hidden="false" customHeight="true" outlineLevel="0" collapsed="false">
      <c r="A239" s="15" t="s">
        <v>1471</v>
      </c>
      <c r="B239" s="15" t="s">
        <v>1552</v>
      </c>
      <c r="C239" s="15" t="s">
        <v>1552</v>
      </c>
      <c r="D239" s="17" t="n">
        <v>0</v>
      </c>
      <c r="E239" s="17" t="n">
        <v>0</v>
      </c>
      <c r="F239" s="15" t="s">
        <v>1468</v>
      </c>
      <c r="G239" s="15" t="str">
        <f aca="false">HYPERLINK("#'Forrásszöveg'!A"&amp;(MATCH("VHR-S1129",Forrásszöveg!$A$6:$A$2497,0)+5),"Szöveg megnyitása")</f>
        <v>Szöveg megnyitása</v>
      </c>
    </row>
    <row r="240" customFormat="false" ht="38" hidden="false" customHeight="true" outlineLevel="0" collapsed="false">
      <c r="A240" s="15" t="s">
        <v>1471</v>
      </c>
      <c r="B240" s="15" t="s">
        <v>1553</v>
      </c>
      <c r="C240" s="15" t="s">
        <v>1553</v>
      </c>
      <c r="D240" s="17" t="n">
        <v>0</v>
      </c>
      <c r="E240" s="17" t="n">
        <v>0</v>
      </c>
      <c r="F240" s="15" t="s">
        <v>1468</v>
      </c>
      <c r="G240" s="15" t="str">
        <f aca="false">HYPERLINK("#'Forrásszöveg'!A"&amp;(MATCH("VHR-S1155",Forrásszöveg!$A$6:$A$2497,0)+5),"Szöveg megnyitása")</f>
        <v>Szöveg megnyitása</v>
      </c>
    </row>
    <row r="241" customFormat="false" ht="38" hidden="false" customHeight="true" outlineLevel="0" collapsed="false">
      <c r="A241" s="15" t="s">
        <v>1471</v>
      </c>
      <c r="B241" s="15" t="s">
        <v>1554</v>
      </c>
      <c r="C241" s="15" t="s">
        <v>1554</v>
      </c>
      <c r="D241" s="17" t="n">
        <v>0</v>
      </c>
      <c r="E241" s="17" t="n">
        <v>0</v>
      </c>
      <c r="F241" s="15" t="s">
        <v>1468</v>
      </c>
      <c r="G241" s="15" t="str">
        <f aca="false">HYPERLINK("#'Forrásszöveg'!A"&amp;(MATCH("VHR-S1167",Forrásszöveg!$A$6:$A$2497,0)+5),"Szöveg megnyitása")</f>
        <v>Szöveg megnyitása</v>
      </c>
    </row>
  </sheetData>
  <conditionalFormatting sqref="F6:F241">
    <cfRule type="containsText" priority="2" operator="containsText" aboveAverage="0" equalAverage="0" bottom="0" percent="0" rank="0" text="hátravan" dxfId="5">
      <formula>NOT(ISERROR(SEARCH("hátravan",F6)))</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C8A"/>
    <pageSetUpPr fitToPage="false"/>
  </sheetPr>
  <dimension ref="A1:F24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34"/>
    <col collapsed="false" customWidth="true" hidden="false" outlineLevel="0" max="4" min="4" style="0" width="128"/>
    <col collapsed="false" customWidth="true" hidden="false" outlineLevel="0" max="5" min="5" style="0" width="25"/>
    <col collapsed="false" customWidth="true" hidden="false" outlineLevel="0" max="6" min="6" style="0" width="20"/>
  </cols>
  <sheetData>
    <row r="1" customFormat="false" ht="15" hidden="false" customHeight="false" outlineLevel="0" collapsed="false">
      <c r="A1" s="10"/>
      <c r="B1" s="10"/>
      <c r="C1" s="10"/>
      <c r="D1" s="10"/>
      <c r="E1" s="10"/>
      <c r="F1" s="10"/>
    </row>
    <row r="2" customFormat="false" ht="18.55" hidden="false" customHeight="false" outlineLevel="0" collapsed="false">
      <c r="A2" s="11" t="s">
        <v>1555</v>
      </c>
      <c r="B2" s="10"/>
      <c r="C2" s="10"/>
      <c r="D2" s="10"/>
      <c r="E2" s="10"/>
      <c r="F2" s="12" t="str">
        <f aca="false">HYPERLINK("#'Áttekintő'!A1","Áttekintő")</f>
        <v>Áttekintő</v>
      </c>
    </row>
    <row r="3" customFormat="false" ht="15" hidden="false" customHeight="false" outlineLevel="0" collapsed="false">
      <c r="A3" s="13" t="s">
        <v>1556</v>
      </c>
      <c r="B3" s="10"/>
      <c r="C3" s="10"/>
      <c r="D3" s="10"/>
      <c r="E3" s="10"/>
      <c r="F3" s="10"/>
    </row>
    <row r="4" customFormat="false" ht="15" hidden="false" customHeight="false" outlineLevel="0" collapsed="false">
      <c r="A4" s="10"/>
      <c r="B4" s="10"/>
      <c r="C4" s="10"/>
      <c r="D4" s="10"/>
      <c r="E4" s="10"/>
      <c r="F4" s="10"/>
    </row>
    <row r="5" customFormat="false" ht="30" hidden="false" customHeight="true" outlineLevel="0" collapsed="false">
      <c r="A5" s="14" t="s">
        <v>1557</v>
      </c>
      <c r="B5" s="14" t="s">
        <v>1294</v>
      </c>
      <c r="C5" s="14" t="s">
        <v>1558</v>
      </c>
      <c r="D5" s="14" t="s">
        <v>1559</v>
      </c>
      <c r="E5" s="14" t="s">
        <v>1560</v>
      </c>
      <c r="F5" s="14" t="s">
        <v>1561</v>
      </c>
    </row>
    <row r="6" customFormat="false" ht="34" hidden="false" customHeight="true" outlineLevel="0" collapsed="false">
      <c r="A6" s="15" t="s">
        <v>1562</v>
      </c>
      <c r="B6" s="15" t="s">
        <v>1299</v>
      </c>
      <c r="C6" s="15" t="s">
        <v>1563</v>
      </c>
      <c r="D6" s="15" t="s">
        <v>1563</v>
      </c>
      <c r="E6" s="16" t="str">
        <f aca="false">HYPERLINK("#'Forrásszöveg'!A"&amp;(MATCH("TV-S0001",Forrásszöveg!$A$6:$A$2497,0)+5),"Ez a forráshely")</f>
        <v>Ez a forráshely</v>
      </c>
      <c r="F6" s="16" t="str">
        <f aca="false">HYPERLINK("https://net.jogtar.hu/jogszabaly?docid=a2400069.tv#pr1id","Jogtár megnyitása")</f>
        <v>Jogtár megnyitása</v>
      </c>
    </row>
    <row r="7" customFormat="false" ht="38" hidden="false" customHeight="true" outlineLevel="0" collapsed="false">
      <c r="A7" s="15" t="s">
        <v>1564</v>
      </c>
      <c r="B7" s="15" t="s">
        <v>1299</v>
      </c>
      <c r="C7" s="15" t="s">
        <v>1565</v>
      </c>
      <c r="D7" s="15" t="s">
        <v>1565</v>
      </c>
      <c r="E7" s="16" t="str">
        <f aca="false">HYPERLINK("#'Forrásszöveg'!A"&amp;(MATCH("TV-S0002",Forrásszöveg!$A$6:$A$2497,0)+5),"Ez a forráshely")</f>
        <v>Ez a forráshely</v>
      </c>
      <c r="F7" s="16" t="str">
        <f aca="false">HYPERLINK("https://net.jogtar.hu/jogszabaly?docid=a2400069.tv#pr2id","Jogtár megnyitása")</f>
        <v>Jogtár megnyitása</v>
      </c>
    </row>
    <row r="8" customFormat="false" ht="52" hidden="false" customHeight="true" outlineLevel="0" collapsed="false">
      <c r="A8" s="15" t="s">
        <v>1566</v>
      </c>
      <c r="B8" s="15" t="s">
        <v>1299</v>
      </c>
      <c r="C8" s="15" t="s">
        <v>1567</v>
      </c>
      <c r="D8" s="15" t="s">
        <v>1568</v>
      </c>
      <c r="E8" s="16" t="str">
        <f aca="false">HYPERLINK("#'Forrásszöveg'!A"&amp;(MATCH("TV-S0003",Forrásszöveg!$A$6:$A$2497,0)+5),"Ez a forráshely")</f>
        <v>Ez a forráshely</v>
      </c>
      <c r="F8" s="16" t="str">
        <f aca="false">HYPERLINK("https://net.jogtar.hu/jogszabaly?docid=a2400069.tv#pr3id","Jogtár megnyitása")</f>
        <v>Jogtár megnyitása</v>
      </c>
    </row>
    <row r="9" customFormat="false" ht="66" hidden="false" customHeight="true" outlineLevel="0" collapsed="false">
      <c r="A9" s="15" t="s">
        <v>1569</v>
      </c>
      <c r="B9" s="15" t="s">
        <v>1299</v>
      </c>
      <c r="C9" s="15" t="s">
        <v>1567</v>
      </c>
      <c r="D9" s="15" t="s">
        <v>1570</v>
      </c>
      <c r="E9" s="16" t="str">
        <f aca="false">HYPERLINK("#'Forrásszöveg'!A"&amp;(MATCH("TV-S0004",Forrásszöveg!$A$6:$A$2497,0)+5),"Ez a forráshely")</f>
        <v>Ez a forráshely</v>
      </c>
      <c r="F9" s="16" t="str">
        <f aca="false">HYPERLINK("https://net.jogtar.hu/jogszabaly?docid=a2400069.tv#pr4id","Jogtár megnyitása")</f>
        <v>Jogtár megnyitása</v>
      </c>
    </row>
    <row r="10" customFormat="false" ht="94" hidden="false" customHeight="true" outlineLevel="0" collapsed="false">
      <c r="A10" s="15" t="s">
        <v>1571</v>
      </c>
      <c r="B10" s="15" t="s">
        <v>1299</v>
      </c>
      <c r="C10" s="15" t="s">
        <v>1567</v>
      </c>
      <c r="D10" s="15" t="s">
        <v>1572</v>
      </c>
      <c r="E10" s="16" t="str">
        <f aca="false">HYPERLINK("#'Forrásszöveg'!A"&amp;(MATCH("TV-S0005",Forrásszöveg!$A$6:$A$2497,0)+5),"Ez a forráshely")</f>
        <v>Ez a forráshely</v>
      </c>
      <c r="F10" s="16" t="str">
        <f aca="false">HYPERLINK("https://net.jogtar.hu/jogszabaly?docid=a2400069.tv#pr5id","Jogtár megnyitása")</f>
        <v>Jogtár megnyitása</v>
      </c>
    </row>
    <row r="11" customFormat="false" ht="38" hidden="false" customHeight="true" outlineLevel="0" collapsed="false">
      <c r="A11" s="15" t="s">
        <v>1573</v>
      </c>
      <c r="B11" s="15" t="s">
        <v>1299</v>
      </c>
      <c r="C11" s="15" t="s">
        <v>1567</v>
      </c>
      <c r="D11" s="15" t="s">
        <v>1574</v>
      </c>
      <c r="E11" s="16" t="str">
        <f aca="false">HYPERLINK("#'Forrásszöveg'!A"&amp;(MATCH("TV-S0006",Forrásszöveg!$A$6:$A$2497,0)+5),"Ez a forráshely")</f>
        <v>Ez a forráshely</v>
      </c>
      <c r="F11" s="16" t="str">
        <f aca="false">HYPERLINK("https://net.jogtar.hu/jogszabaly?docid=a2400069.tv#pr6id","Jogtár megnyitása")</f>
        <v>Jogtár megnyitása</v>
      </c>
    </row>
    <row r="12" customFormat="false" ht="34" hidden="false" customHeight="true" outlineLevel="0" collapsed="false">
      <c r="A12" s="15" t="s">
        <v>1575</v>
      </c>
      <c r="B12" s="15" t="s">
        <v>1299</v>
      </c>
      <c r="C12" s="15" t="s">
        <v>1576</v>
      </c>
      <c r="D12" s="15" t="s">
        <v>1576</v>
      </c>
      <c r="E12" s="16" t="str">
        <f aca="false">HYPERLINK("#'Forrásszöveg'!A"&amp;(MATCH("TV-S0007",Forrásszöveg!$A$6:$A$2497,0)+5),"Ez a forráshely")</f>
        <v>Ez a forráshely</v>
      </c>
      <c r="F12" s="16" t="str">
        <f aca="false">HYPERLINK("https://net.jogtar.hu/jogszabaly?docid=a2400069.tv#pr7id","Jogtár megnyitása")</f>
        <v>Jogtár megnyitása</v>
      </c>
    </row>
    <row r="13" customFormat="false" ht="34" hidden="false" customHeight="true" outlineLevel="0" collapsed="false">
      <c r="A13" s="15" t="s">
        <v>1577</v>
      </c>
      <c r="B13" s="15" t="s">
        <v>1299</v>
      </c>
      <c r="C13" s="15" t="s">
        <v>1578</v>
      </c>
      <c r="D13" s="15" t="s">
        <v>1578</v>
      </c>
      <c r="E13" s="16" t="str">
        <f aca="false">HYPERLINK("#'Forrásszöveg'!A"&amp;(MATCH("TV-S0008",Forrásszöveg!$A$6:$A$2497,0)+5),"Ez a forráshely")</f>
        <v>Ez a forráshely</v>
      </c>
      <c r="F13" s="16" t="str">
        <f aca="false">HYPERLINK("https://net.jogtar.hu/jogszabaly?docid=a2400069.tv#pr8id","Jogtár megnyitása")</f>
        <v>Jogtár megnyitása</v>
      </c>
    </row>
    <row r="14" customFormat="false" ht="34" hidden="false" customHeight="true" outlineLevel="0" collapsed="false">
      <c r="A14" s="15" t="s">
        <v>1579</v>
      </c>
      <c r="B14" s="15" t="s">
        <v>1299</v>
      </c>
      <c r="C14" s="15" t="s">
        <v>1301</v>
      </c>
      <c r="D14" s="15" t="s">
        <v>1301</v>
      </c>
      <c r="E14" s="16" t="str">
        <f aca="false">HYPERLINK("#'Forrásszöveg'!A"&amp;(MATCH("TV-S0009",Forrásszöveg!$A$6:$A$2497,0)+5),"Ez a forráshely")</f>
        <v>Ez a forráshely</v>
      </c>
      <c r="F14" s="16" t="str">
        <f aca="false">HYPERLINK("https://net.jogtar.hu/jogszabaly?docid=a2400069.tv#pr9id","Jogtár megnyitása")</f>
        <v>Jogtár megnyitása</v>
      </c>
    </row>
    <row r="15" customFormat="false" ht="38" hidden="false" customHeight="true" outlineLevel="0" collapsed="false">
      <c r="A15" s="15" t="s">
        <v>1580</v>
      </c>
      <c r="B15" s="15" t="s">
        <v>1299</v>
      </c>
      <c r="C15" s="15" t="s">
        <v>1581</v>
      </c>
      <c r="D15" s="15" t="s">
        <v>1582</v>
      </c>
      <c r="E15" s="16" t="str">
        <f aca="false">HYPERLINK("#'Forrásszöveg'!A"&amp;(MATCH("TV-S0010",Forrásszöveg!$A$6:$A$2497,0)+5),"1. § (1) eleje")</f>
        <v>1. § (1) eleje</v>
      </c>
      <c r="F15" s="16" t="str">
        <f aca="false">HYPERLINK("https://net.jogtar.hu/jogszabaly?docid=a2400069.tv#pr10id","Jogtár megnyitása")</f>
        <v>Jogtár megnyitása</v>
      </c>
    </row>
    <row r="16" customFormat="false" ht="34" hidden="false" customHeight="true" outlineLevel="0" collapsed="false">
      <c r="A16" s="15" t="s">
        <v>1583</v>
      </c>
      <c r="B16" s="15" t="s">
        <v>1299</v>
      </c>
      <c r="C16" s="15" t="s">
        <v>1584</v>
      </c>
      <c r="D16" s="15" t="s">
        <v>1585</v>
      </c>
      <c r="E16" s="16" t="str">
        <f aca="false">HYPERLINK("#'Forrásszöveg'!A"&amp;(MATCH("TV-S0010",Forrásszöveg!$A$6:$A$2497,0)+5),"1. § (1) eleje")</f>
        <v>1. § (1) eleje</v>
      </c>
      <c r="F16" s="16" t="str">
        <f aca="false">HYPERLINK("https://net.jogtar.hu/jogszabaly?docid=a2400069.tv#pr11id","Jogtár megnyitása")</f>
        <v>Jogtár megnyitása</v>
      </c>
    </row>
    <row r="17" customFormat="false" ht="38" hidden="false" customHeight="true" outlineLevel="0" collapsed="false">
      <c r="A17" s="15" t="s">
        <v>1586</v>
      </c>
      <c r="B17" s="15" t="s">
        <v>1299</v>
      </c>
      <c r="C17" s="15" t="s">
        <v>1587</v>
      </c>
      <c r="D17" s="15" t="s">
        <v>1588</v>
      </c>
      <c r="E17" s="16" t="str">
        <f aca="false">HYPERLINK("#'Forrásszöveg'!A"&amp;(MATCH("TV-S0010",Forrásszöveg!$A$6:$A$2497,0)+5),"1. § (1) eleje")</f>
        <v>1. § (1) eleje</v>
      </c>
      <c r="F17" s="16" t="str">
        <f aca="false">HYPERLINK("https://net.jogtar.hu/jogszabaly?docid=a2400069.tv#pr12id","Jogtár megnyitása")</f>
        <v>Jogtár megnyitása</v>
      </c>
    </row>
    <row r="18" customFormat="false" ht="34" hidden="false" customHeight="true" outlineLevel="0" collapsed="false">
      <c r="A18" s="15" t="s">
        <v>1589</v>
      </c>
      <c r="B18" s="15" t="s">
        <v>1299</v>
      </c>
      <c r="C18" s="15" t="s">
        <v>1590</v>
      </c>
      <c r="D18" s="15" t="s">
        <v>1591</v>
      </c>
      <c r="E18" s="16" t="str">
        <f aca="false">HYPERLINK("#'Forrásszöveg'!A"&amp;(MATCH("TV-S0010",Forrásszöveg!$A$6:$A$2497,0)+5),"1. § (1) eleje")</f>
        <v>1. § (1) eleje</v>
      </c>
      <c r="F18" s="16" t="str">
        <f aca="false">HYPERLINK("https://net.jogtar.hu/jogszabaly?docid=a2400069.tv#pr13id","Jogtár megnyitása")</f>
        <v>Jogtár megnyitása</v>
      </c>
    </row>
    <row r="19" customFormat="false" ht="52" hidden="false" customHeight="true" outlineLevel="0" collapsed="false">
      <c r="A19" s="15" t="s">
        <v>1592</v>
      </c>
      <c r="B19" s="15" t="s">
        <v>1299</v>
      </c>
      <c r="C19" s="15" t="s">
        <v>1593</v>
      </c>
      <c r="D19" s="15" t="s">
        <v>1594</v>
      </c>
      <c r="E19" s="16" t="str">
        <f aca="false">HYPERLINK("#'Forrásszöveg'!A"&amp;(MATCH("TV-S0010",Forrásszöveg!$A$6:$A$2497,0)+5),"1. § (1) eleje")</f>
        <v>1. § (1) eleje</v>
      </c>
      <c r="F19" s="16" t="str">
        <f aca="false">HYPERLINK("https://net.jogtar.hu/jogszabaly?docid=a2400069.tv#pr14id","Jogtár megnyitása")</f>
        <v>Jogtár megnyitása</v>
      </c>
    </row>
    <row r="20" customFormat="false" ht="66" hidden="false" customHeight="true" outlineLevel="0" collapsed="false">
      <c r="A20" s="15" t="s">
        <v>1595</v>
      </c>
      <c r="B20" s="15" t="s">
        <v>1299</v>
      </c>
      <c r="C20" s="15" t="s">
        <v>1596</v>
      </c>
      <c r="D20" s="15" t="s">
        <v>1597</v>
      </c>
      <c r="E20" s="16" t="str">
        <f aca="false">HYPERLINK("#'Forrásszöveg'!A"&amp;(MATCH("TV-S0010",Forrásszöveg!$A$6:$A$2497,0)+5),"1. § (1) eleje")</f>
        <v>1. § (1) eleje</v>
      </c>
      <c r="F20" s="16" t="str">
        <f aca="false">HYPERLINK("https://net.jogtar.hu/jogszabaly?docid=a2400069.tv#pr15id","Jogtár megnyitása")</f>
        <v>Jogtár megnyitása</v>
      </c>
    </row>
    <row r="21" customFormat="false" ht="66" hidden="false" customHeight="true" outlineLevel="0" collapsed="false">
      <c r="A21" s="15" t="s">
        <v>1598</v>
      </c>
      <c r="B21" s="15" t="s">
        <v>1299</v>
      </c>
      <c r="C21" s="15" t="s">
        <v>1599</v>
      </c>
      <c r="D21" s="15" t="s">
        <v>1600</v>
      </c>
      <c r="E21" s="16" t="str">
        <f aca="false">HYPERLINK("#'Forrásszöveg'!A"&amp;(MATCH("TV-S0010",Forrásszöveg!$A$6:$A$2497,0)+5),"1. § (1) eleje")</f>
        <v>1. § (1) eleje</v>
      </c>
      <c r="F21" s="16" t="str">
        <f aca="false">HYPERLINK("https://net.jogtar.hu/jogszabaly?docid=a2400069.tv#pr16id","Jogtár megnyitása")</f>
        <v>Jogtár megnyitása</v>
      </c>
    </row>
    <row r="22" customFormat="false" ht="34" hidden="false" customHeight="true" outlineLevel="0" collapsed="false">
      <c r="A22" s="15" t="s">
        <v>1601</v>
      </c>
      <c r="B22" s="15" t="s">
        <v>1299</v>
      </c>
      <c r="C22" s="15" t="s">
        <v>1602</v>
      </c>
      <c r="D22" s="15" t="s">
        <v>1603</v>
      </c>
      <c r="E22" s="16" t="str">
        <f aca="false">HYPERLINK("#'Forrásszöveg'!A"&amp;(MATCH("TV-S0010",Forrásszöveg!$A$6:$A$2497,0)+5),"1. § (1) eleje")</f>
        <v>1. § (1) eleje</v>
      </c>
      <c r="F22" s="16" t="str">
        <f aca="false">HYPERLINK("https://net.jogtar.hu/jogszabaly?docid=a2400069.tv#pr17id","Jogtár megnyitása")</f>
        <v>Jogtár megnyitása</v>
      </c>
    </row>
    <row r="23" customFormat="false" ht="52" hidden="false" customHeight="true" outlineLevel="0" collapsed="false">
      <c r="A23" s="15" t="s">
        <v>1604</v>
      </c>
      <c r="B23" s="15" t="s">
        <v>1299</v>
      </c>
      <c r="C23" s="15" t="s">
        <v>1605</v>
      </c>
      <c r="D23" s="15" t="s">
        <v>1606</v>
      </c>
      <c r="E23" s="16" t="str">
        <f aca="false">HYPERLINK("#'Forrásszöveg'!A"&amp;(MATCH("TV-S0010",Forrásszöveg!$A$6:$A$2497,0)+5),"1. § (1) eleje")</f>
        <v>1. § (1) eleje</v>
      </c>
      <c r="F23" s="16" t="str">
        <f aca="false">HYPERLINK("https://net.jogtar.hu/jogszabaly?docid=a2400069.tv#pr18id","Jogtár megnyitása")</f>
        <v>Jogtár megnyitása</v>
      </c>
    </row>
    <row r="24" customFormat="false" ht="38" hidden="false" customHeight="true" outlineLevel="0" collapsed="false">
      <c r="A24" s="15" t="s">
        <v>1607</v>
      </c>
      <c r="B24" s="15" t="s">
        <v>1299</v>
      </c>
      <c r="C24" s="15" t="s">
        <v>1608</v>
      </c>
      <c r="D24" s="15" t="s">
        <v>1609</v>
      </c>
      <c r="E24" s="16" t="str">
        <f aca="false">HYPERLINK("#'Forrásszöveg'!A"&amp;(MATCH("TV-S0010",Forrásszöveg!$A$6:$A$2497,0)+5),"1. § (1) eleje")</f>
        <v>1. § (1) eleje</v>
      </c>
      <c r="F24" s="16" t="str">
        <f aca="false">HYPERLINK("https://net.jogtar.hu/jogszabaly?docid=a2400069.tv#pr19id","Jogtár megnyitása")</f>
        <v>Jogtár megnyitása</v>
      </c>
    </row>
    <row r="25" customFormat="false" ht="34" hidden="false" customHeight="true" outlineLevel="0" collapsed="false">
      <c r="A25" s="15" t="s">
        <v>1610</v>
      </c>
      <c r="B25" s="15" t="s">
        <v>1299</v>
      </c>
      <c r="C25" s="15" t="s">
        <v>1611</v>
      </c>
      <c r="D25" s="15" t="s">
        <v>1612</v>
      </c>
      <c r="E25" s="16" t="str">
        <f aca="false">HYPERLINK("#'Forrásszöveg'!A"&amp;(MATCH("TV-S0010",Forrásszöveg!$A$6:$A$2497,0)+5),"1. § (1) eleje")</f>
        <v>1. § (1) eleje</v>
      </c>
      <c r="F25" s="16" t="str">
        <f aca="false">HYPERLINK("https://net.jogtar.hu/jogszabaly?docid=a2400069.tv#pr20id","Jogtár megnyitása")</f>
        <v>Jogtár megnyitása</v>
      </c>
    </row>
    <row r="26" customFormat="false" ht="34" hidden="false" customHeight="true" outlineLevel="0" collapsed="false">
      <c r="A26" s="15" t="s">
        <v>1613</v>
      </c>
      <c r="B26" s="15" t="s">
        <v>1299</v>
      </c>
      <c r="C26" s="15" t="s">
        <v>1614</v>
      </c>
      <c r="D26" s="15" t="s">
        <v>1615</v>
      </c>
      <c r="E26" s="16" t="str">
        <f aca="false">HYPERLINK("#'Forrásszöveg'!A"&amp;(MATCH("TV-S0010",Forrásszöveg!$A$6:$A$2497,0)+5),"1. § (1) eleje")</f>
        <v>1. § (1) eleje</v>
      </c>
      <c r="F26" s="16" t="str">
        <f aca="false">HYPERLINK("https://net.jogtar.hu/jogszabaly?docid=a2400069.tv#pr21id","Jogtár megnyitása")</f>
        <v>Jogtár megnyitása</v>
      </c>
    </row>
    <row r="27" customFormat="false" ht="34" hidden="false" customHeight="true" outlineLevel="0" collapsed="false">
      <c r="A27" s="15" t="s">
        <v>1616</v>
      </c>
      <c r="B27" s="15" t="s">
        <v>1299</v>
      </c>
      <c r="C27" s="15" t="s">
        <v>1617</v>
      </c>
      <c r="D27" s="15" t="s">
        <v>1618</v>
      </c>
      <c r="E27" s="16" t="str">
        <f aca="false">HYPERLINK("#'Forrásszöveg'!A"&amp;(MATCH("TV-S0010",Forrásszöveg!$A$6:$A$2497,0)+5),"1. § (1) eleje")</f>
        <v>1. § (1) eleje</v>
      </c>
      <c r="F27" s="16" t="str">
        <f aca="false">HYPERLINK("https://net.jogtar.hu/jogszabaly?docid=a2400069.tv#pr22id","Jogtár megnyitása")</f>
        <v>Jogtár megnyitása</v>
      </c>
    </row>
    <row r="28" customFormat="false" ht="34" hidden="false" customHeight="true" outlineLevel="0" collapsed="false">
      <c r="A28" s="15" t="s">
        <v>1619</v>
      </c>
      <c r="B28" s="15" t="s">
        <v>1299</v>
      </c>
      <c r="C28" s="15" t="s">
        <v>1620</v>
      </c>
      <c r="D28" s="15" t="s">
        <v>1621</v>
      </c>
      <c r="E28" s="16" t="str">
        <f aca="false">HYPERLINK("#'Forrásszöveg'!A"&amp;(MATCH("TV-S0010",Forrásszöveg!$A$6:$A$2497,0)+5),"1. § (1) eleje")</f>
        <v>1. § (1) eleje</v>
      </c>
      <c r="F28" s="16" t="str">
        <f aca="false">HYPERLINK("https://net.jogtar.hu/jogszabaly?docid=a2400069.tv#pr23id","Jogtár megnyitása")</f>
        <v>Jogtár megnyitása</v>
      </c>
    </row>
    <row r="29" customFormat="false" ht="34" hidden="false" customHeight="true" outlineLevel="0" collapsed="false">
      <c r="A29" s="15" t="s">
        <v>1622</v>
      </c>
      <c r="B29" s="15" t="s">
        <v>1299</v>
      </c>
      <c r="C29" s="15" t="s">
        <v>1623</v>
      </c>
      <c r="D29" s="15" t="s">
        <v>1624</v>
      </c>
      <c r="E29" s="16" t="str">
        <f aca="false">HYPERLINK("#'Forrásszöveg'!A"&amp;(MATCH("TV-S0010",Forrásszöveg!$A$6:$A$2497,0)+5),"1. § (1) eleje")</f>
        <v>1. § (1) eleje</v>
      </c>
      <c r="F29" s="16" t="str">
        <f aca="false">HYPERLINK("https://net.jogtar.hu/jogszabaly?docid=a2400069.tv#pr24id","Jogtár megnyitása")</f>
        <v>Jogtár megnyitása</v>
      </c>
    </row>
    <row r="30" customFormat="false" ht="34" hidden="false" customHeight="true" outlineLevel="0" collapsed="false">
      <c r="A30" s="15" t="s">
        <v>1625</v>
      </c>
      <c r="B30" s="15" t="s">
        <v>1299</v>
      </c>
      <c r="C30" s="15" t="s">
        <v>1626</v>
      </c>
      <c r="D30" s="15" t="s">
        <v>1627</v>
      </c>
      <c r="E30" s="16" t="str">
        <f aca="false">HYPERLINK("#'Forrásszöveg'!A"&amp;(MATCH("TV-S0010",Forrásszöveg!$A$6:$A$2497,0)+5),"1. § (1) eleje")</f>
        <v>1. § (1) eleje</v>
      </c>
      <c r="F30" s="16" t="str">
        <f aca="false">HYPERLINK("https://net.jogtar.hu/jogszabaly?docid=a2400069.tv#pr25id","Jogtár megnyitása")</f>
        <v>Jogtár megnyitása</v>
      </c>
    </row>
    <row r="31" customFormat="false" ht="66" hidden="false" customHeight="true" outlineLevel="0" collapsed="false">
      <c r="A31" s="15" t="s">
        <v>1628</v>
      </c>
      <c r="B31" s="15" t="s">
        <v>1299</v>
      </c>
      <c r="C31" s="15" t="s">
        <v>1629</v>
      </c>
      <c r="D31" s="15" t="s">
        <v>31</v>
      </c>
      <c r="E31" s="16" t="str">
        <f aca="false">HYPERLINK("#'Forrásszöveg'!A"&amp;(MATCH("TV-S0026",Forrásszöveg!$A$6:$A$2497,0)+5),"1. § (1a) eleje")</f>
        <v>1. § (1a) eleje</v>
      </c>
      <c r="F31" s="16" t="str">
        <f aca="false">HYPERLINK("https://net.jogtar.hu/jogszabaly?docid=a2400069.tv#pr26id","Jogtár megnyitása")</f>
        <v>Jogtár megnyitása</v>
      </c>
    </row>
    <row r="32" customFormat="false" ht="108" hidden="false" customHeight="true" outlineLevel="0" collapsed="false">
      <c r="A32" s="15" t="s">
        <v>1630</v>
      </c>
      <c r="B32" s="15" t="s">
        <v>1299</v>
      </c>
      <c r="C32" s="15" t="s">
        <v>1631</v>
      </c>
      <c r="D32" s="15" t="s">
        <v>34</v>
      </c>
      <c r="E32" s="16" t="str">
        <f aca="false">HYPERLINK("#'Forrásszöveg'!A"&amp;(MATCH("TV-S0027",Forrásszöveg!$A$6:$A$2497,0)+5),"1. § (2) eleje")</f>
        <v>1. § (2) eleje</v>
      </c>
      <c r="F32" s="16" t="str">
        <f aca="false">HYPERLINK("https://net.jogtar.hu/jogszabaly?docid=a2400069.tv#pr27id","Jogtár megnyitása")</f>
        <v>Jogtár megnyitása</v>
      </c>
    </row>
    <row r="33" customFormat="false" ht="52" hidden="false" customHeight="true" outlineLevel="0" collapsed="false">
      <c r="A33" s="15" t="s">
        <v>1632</v>
      </c>
      <c r="B33" s="15" t="s">
        <v>1299</v>
      </c>
      <c r="C33" s="15" t="s">
        <v>1633</v>
      </c>
      <c r="D33" s="15" t="s">
        <v>37</v>
      </c>
      <c r="E33" s="16" t="str">
        <f aca="false">HYPERLINK("#'Forrásszöveg'!A"&amp;(MATCH("TV-S0028",Forrásszöveg!$A$6:$A$2497,0)+5),"1. § (2a) eleje")</f>
        <v>1. § (2a) eleje</v>
      </c>
      <c r="F33" s="16" t="str">
        <f aca="false">HYPERLINK("https://net.jogtar.hu/jogszabaly?docid=a2400069.tv#pr28id","Jogtár megnyitása")</f>
        <v>Jogtár megnyitása</v>
      </c>
    </row>
    <row r="34" customFormat="false" ht="52" hidden="false" customHeight="true" outlineLevel="0" collapsed="false">
      <c r="A34" s="15" t="s">
        <v>1634</v>
      </c>
      <c r="B34" s="15" t="s">
        <v>1299</v>
      </c>
      <c r="C34" s="15" t="s">
        <v>1635</v>
      </c>
      <c r="D34" s="15" t="s">
        <v>40</v>
      </c>
      <c r="E34" s="16" t="str">
        <f aca="false">HYPERLINK("#'Forrásszöveg'!A"&amp;(MATCH("TV-S0029",Forrásszöveg!$A$6:$A$2497,0)+5),"1. § (3) eleje")</f>
        <v>1. § (3) eleje</v>
      </c>
      <c r="F34" s="16" t="str">
        <f aca="false">HYPERLINK("https://net.jogtar.hu/jogszabaly?docid=a2400069.tv#pr29id","Jogtár megnyitása")</f>
        <v>Jogtár megnyitása</v>
      </c>
    </row>
    <row r="35" customFormat="false" ht="34" hidden="false" customHeight="true" outlineLevel="0" collapsed="false">
      <c r="A35" s="15" t="s">
        <v>1636</v>
      </c>
      <c r="B35" s="15" t="s">
        <v>1299</v>
      </c>
      <c r="C35" s="15" t="s">
        <v>1637</v>
      </c>
      <c r="D35" s="15" t="s">
        <v>1638</v>
      </c>
      <c r="E35" s="16" t="str">
        <f aca="false">HYPERLINK("#'Forrásszöveg'!A"&amp;(MATCH("TV-S0030",Forrásszöveg!$A$6:$A$2497,0)+5),"1. § (4) eleje")</f>
        <v>1. § (4) eleje</v>
      </c>
      <c r="F35" s="16" t="str">
        <f aca="false">HYPERLINK("https://net.jogtar.hu/jogszabaly?docid=a2400069.tv#pr30id","Jogtár megnyitása")</f>
        <v>Jogtár megnyitása</v>
      </c>
    </row>
    <row r="36" customFormat="false" ht="38" hidden="false" customHeight="true" outlineLevel="0" collapsed="false">
      <c r="A36" s="15" t="s">
        <v>1639</v>
      </c>
      <c r="B36" s="15" t="s">
        <v>1299</v>
      </c>
      <c r="C36" s="15" t="s">
        <v>1640</v>
      </c>
      <c r="D36" s="15" t="s">
        <v>1641</v>
      </c>
      <c r="E36" s="16" t="str">
        <f aca="false">HYPERLINK("#'Forrásszöveg'!A"&amp;(MATCH("TV-S0030",Forrásszöveg!$A$6:$A$2497,0)+5),"1. § (4) eleje")</f>
        <v>1. § (4) eleje</v>
      </c>
      <c r="F36" s="16" t="str">
        <f aca="false">HYPERLINK("https://net.jogtar.hu/jogszabaly?docid=a2400069.tv#pr31id","Jogtár megnyitása")</f>
        <v>Jogtár megnyitása</v>
      </c>
    </row>
    <row r="37" customFormat="false" ht="34" hidden="false" customHeight="true" outlineLevel="0" collapsed="false">
      <c r="A37" s="15" t="s">
        <v>1642</v>
      </c>
      <c r="B37" s="15" t="s">
        <v>1299</v>
      </c>
      <c r="C37" s="15" t="s">
        <v>1643</v>
      </c>
      <c r="D37" s="15" t="s">
        <v>1644</v>
      </c>
      <c r="E37" s="16" t="str">
        <f aca="false">HYPERLINK("#'Forrásszöveg'!A"&amp;(MATCH("TV-S0030",Forrásszöveg!$A$6:$A$2497,0)+5),"1. § (4) eleje")</f>
        <v>1. § (4) eleje</v>
      </c>
      <c r="F37" s="16" t="str">
        <f aca="false">HYPERLINK("https://net.jogtar.hu/jogszabaly?docid=a2400069.tv#pr32id","Jogtár megnyitása")</f>
        <v>Jogtár megnyitása</v>
      </c>
    </row>
    <row r="38" customFormat="false" ht="38" hidden="false" customHeight="true" outlineLevel="0" collapsed="false">
      <c r="A38" s="15" t="s">
        <v>1645</v>
      </c>
      <c r="B38" s="15" t="s">
        <v>1299</v>
      </c>
      <c r="C38" s="15" t="s">
        <v>1646</v>
      </c>
      <c r="D38" s="15" t="s">
        <v>1647</v>
      </c>
      <c r="E38" s="16" t="str">
        <f aca="false">HYPERLINK("#'Forrásszöveg'!A"&amp;(MATCH("TV-S0030",Forrásszöveg!$A$6:$A$2497,0)+5),"1. § (4) eleje")</f>
        <v>1. § (4) eleje</v>
      </c>
      <c r="F38" s="16" t="str">
        <f aca="false">HYPERLINK("https://net.jogtar.hu/jogszabaly?docid=a2400069.tv#pr33id","Jogtár megnyitása")</f>
        <v>Jogtár megnyitása</v>
      </c>
    </row>
    <row r="39" customFormat="false" ht="34" hidden="false" customHeight="true" outlineLevel="0" collapsed="false">
      <c r="A39" s="15" t="s">
        <v>1648</v>
      </c>
      <c r="B39" s="15" t="s">
        <v>1299</v>
      </c>
      <c r="C39" s="15" t="s">
        <v>1649</v>
      </c>
      <c r="D39" s="15" t="s">
        <v>1650</v>
      </c>
      <c r="E39" s="16" t="str">
        <f aca="false">HYPERLINK("#'Forrásszöveg'!A"&amp;(MATCH("TV-S0030",Forrásszöveg!$A$6:$A$2497,0)+5),"1. § (4) eleje")</f>
        <v>1. § (4) eleje</v>
      </c>
      <c r="F39" s="16" t="str">
        <f aca="false">HYPERLINK("https://net.jogtar.hu/jogszabaly?docid=a2400069.tv#pr34id","Jogtár megnyitása")</f>
        <v>Jogtár megnyitása</v>
      </c>
    </row>
    <row r="40" customFormat="false" ht="34" hidden="false" customHeight="true" outlineLevel="0" collapsed="false">
      <c r="A40" s="15" t="s">
        <v>1651</v>
      </c>
      <c r="B40" s="15" t="s">
        <v>1299</v>
      </c>
      <c r="C40" s="15" t="s">
        <v>1652</v>
      </c>
      <c r="D40" s="15" t="s">
        <v>1653</v>
      </c>
      <c r="E40" s="16" t="str">
        <f aca="false">HYPERLINK("#'Forrásszöveg'!A"&amp;(MATCH("TV-S0030",Forrásszöveg!$A$6:$A$2497,0)+5),"1. § (4) eleje")</f>
        <v>1. § (4) eleje</v>
      </c>
      <c r="F40" s="16" t="str">
        <f aca="false">HYPERLINK("https://net.jogtar.hu/jogszabaly?docid=a2400069.tv#pr35id","Jogtár megnyitása")</f>
        <v>Jogtár megnyitása</v>
      </c>
    </row>
    <row r="41" customFormat="false" ht="52" hidden="false" customHeight="true" outlineLevel="0" collapsed="false">
      <c r="A41" s="15" t="s">
        <v>1654</v>
      </c>
      <c r="B41" s="15" t="s">
        <v>1299</v>
      </c>
      <c r="C41" s="15" t="s">
        <v>1655</v>
      </c>
      <c r="D41" s="15" t="s">
        <v>1656</v>
      </c>
      <c r="E41" s="16" t="str">
        <f aca="false">HYPERLINK("#'Forrásszöveg'!A"&amp;(MATCH("TV-S0030",Forrásszöveg!$A$6:$A$2497,0)+5),"1. § (4) eleje")</f>
        <v>1. § (4) eleje</v>
      </c>
      <c r="F41" s="16" t="str">
        <f aca="false">HYPERLINK("https://net.jogtar.hu/jogszabaly?docid=a2400069.tv#pr36id","Jogtár megnyitása")</f>
        <v>Jogtár megnyitása</v>
      </c>
    </row>
    <row r="42" customFormat="false" ht="38" hidden="false" customHeight="true" outlineLevel="0" collapsed="false">
      <c r="A42" s="15" t="s">
        <v>1657</v>
      </c>
      <c r="B42" s="15" t="s">
        <v>1299</v>
      </c>
      <c r="C42" s="15" t="s">
        <v>1658</v>
      </c>
      <c r="D42" s="15" t="s">
        <v>1659</v>
      </c>
      <c r="E42" s="16" t="str">
        <f aca="false">HYPERLINK("#'Forrásszöveg'!A"&amp;(MATCH("TV-S0030",Forrásszöveg!$A$6:$A$2497,0)+5),"1. § (4) eleje")</f>
        <v>1. § (4) eleje</v>
      </c>
      <c r="F42" s="16" t="str">
        <f aca="false">HYPERLINK("https://net.jogtar.hu/jogszabaly?docid=a2400069.tv#pr37id","Jogtár megnyitása")</f>
        <v>Jogtár megnyitása</v>
      </c>
    </row>
    <row r="43" customFormat="false" ht="34" hidden="false" customHeight="true" outlineLevel="0" collapsed="false">
      <c r="A43" s="15" t="s">
        <v>1660</v>
      </c>
      <c r="B43" s="15" t="s">
        <v>1299</v>
      </c>
      <c r="C43" s="15" t="s">
        <v>1661</v>
      </c>
      <c r="D43" s="15" t="s">
        <v>1662</v>
      </c>
      <c r="E43" s="16" t="str">
        <f aca="false">HYPERLINK("#'Forrásszöveg'!A"&amp;(MATCH("TV-S0030",Forrásszöveg!$A$6:$A$2497,0)+5),"1. § (4) eleje")</f>
        <v>1. § (4) eleje</v>
      </c>
      <c r="F43" s="16" t="str">
        <f aca="false">HYPERLINK("https://net.jogtar.hu/jogszabaly?docid=a2400069.tv#pr38id","Jogtár megnyitása")</f>
        <v>Jogtár megnyitása</v>
      </c>
    </row>
    <row r="44" customFormat="false" ht="38" hidden="false" customHeight="true" outlineLevel="0" collapsed="false">
      <c r="A44" s="15" t="s">
        <v>1663</v>
      </c>
      <c r="B44" s="15" t="s">
        <v>1299</v>
      </c>
      <c r="C44" s="15" t="s">
        <v>1664</v>
      </c>
      <c r="D44" s="15" t="s">
        <v>1665</v>
      </c>
      <c r="E44" s="16" t="str">
        <f aca="false">HYPERLINK("#'Forrásszöveg'!A"&amp;(MATCH("TV-S0039",Forrásszöveg!$A$6:$A$2497,0)+5),"1. § (5) eleje")</f>
        <v>1. § (5) eleje</v>
      </c>
      <c r="F44" s="16" t="str">
        <f aca="false">HYPERLINK("https://net.jogtar.hu/jogszabaly?docid=a2400069.tv#pr39id","Jogtár megnyitása")</f>
        <v>Jogtár megnyitása</v>
      </c>
    </row>
    <row r="45" customFormat="false" ht="34" hidden="false" customHeight="true" outlineLevel="0" collapsed="false">
      <c r="A45" s="15" t="s">
        <v>1666</v>
      </c>
      <c r="B45" s="15" t="s">
        <v>1299</v>
      </c>
      <c r="C45" s="15" t="s">
        <v>1667</v>
      </c>
      <c r="D45" s="15" t="s">
        <v>1668</v>
      </c>
      <c r="E45" s="16" t="str">
        <f aca="false">HYPERLINK("#'Forrásszöveg'!A"&amp;(MATCH("TV-S0039",Forrásszöveg!$A$6:$A$2497,0)+5),"1. § (5) eleje")</f>
        <v>1. § (5) eleje</v>
      </c>
      <c r="F45" s="16" t="str">
        <f aca="false">HYPERLINK("https://net.jogtar.hu/jogszabaly?docid=a2400069.tv#pr40id","Jogtár megnyitása")</f>
        <v>Jogtár megnyitása</v>
      </c>
    </row>
    <row r="46" customFormat="false" ht="38" hidden="false" customHeight="true" outlineLevel="0" collapsed="false">
      <c r="A46" s="15" t="s">
        <v>1669</v>
      </c>
      <c r="B46" s="15" t="s">
        <v>1299</v>
      </c>
      <c r="C46" s="15" t="s">
        <v>1670</v>
      </c>
      <c r="D46" s="15" t="s">
        <v>1671</v>
      </c>
      <c r="E46" s="16" t="str">
        <f aca="false">HYPERLINK("#'Forrásszöveg'!A"&amp;(MATCH("TV-S0039",Forrásszöveg!$A$6:$A$2497,0)+5),"1. § (5) eleje")</f>
        <v>1. § (5) eleje</v>
      </c>
      <c r="F46" s="16" t="str">
        <f aca="false">HYPERLINK("https://net.jogtar.hu/jogszabaly?docid=a2400069.tv#pr41id","Jogtár megnyitása")</f>
        <v>Jogtár megnyitása</v>
      </c>
    </row>
    <row r="47" customFormat="false" ht="34" hidden="false" customHeight="true" outlineLevel="0" collapsed="false">
      <c r="A47" s="15" t="s">
        <v>1672</v>
      </c>
      <c r="B47" s="15" t="s">
        <v>1299</v>
      </c>
      <c r="C47" s="15" t="s">
        <v>1673</v>
      </c>
      <c r="D47" s="15" t="s">
        <v>1674</v>
      </c>
      <c r="E47" s="16" t="str">
        <f aca="false">HYPERLINK("#'Forrásszöveg'!A"&amp;(MATCH("TV-S0039",Forrásszöveg!$A$6:$A$2497,0)+5),"1. § (5) eleje")</f>
        <v>1. § (5) eleje</v>
      </c>
      <c r="F47" s="16" t="str">
        <f aca="false">HYPERLINK("https://net.jogtar.hu/jogszabaly?docid=a2400069.tv#pr42id","Jogtár megnyitása")</f>
        <v>Jogtár megnyitása</v>
      </c>
    </row>
    <row r="48" customFormat="false" ht="34" hidden="false" customHeight="true" outlineLevel="0" collapsed="false">
      <c r="A48" s="15" t="s">
        <v>1675</v>
      </c>
      <c r="B48" s="15" t="s">
        <v>1299</v>
      </c>
      <c r="C48" s="15" t="s">
        <v>1676</v>
      </c>
      <c r="D48" s="15" t="s">
        <v>1677</v>
      </c>
      <c r="E48" s="16" t="str">
        <f aca="false">HYPERLINK("#'Forrásszöveg'!A"&amp;(MATCH("TV-S0039",Forrásszöveg!$A$6:$A$2497,0)+5),"1. § (5) eleje")</f>
        <v>1. § (5) eleje</v>
      </c>
      <c r="F48" s="16" t="str">
        <f aca="false">HYPERLINK("https://net.jogtar.hu/jogszabaly?docid=a2400069.tv#pr43id","Jogtár megnyitása")</f>
        <v>Jogtár megnyitása</v>
      </c>
    </row>
    <row r="49" customFormat="false" ht="34" hidden="false" customHeight="true" outlineLevel="0" collapsed="false">
      <c r="A49" s="15" t="s">
        <v>1678</v>
      </c>
      <c r="B49" s="15" t="s">
        <v>1299</v>
      </c>
      <c r="C49" s="15" t="s">
        <v>1679</v>
      </c>
      <c r="D49" s="15" t="s">
        <v>1680</v>
      </c>
      <c r="E49" s="16" t="str">
        <f aca="false">HYPERLINK("#'Forrásszöveg'!A"&amp;(MATCH("TV-S0044",Forrásszöveg!$A$6:$A$2497,0)+5),"1. § (6) eleje")</f>
        <v>1. § (6) eleje</v>
      </c>
      <c r="F49" s="16" t="str">
        <f aca="false">HYPERLINK("https://net.jogtar.hu/jogszabaly?docid=a2400069.tv#pr44id","Jogtár megnyitása")</f>
        <v>Jogtár megnyitása</v>
      </c>
    </row>
    <row r="50" customFormat="false" ht="38" hidden="false" customHeight="true" outlineLevel="0" collapsed="false">
      <c r="A50" s="15" t="s">
        <v>1681</v>
      </c>
      <c r="B50" s="15" t="s">
        <v>1299</v>
      </c>
      <c r="C50" s="15" t="s">
        <v>1682</v>
      </c>
      <c r="D50" s="15" t="s">
        <v>1683</v>
      </c>
      <c r="E50" s="16" t="str">
        <f aca="false">HYPERLINK("#'Forrásszöveg'!A"&amp;(MATCH("TV-S0044",Forrásszöveg!$A$6:$A$2497,0)+5),"1. § (6) eleje")</f>
        <v>1. § (6) eleje</v>
      </c>
      <c r="F50" s="16" t="str">
        <f aca="false">HYPERLINK("https://net.jogtar.hu/jogszabaly?docid=a2400069.tv#pr45id","Jogtár megnyitása")</f>
        <v>Jogtár megnyitása</v>
      </c>
    </row>
    <row r="51" customFormat="false" ht="34" hidden="false" customHeight="true" outlineLevel="0" collapsed="false">
      <c r="A51" s="15" t="s">
        <v>1684</v>
      </c>
      <c r="B51" s="15" t="s">
        <v>1299</v>
      </c>
      <c r="C51" s="15" t="s">
        <v>1685</v>
      </c>
      <c r="D51" s="15" t="s">
        <v>1686</v>
      </c>
      <c r="E51" s="16" t="str">
        <f aca="false">HYPERLINK("#'Forrásszöveg'!A"&amp;(MATCH("TV-S0044",Forrásszöveg!$A$6:$A$2497,0)+5),"1. § (6) eleje")</f>
        <v>1. § (6) eleje</v>
      </c>
      <c r="F51" s="16" t="str">
        <f aca="false">HYPERLINK("https://net.jogtar.hu/jogszabaly?docid=a2400069.tv#pr46id","Jogtár megnyitása")</f>
        <v>Jogtár megnyitása</v>
      </c>
    </row>
    <row r="52" customFormat="false" ht="38" hidden="false" customHeight="true" outlineLevel="0" collapsed="false">
      <c r="A52" s="15" t="s">
        <v>1687</v>
      </c>
      <c r="B52" s="15" t="s">
        <v>1299</v>
      </c>
      <c r="C52" s="15" t="s">
        <v>1688</v>
      </c>
      <c r="D52" s="15" t="s">
        <v>1689</v>
      </c>
      <c r="E52" s="16" t="str">
        <f aca="false">HYPERLINK("#'Forrásszöveg'!A"&amp;(MATCH("TV-S0044",Forrásszöveg!$A$6:$A$2497,0)+5),"1. § (6) eleje")</f>
        <v>1. § (6) eleje</v>
      </c>
      <c r="F52" s="16" t="str">
        <f aca="false">HYPERLINK("https://net.jogtar.hu/jogszabaly?docid=a2400069.tv#pr47id","Jogtár megnyitása")</f>
        <v>Jogtár megnyitása</v>
      </c>
    </row>
    <row r="53" customFormat="false" ht="38" hidden="false" customHeight="true" outlineLevel="0" collapsed="false">
      <c r="A53" s="15" t="s">
        <v>1690</v>
      </c>
      <c r="B53" s="15" t="s">
        <v>1299</v>
      </c>
      <c r="C53" s="15" t="s">
        <v>1691</v>
      </c>
      <c r="D53" s="15" t="s">
        <v>1692</v>
      </c>
      <c r="E53" s="16" t="str">
        <f aca="false">HYPERLINK("#'Forrásszöveg'!A"&amp;(MATCH("TV-S0044",Forrásszöveg!$A$6:$A$2497,0)+5),"1. § (6) eleje")</f>
        <v>1. § (6) eleje</v>
      </c>
      <c r="F53" s="16" t="str">
        <f aca="false">HYPERLINK("https://net.jogtar.hu/jogszabaly?docid=a2400069.tv#pr48id","Jogtár megnyitása")</f>
        <v>Jogtár megnyitása</v>
      </c>
    </row>
    <row r="54" customFormat="false" ht="38" hidden="false" customHeight="true" outlineLevel="0" collapsed="false">
      <c r="A54" s="15" t="s">
        <v>1693</v>
      </c>
      <c r="B54" s="15" t="s">
        <v>1299</v>
      </c>
      <c r="C54" s="15" t="s">
        <v>1694</v>
      </c>
      <c r="D54" s="15" t="s">
        <v>1695</v>
      </c>
      <c r="E54" s="16" t="str">
        <f aca="false">HYPERLINK("#'Forrásszöveg'!A"&amp;(MATCH("TV-S0044",Forrásszöveg!$A$6:$A$2497,0)+5),"1. § (6) eleje")</f>
        <v>1. § (6) eleje</v>
      </c>
      <c r="F54" s="16" t="str">
        <f aca="false">HYPERLINK("https://net.jogtar.hu/jogszabaly?docid=a2400069.tv#pr49id","Jogtár megnyitása")</f>
        <v>Jogtár megnyitása</v>
      </c>
    </row>
    <row r="55" customFormat="false" ht="52" hidden="false" customHeight="true" outlineLevel="0" collapsed="false">
      <c r="A55" s="15" t="s">
        <v>1696</v>
      </c>
      <c r="B55" s="15" t="s">
        <v>1299</v>
      </c>
      <c r="C55" s="15" t="s">
        <v>1697</v>
      </c>
      <c r="D55" s="15" t="s">
        <v>1698</v>
      </c>
      <c r="E55" s="16" t="str">
        <f aca="false">HYPERLINK("#'Forrásszöveg'!A"&amp;(MATCH("TV-S0044",Forrásszöveg!$A$6:$A$2497,0)+5),"1. § (6) eleje")</f>
        <v>1. § (6) eleje</v>
      </c>
      <c r="F55" s="16" t="str">
        <f aca="false">HYPERLINK("https://net.jogtar.hu/jogszabaly?docid=a2400069.tv#pr50id","Jogtár megnyitása")</f>
        <v>Jogtár megnyitása</v>
      </c>
    </row>
    <row r="56" customFormat="false" ht="38" hidden="false" customHeight="true" outlineLevel="0" collapsed="false">
      <c r="A56" s="15" t="s">
        <v>1699</v>
      </c>
      <c r="B56" s="15" t="s">
        <v>1299</v>
      </c>
      <c r="C56" s="15" t="s">
        <v>1700</v>
      </c>
      <c r="D56" s="15" t="s">
        <v>1701</v>
      </c>
      <c r="E56" s="16" t="str">
        <f aca="false">HYPERLINK("#'Forrásszöveg'!A"&amp;(MATCH("TV-S0044",Forrásszöveg!$A$6:$A$2497,0)+5),"1. § (6) eleje")</f>
        <v>1. § (6) eleje</v>
      </c>
      <c r="F56" s="16" t="str">
        <f aca="false">HYPERLINK("https://net.jogtar.hu/jogszabaly?docid=a2400069.tv#pr51id","Jogtár megnyitása")</f>
        <v>Jogtár megnyitása</v>
      </c>
    </row>
    <row r="57" customFormat="false" ht="34" hidden="false" customHeight="true" outlineLevel="0" collapsed="false">
      <c r="A57" s="15" t="s">
        <v>1702</v>
      </c>
      <c r="B57" s="15" t="s">
        <v>1299</v>
      </c>
      <c r="C57" s="15" t="s">
        <v>1703</v>
      </c>
      <c r="D57" s="15" t="s">
        <v>1704</v>
      </c>
      <c r="E57" s="16" t="str">
        <f aca="false">HYPERLINK("#'Forrásszöveg'!A"&amp;(MATCH("TV-S0044",Forrásszöveg!$A$6:$A$2497,0)+5),"1. § (6) eleje")</f>
        <v>1. § (6) eleje</v>
      </c>
      <c r="F57" s="16" t="str">
        <f aca="false">HYPERLINK("https://net.jogtar.hu/jogszabaly?docid=a2400069.tv#pr52id","Jogtár megnyitása")</f>
        <v>Jogtár megnyitása</v>
      </c>
    </row>
    <row r="58" customFormat="false" ht="34" hidden="false" customHeight="true" outlineLevel="0" collapsed="false">
      <c r="A58" s="15" t="s">
        <v>1705</v>
      </c>
      <c r="B58" s="15" t="s">
        <v>1299</v>
      </c>
      <c r="C58" s="15" t="s">
        <v>1706</v>
      </c>
      <c r="D58" s="15" t="s">
        <v>1707</v>
      </c>
      <c r="E58" s="16" t="str">
        <f aca="false">HYPERLINK("#'Forrásszöveg'!A"&amp;(MATCH("TV-S0044",Forrásszöveg!$A$6:$A$2497,0)+5),"1. § (6) eleje")</f>
        <v>1. § (6) eleje</v>
      </c>
      <c r="F58" s="16" t="str">
        <f aca="false">HYPERLINK("https://net.jogtar.hu/jogszabaly?docid=a2400069.tv#pr53id","Jogtár megnyitása")</f>
        <v>Jogtár megnyitása</v>
      </c>
    </row>
    <row r="59" customFormat="false" ht="34" hidden="false" customHeight="true" outlineLevel="0" collapsed="false">
      <c r="A59" s="15" t="s">
        <v>1708</v>
      </c>
      <c r="B59" s="15" t="s">
        <v>1299</v>
      </c>
      <c r="C59" s="15" t="s">
        <v>1709</v>
      </c>
      <c r="D59" s="15" t="s">
        <v>1710</v>
      </c>
      <c r="E59" s="16" t="str">
        <f aca="false">HYPERLINK("#'Forrásszöveg'!A"&amp;(MATCH("TV-S0044",Forrásszöveg!$A$6:$A$2497,0)+5),"1. § (6) eleje")</f>
        <v>1. § (6) eleje</v>
      </c>
      <c r="F59" s="16" t="str">
        <f aca="false">HYPERLINK("https://net.jogtar.hu/jogszabaly?docid=a2400069.tv#pr54id","Jogtár megnyitása")</f>
        <v>Jogtár megnyitása</v>
      </c>
    </row>
    <row r="60" customFormat="false" ht="34" hidden="false" customHeight="true" outlineLevel="0" collapsed="false">
      <c r="A60" s="15" t="s">
        <v>1711</v>
      </c>
      <c r="B60" s="15" t="s">
        <v>1299</v>
      </c>
      <c r="C60" s="15" t="s">
        <v>1712</v>
      </c>
      <c r="D60" s="15" t="s">
        <v>1713</v>
      </c>
      <c r="E60" s="16" t="str">
        <f aca="false">HYPERLINK("#'Forrásszöveg'!A"&amp;(MATCH("TV-S0044",Forrásszöveg!$A$6:$A$2497,0)+5),"1. § (6) eleje")</f>
        <v>1. § (6) eleje</v>
      </c>
      <c r="F60" s="16" t="str">
        <f aca="false">HYPERLINK("https://net.jogtar.hu/jogszabaly?docid=a2400069.tv#pr55id","Jogtár megnyitása")</f>
        <v>Jogtár megnyitása</v>
      </c>
    </row>
    <row r="61" customFormat="false" ht="38" hidden="false" customHeight="true" outlineLevel="0" collapsed="false">
      <c r="A61" s="15" t="s">
        <v>1714</v>
      </c>
      <c r="B61" s="15" t="s">
        <v>1299</v>
      </c>
      <c r="C61" s="15" t="s">
        <v>1715</v>
      </c>
      <c r="D61" s="15" t="s">
        <v>1716</v>
      </c>
      <c r="E61" s="16" t="str">
        <f aca="false">HYPERLINK("#'Forrásszöveg'!A"&amp;(MATCH("TV-S0044",Forrásszöveg!$A$6:$A$2497,0)+5),"1. § (6) eleje")</f>
        <v>1. § (6) eleje</v>
      </c>
      <c r="F61" s="16" t="str">
        <f aca="false">HYPERLINK("https://net.jogtar.hu/jogszabaly?docid=a2400069.tv#pr56id","Jogtár megnyitása")</f>
        <v>Jogtár megnyitása</v>
      </c>
    </row>
    <row r="62" customFormat="false" ht="38" hidden="false" customHeight="true" outlineLevel="0" collapsed="false">
      <c r="A62" s="15" t="s">
        <v>1717</v>
      </c>
      <c r="B62" s="15" t="s">
        <v>1299</v>
      </c>
      <c r="C62" s="15" t="s">
        <v>1718</v>
      </c>
      <c r="D62" s="15" t="s">
        <v>1719</v>
      </c>
      <c r="E62" s="16" t="str">
        <f aca="false">HYPERLINK("#'Forrásszöveg'!A"&amp;(MATCH("TV-S0044",Forrásszöveg!$A$6:$A$2497,0)+5),"1. § (6) eleje")</f>
        <v>1. § (6) eleje</v>
      </c>
      <c r="F62" s="16" t="str">
        <f aca="false">HYPERLINK("https://net.jogtar.hu/jogszabaly?docid=a2400069.tv#pr57id","Jogtár megnyitása")</f>
        <v>Jogtár megnyitása</v>
      </c>
    </row>
    <row r="63" customFormat="false" ht="52" hidden="false" customHeight="true" outlineLevel="0" collapsed="false">
      <c r="A63" s="15" t="s">
        <v>1720</v>
      </c>
      <c r="B63" s="15" t="s">
        <v>1299</v>
      </c>
      <c r="C63" s="15" t="s">
        <v>1721</v>
      </c>
      <c r="D63" s="15" t="s">
        <v>52</v>
      </c>
      <c r="E63" s="16" t="str">
        <f aca="false">HYPERLINK("#'Forrásszöveg'!A"&amp;(MATCH("TV-S0058",Forrásszöveg!$A$6:$A$2497,0)+5),"1. § (7) eleje")</f>
        <v>1. § (7) eleje</v>
      </c>
      <c r="F63" s="16" t="str">
        <f aca="false">HYPERLINK("https://net.jogtar.hu/jogszabaly?docid=a2400069.tv#pr58id","Jogtár megnyitása")</f>
        <v>Jogtár megnyitása</v>
      </c>
    </row>
    <row r="64" customFormat="false" ht="66" hidden="false" customHeight="true" outlineLevel="0" collapsed="false">
      <c r="A64" s="15" t="s">
        <v>1722</v>
      </c>
      <c r="B64" s="15" t="s">
        <v>1299</v>
      </c>
      <c r="C64" s="15" t="s">
        <v>1723</v>
      </c>
      <c r="D64" s="15" t="s">
        <v>1724</v>
      </c>
      <c r="E64" s="16" t="str">
        <f aca="false">HYPERLINK("#'Forrásszöveg'!A"&amp;(MATCH("TV-S0059",Forrásszöveg!$A$6:$A$2497,0)+5),"1. § (8) eleje")</f>
        <v>1. § (8) eleje</v>
      </c>
      <c r="F64" s="16" t="str">
        <f aca="false">HYPERLINK("https://net.jogtar.hu/jogszabaly?docid=a2400069.tv#pr59id","Jogtár megnyitása")</f>
        <v>Jogtár megnyitása</v>
      </c>
    </row>
    <row r="65" customFormat="false" ht="34" hidden="false" customHeight="true" outlineLevel="0" collapsed="false">
      <c r="A65" s="15" t="s">
        <v>1725</v>
      </c>
      <c r="B65" s="15" t="s">
        <v>1299</v>
      </c>
      <c r="C65" s="15" t="s">
        <v>1726</v>
      </c>
      <c r="D65" s="15" t="s">
        <v>1727</v>
      </c>
      <c r="E65" s="16" t="str">
        <f aca="false">HYPERLINK("#'Forrásszöveg'!A"&amp;(MATCH("TV-S0059",Forrásszöveg!$A$6:$A$2497,0)+5),"1. § (8) eleje")</f>
        <v>1. § (8) eleje</v>
      </c>
      <c r="F65" s="16" t="str">
        <f aca="false">HYPERLINK("https://net.jogtar.hu/jogszabaly?docid=a2400069.tv#pr60id","Jogtár megnyitása")</f>
        <v>Jogtár megnyitása</v>
      </c>
    </row>
    <row r="66" customFormat="false" ht="38" hidden="false" customHeight="true" outlineLevel="0" collapsed="false">
      <c r="A66" s="15" t="s">
        <v>1728</v>
      </c>
      <c r="B66" s="15" t="s">
        <v>1299</v>
      </c>
      <c r="C66" s="15" t="s">
        <v>1729</v>
      </c>
      <c r="D66" s="15" t="s">
        <v>1730</v>
      </c>
      <c r="E66" s="16" t="str">
        <f aca="false">HYPERLINK("#'Forrásszöveg'!A"&amp;(MATCH("TV-S0059",Forrásszöveg!$A$6:$A$2497,0)+5),"1. § (8) eleje")</f>
        <v>1. § (8) eleje</v>
      </c>
      <c r="F66" s="16" t="str">
        <f aca="false">HYPERLINK("https://net.jogtar.hu/jogszabaly?docid=a2400069.tv#pr61id","Jogtár megnyitása")</f>
        <v>Jogtár megnyitása</v>
      </c>
    </row>
    <row r="67" customFormat="false" ht="34" hidden="false" customHeight="true" outlineLevel="0" collapsed="false">
      <c r="A67" s="15" t="s">
        <v>1731</v>
      </c>
      <c r="B67" s="15" t="s">
        <v>1299</v>
      </c>
      <c r="C67" s="15" t="s">
        <v>1732</v>
      </c>
      <c r="D67" s="15" t="s">
        <v>1733</v>
      </c>
      <c r="E67" s="16" t="str">
        <f aca="false">HYPERLINK("#'Forrásszöveg'!A"&amp;(MATCH("TV-S0059",Forrásszöveg!$A$6:$A$2497,0)+5),"1. § (8) eleje")</f>
        <v>1. § (8) eleje</v>
      </c>
      <c r="F67" s="16" t="str">
        <f aca="false">HYPERLINK("https://net.jogtar.hu/jogszabaly?docid=a2400069.tv#pr62id","Jogtár megnyitása")</f>
        <v>Jogtár megnyitása</v>
      </c>
    </row>
    <row r="68" customFormat="false" ht="34" hidden="false" customHeight="true" outlineLevel="0" collapsed="false">
      <c r="A68" s="15" t="s">
        <v>1734</v>
      </c>
      <c r="B68" s="15" t="s">
        <v>1299</v>
      </c>
      <c r="C68" s="15" t="s">
        <v>1735</v>
      </c>
      <c r="D68" s="15" t="s">
        <v>1736</v>
      </c>
      <c r="E68" s="16" t="str">
        <f aca="false">HYPERLINK("#'Forrásszöveg'!A"&amp;(MATCH("TV-S0059",Forrásszöveg!$A$6:$A$2497,0)+5),"1. § (8) eleje")</f>
        <v>1. § (8) eleje</v>
      </c>
      <c r="F68" s="16" t="str">
        <f aca="false">HYPERLINK("https://net.jogtar.hu/jogszabaly?docid=a2400069.tv#pr63id","Jogtár megnyitása")</f>
        <v>Jogtár megnyitása</v>
      </c>
    </row>
    <row r="69" customFormat="false" ht="34" hidden="false" customHeight="true" outlineLevel="0" collapsed="false">
      <c r="A69" s="15" t="s">
        <v>1737</v>
      </c>
      <c r="B69" s="15" t="s">
        <v>1299</v>
      </c>
      <c r="C69" s="15" t="s">
        <v>1738</v>
      </c>
      <c r="D69" s="15" t="s">
        <v>1739</v>
      </c>
      <c r="E69" s="16" t="str">
        <f aca="false">HYPERLINK("#'Forrásszöveg'!A"&amp;(MATCH("TV-S0059",Forrásszöveg!$A$6:$A$2497,0)+5),"1. § (8) eleje")</f>
        <v>1. § (8) eleje</v>
      </c>
      <c r="F69" s="16" t="str">
        <f aca="false">HYPERLINK("https://net.jogtar.hu/jogszabaly?docid=a2400069.tv#pr64id","Jogtár megnyitása")</f>
        <v>Jogtár megnyitása</v>
      </c>
    </row>
    <row r="70" customFormat="false" ht="34" hidden="false" customHeight="true" outlineLevel="0" collapsed="false">
      <c r="A70" s="15" t="s">
        <v>1740</v>
      </c>
      <c r="B70" s="15" t="s">
        <v>1299</v>
      </c>
      <c r="C70" s="15" t="s">
        <v>1741</v>
      </c>
      <c r="D70" s="15" t="s">
        <v>1742</v>
      </c>
      <c r="E70" s="16" t="str">
        <f aca="false">HYPERLINK("#'Forrásszöveg'!A"&amp;(MATCH("TV-S0059",Forrásszöveg!$A$6:$A$2497,0)+5),"1. § (8) eleje")</f>
        <v>1. § (8) eleje</v>
      </c>
      <c r="F70" s="16" t="str">
        <f aca="false">HYPERLINK("https://net.jogtar.hu/jogszabaly?docid=a2400069.tv#pr65id","Jogtár megnyitása")</f>
        <v>Jogtár megnyitása</v>
      </c>
    </row>
    <row r="71" customFormat="false" ht="34" hidden="false" customHeight="true" outlineLevel="0" collapsed="false">
      <c r="A71" s="15" t="s">
        <v>1743</v>
      </c>
      <c r="B71" s="15" t="s">
        <v>1299</v>
      </c>
      <c r="C71" s="15" t="s">
        <v>1744</v>
      </c>
      <c r="D71" s="15" t="s">
        <v>1745</v>
      </c>
      <c r="E71" s="16" t="str">
        <f aca="false">HYPERLINK("#'Forrásszöveg'!A"&amp;(MATCH("TV-S0059",Forrásszöveg!$A$6:$A$2497,0)+5),"1. § (8) eleje")</f>
        <v>1. § (8) eleje</v>
      </c>
      <c r="F71" s="16" t="str">
        <f aca="false">HYPERLINK("https://net.jogtar.hu/jogszabaly?docid=a2400069.tv#pr66id","Jogtár megnyitása")</f>
        <v>Jogtár megnyitása</v>
      </c>
    </row>
    <row r="72" customFormat="false" ht="34" hidden="false" customHeight="true" outlineLevel="0" collapsed="false">
      <c r="A72" s="15" t="s">
        <v>1746</v>
      </c>
      <c r="B72" s="15" t="s">
        <v>1299</v>
      </c>
      <c r="C72" s="15" t="s">
        <v>1747</v>
      </c>
      <c r="D72" s="15" t="s">
        <v>1748</v>
      </c>
      <c r="E72" s="16" t="str">
        <f aca="false">HYPERLINK("#'Forrásszöveg'!A"&amp;(MATCH("TV-S0059",Forrásszöveg!$A$6:$A$2497,0)+5),"1. § (8) eleje")</f>
        <v>1. § (8) eleje</v>
      </c>
      <c r="F72" s="16" t="str">
        <f aca="false">HYPERLINK("https://net.jogtar.hu/jogszabaly?docid=a2400069.tv#pr67id","Jogtár megnyitása")</f>
        <v>Jogtár megnyitása</v>
      </c>
    </row>
    <row r="73" customFormat="false" ht="34" hidden="false" customHeight="true" outlineLevel="0" collapsed="false">
      <c r="A73" s="15" t="s">
        <v>1749</v>
      </c>
      <c r="B73" s="15" t="s">
        <v>1299</v>
      </c>
      <c r="C73" s="15" t="s">
        <v>1750</v>
      </c>
      <c r="D73" s="15" t="s">
        <v>1751</v>
      </c>
      <c r="E73" s="16" t="str">
        <f aca="false">HYPERLINK("#'Forrásszöveg'!A"&amp;(MATCH("TV-S0068",Forrásszöveg!$A$6:$A$2497,0)+5),"1. § (9) eleje")</f>
        <v>1. § (9) eleje</v>
      </c>
      <c r="F73" s="16" t="str">
        <f aca="false">HYPERLINK("https://net.jogtar.hu/jogszabaly?docid=a2400069.tv#pr68id","Jogtár megnyitása")</f>
        <v>Jogtár megnyitása</v>
      </c>
    </row>
    <row r="74" customFormat="false" ht="34" hidden="false" customHeight="true" outlineLevel="0" collapsed="false">
      <c r="A74" s="15" t="s">
        <v>1752</v>
      </c>
      <c r="B74" s="15" t="s">
        <v>1299</v>
      </c>
      <c r="C74" s="15" t="s">
        <v>1753</v>
      </c>
      <c r="D74" s="15" t="s">
        <v>1754</v>
      </c>
      <c r="E74" s="16" t="str">
        <f aca="false">HYPERLINK("#'Forrásszöveg'!A"&amp;(MATCH("TV-S0068",Forrásszöveg!$A$6:$A$2497,0)+5),"1. § (9) eleje")</f>
        <v>1. § (9) eleje</v>
      </c>
      <c r="F74" s="16" t="str">
        <f aca="false">HYPERLINK("https://net.jogtar.hu/jogszabaly?docid=a2400069.tv#pr69id","Jogtár megnyitása")</f>
        <v>Jogtár megnyitása</v>
      </c>
    </row>
    <row r="75" customFormat="false" ht="38" hidden="false" customHeight="true" outlineLevel="0" collapsed="false">
      <c r="A75" s="15" t="s">
        <v>1755</v>
      </c>
      <c r="B75" s="15" t="s">
        <v>1299</v>
      </c>
      <c r="C75" s="15" t="s">
        <v>1756</v>
      </c>
      <c r="D75" s="15" t="s">
        <v>1757</v>
      </c>
      <c r="E75" s="16" t="str">
        <f aca="false">HYPERLINK("#'Forrásszöveg'!A"&amp;(MATCH("TV-S0068",Forrásszöveg!$A$6:$A$2497,0)+5),"1. § (9) eleje")</f>
        <v>1. § (9) eleje</v>
      </c>
      <c r="F75" s="16" t="str">
        <f aca="false">HYPERLINK("https://net.jogtar.hu/jogszabaly?docid=a2400069.tv#pr70id","Jogtár megnyitása")</f>
        <v>Jogtár megnyitása</v>
      </c>
    </row>
    <row r="76" customFormat="false" ht="34" hidden="false" customHeight="true" outlineLevel="0" collapsed="false">
      <c r="A76" s="15" t="s">
        <v>1758</v>
      </c>
      <c r="B76" s="15" t="s">
        <v>1299</v>
      </c>
      <c r="C76" s="15" t="s">
        <v>1750</v>
      </c>
      <c r="D76" s="15" t="s">
        <v>1759</v>
      </c>
      <c r="E76" s="16" t="str">
        <f aca="false">HYPERLINK("#'Forrásszöveg'!A"&amp;(MATCH("TV-S0068",Forrásszöveg!$A$6:$A$2497,0)+5),"1. § (9) eleje")</f>
        <v>1. § (9) eleje</v>
      </c>
      <c r="F76" s="16" t="str">
        <f aca="false">HYPERLINK("https://net.jogtar.hu/jogszabaly?docid=a2400069.tv#pr71id","Jogtár megnyitása")</f>
        <v>Jogtár megnyitása</v>
      </c>
    </row>
    <row r="77" customFormat="false" ht="34" hidden="false" customHeight="true" outlineLevel="0" collapsed="false">
      <c r="A77" s="15" t="s">
        <v>1760</v>
      </c>
      <c r="B77" s="15" t="s">
        <v>1299</v>
      </c>
      <c r="C77" s="15" t="s">
        <v>1761</v>
      </c>
      <c r="D77" s="15" t="s">
        <v>1762</v>
      </c>
      <c r="E77" s="16" t="str">
        <f aca="false">HYPERLINK("#'Forrásszöveg'!A"&amp;(MATCH("TV-S0072",Forrásszöveg!$A$6:$A$2497,0)+5),"1. § (10) eleje")</f>
        <v>1. § (10) eleje</v>
      </c>
      <c r="F77" s="16" t="str">
        <f aca="false">HYPERLINK("https://net.jogtar.hu/jogszabaly?docid=a2400069.tv#pr72id","Jogtár megnyitása")</f>
        <v>Jogtár megnyitása</v>
      </c>
    </row>
    <row r="78" customFormat="false" ht="34" hidden="false" customHeight="true" outlineLevel="0" collapsed="false">
      <c r="A78" s="15" t="s">
        <v>1763</v>
      </c>
      <c r="B78" s="15" t="s">
        <v>1299</v>
      </c>
      <c r="C78" s="15" t="s">
        <v>1764</v>
      </c>
      <c r="D78" s="15" t="s">
        <v>1765</v>
      </c>
      <c r="E78" s="16" t="str">
        <f aca="false">HYPERLINK("#'Forrásszöveg'!A"&amp;(MATCH("TV-S0072",Forrásszöveg!$A$6:$A$2497,0)+5),"1. § (10) eleje")</f>
        <v>1. § (10) eleje</v>
      </c>
      <c r="F78" s="16" t="str">
        <f aca="false">HYPERLINK("https://net.jogtar.hu/jogszabaly?docid=a2400069.tv#pr73id","Jogtár megnyitása")</f>
        <v>Jogtár megnyitása</v>
      </c>
    </row>
    <row r="79" customFormat="false" ht="38" hidden="false" customHeight="true" outlineLevel="0" collapsed="false">
      <c r="A79" s="15" t="s">
        <v>1766</v>
      </c>
      <c r="B79" s="15" t="s">
        <v>1299</v>
      </c>
      <c r="C79" s="15" t="s">
        <v>1767</v>
      </c>
      <c r="D79" s="15" t="s">
        <v>1768</v>
      </c>
      <c r="E79" s="16" t="str">
        <f aca="false">HYPERLINK("#'Forrásszöveg'!A"&amp;(MATCH("TV-S0072",Forrásszöveg!$A$6:$A$2497,0)+5),"1. § (10) eleje")</f>
        <v>1. § (10) eleje</v>
      </c>
      <c r="F79" s="16" t="str">
        <f aca="false">HYPERLINK("https://net.jogtar.hu/jogszabaly?docid=a2400069.tv#pr74id","Jogtár megnyitása")</f>
        <v>Jogtár megnyitása</v>
      </c>
    </row>
    <row r="80" customFormat="false" ht="34" hidden="false" customHeight="true" outlineLevel="0" collapsed="false">
      <c r="A80" s="15" t="s">
        <v>1769</v>
      </c>
      <c r="B80" s="15" t="s">
        <v>1299</v>
      </c>
      <c r="C80" s="15" t="s">
        <v>1761</v>
      </c>
      <c r="D80" s="15" t="s">
        <v>1770</v>
      </c>
      <c r="E80" s="16" t="str">
        <f aca="false">HYPERLINK("#'Forrásszöveg'!A"&amp;(MATCH("TV-S0072",Forrásszöveg!$A$6:$A$2497,0)+5),"1. § (10) eleje")</f>
        <v>1. § (10) eleje</v>
      </c>
      <c r="F80" s="16" t="str">
        <f aca="false">HYPERLINK("https://net.jogtar.hu/jogszabaly?docid=a2400069.tv#pr75id","Jogtár megnyitása")</f>
        <v>Jogtár megnyitása</v>
      </c>
    </row>
    <row r="81" customFormat="false" ht="52" hidden="false" customHeight="true" outlineLevel="0" collapsed="false">
      <c r="A81" s="15" t="s">
        <v>1771</v>
      </c>
      <c r="B81" s="15" t="s">
        <v>1299</v>
      </c>
      <c r="C81" s="15" t="s">
        <v>1772</v>
      </c>
      <c r="D81" s="15" t="s">
        <v>64</v>
      </c>
      <c r="E81" s="16" t="str">
        <f aca="false">HYPERLINK("#'Forrásszöveg'!A"&amp;(MATCH("TV-S0076",Forrásszöveg!$A$6:$A$2497,0)+5),"1. § (11) eleje")</f>
        <v>1. § (11) eleje</v>
      </c>
      <c r="F81" s="16" t="str">
        <f aca="false">HYPERLINK("https://net.jogtar.hu/jogszabaly?docid=a2400069.tv#pr76id","Jogtár megnyitása")</f>
        <v>Jogtár megnyitása</v>
      </c>
    </row>
    <row r="82" customFormat="false" ht="34" hidden="false" customHeight="true" outlineLevel="0" collapsed="false">
      <c r="A82" s="15" t="s">
        <v>1773</v>
      </c>
      <c r="B82" s="15" t="s">
        <v>1299</v>
      </c>
      <c r="C82" s="15" t="s">
        <v>1774</v>
      </c>
      <c r="D82" s="15" t="s">
        <v>1775</v>
      </c>
      <c r="E82" s="16" t="str">
        <f aca="false">HYPERLINK("#'Forrásszöveg'!A"&amp;(MATCH("TV-S0077",Forrásszöveg!$A$6:$A$2497,0)+5),"2. § (1) eleje")</f>
        <v>2. § (1) eleje</v>
      </c>
      <c r="F82" s="16" t="str">
        <f aca="false">HYPERLINK("https://net.jogtar.hu/jogszabaly?docid=a2400069.tv#pr77id","Jogtár megnyitása")</f>
        <v>Jogtár megnyitása</v>
      </c>
    </row>
    <row r="83" customFormat="false" ht="34" hidden="false" customHeight="true" outlineLevel="0" collapsed="false">
      <c r="A83" s="15" t="s">
        <v>1776</v>
      </c>
      <c r="B83" s="15" t="s">
        <v>1299</v>
      </c>
      <c r="C83" s="15" t="s">
        <v>1777</v>
      </c>
      <c r="D83" s="15" t="s">
        <v>1778</v>
      </c>
      <c r="E83" s="16" t="str">
        <f aca="false">HYPERLINK("#'Forrásszöveg'!A"&amp;(MATCH("TV-S0077",Forrásszöveg!$A$6:$A$2497,0)+5),"2. § (1) eleje")</f>
        <v>2. § (1) eleje</v>
      </c>
      <c r="F83" s="16" t="str">
        <f aca="false">HYPERLINK("https://net.jogtar.hu/jogszabaly?docid=a2400069.tv#pr78id","Jogtár megnyitása")</f>
        <v>Jogtár megnyitása</v>
      </c>
    </row>
    <row r="84" customFormat="false" ht="34" hidden="false" customHeight="true" outlineLevel="0" collapsed="false">
      <c r="A84" s="15" t="s">
        <v>1779</v>
      </c>
      <c r="B84" s="15" t="s">
        <v>1299</v>
      </c>
      <c r="C84" s="15" t="s">
        <v>1780</v>
      </c>
      <c r="D84" s="15" t="s">
        <v>1781</v>
      </c>
      <c r="E84" s="16" t="str">
        <f aca="false">HYPERLINK("#'Forrásszöveg'!A"&amp;(MATCH("TV-S0077",Forrásszöveg!$A$6:$A$2497,0)+5),"2. § (1) eleje")</f>
        <v>2. § (1) eleje</v>
      </c>
      <c r="F84" s="16" t="str">
        <f aca="false">HYPERLINK("https://net.jogtar.hu/jogszabaly?docid=a2400069.tv#pr79id","Jogtár megnyitása")</f>
        <v>Jogtár megnyitása</v>
      </c>
    </row>
    <row r="85" customFormat="false" ht="94" hidden="false" customHeight="true" outlineLevel="0" collapsed="false">
      <c r="A85" s="15" t="s">
        <v>1782</v>
      </c>
      <c r="B85" s="15" t="s">
        <v>1299</v>
      </c>
      <c r="C85" s="15" t="s">
        <v>1783</v>
      </c>
      <c r="D85" s="15" t="s">
        <v>1784</v>
      </c>
      <c r="E85" s="16" t="str">
        <f aca="false">HYPERLINK("#'Forrásszöveg'!A"&amp;(MATCH("TV-S0077",Forrásszöveg!$A$6:$A$2497,0)+5),"2. § (1) eleje")</f>
        <v>2. § (1) eleje</v>
      </c>
      <c r="F85" s="16" t="str">
        <f aca="false">HYPERLINK("https://net.jogtar.hu/jogszabaly?docid=a2400069.tv#pr80id","Jogtár megnyitása")</f>
        <v>Jogtár megnyitása</v>
      </c>
    </row>
    <row r="86" customFormat="false" ht="38" hidden="false" customHeight="true" outlineLevel="0" collapsed="false">
      <c r="A86" s="15" t="s">
        <v>1785</v>
      </c>
      <c r="B86" s="15" t="s">
        <v>1299</v>
      </c>
      <c r="C86" s="15" t="s">
        <v>1786</v>
      </c>
      <c r="D86" s="15" t="s">
        <v>1787</v>
      </c>
      <c r="E86" s="16" t="str">
        <f aca="false">HYPERLINK("#'Forrásszöveg'!A"&amp;(MATCH("TV-S0081",Forrásszöveg!$A$6:$A$2497,0)+5),"2. § (2) eleje")</f>
        <v>2. § (2) eleje</v>
      </c>
      <c r="F86" s="16" t="str">
        <f aca="false">HYPERLINK("https://net.jogtar.hu/jogszabaly?docid=a2400069.tv#pr81id","Jogtár megnyitása")</f>
        <v>Jogtár megnyitása</v>
      </c>
    </row>
    <row r="87" customFormat="false" ht="38" hidden="false" customHeight="true" outlineLevel="0" collapsed="false">
      <c r="A87" s="15" t="s">
        <v>1788</v>
      </c>
      <c r="B87" s="15" t="s">
        <v>1299</v>
      </c>
      <c r="C87" s="15" t="s">
        <v>1789</v>
      </c>
      <c r="D87" s="15" t="s">
        <v>1790</v>
      </c>
      <c r="E87" s="16" t="str">
        <f aca="false">HYPERLINK("#'Forrásszöveg'!A"&amp;(MATCH("TV-S0081",Forrásszöveg!$A$6:$A$2497,0)+5),"2. § (2) eleje")</f>
        <v>2. § (2) eleje</v>
      </c>
      <c r="F87" s="16" t="str">
        <f aca="false">HYPERLINK("https://net.jogtar.hu/jogszabaly?docid=a2400069.tv#pr82id","Jogtár megnyitása")</f>
        <v>Jogtár megnyitása</v>
      </c>
    </row>
    <row r="88" customFormat="false" ht="38" hidden="false" customHeight="true" outlineLevel="0" collapsed="false">
      <c r="A88" s="15" t="s">
        <v>1791</v>
      </c>
      <c r="B88" s="15" t="s">
        <v>1299</v>
      </c>
      <c r="C88" s="15" t="s">
        <v>1792</v>
      </c>
      <c r="D88" s="15" t="s">
        <v>1793</v>
      </c>
      <c r="E88" s="16" t="str">
        <f aca="false">HYPERLINK("#'Forrásszöveg'!A"&amp;(MATCH("TV-S0081",Forrásszöveg!$A$6:$A$2497,0)+5),"2. § (2) eleje")</f>
        <v>2. § (2) eleje</v>
      </c>
      <c r="F88" s="16" t="str">
        <f aca="false">HYPERLINK("https://net.jogtar.hu/jogszabaly?docid=a2400069.tv#pr83id","Jogtár megnyitása")</f>
        <v>Jogtár megnyitása</v>
      </c>
    </row>
    <row r="89" customFormat="false" ht="34" hidden="false" customHeight="true" outlineLevel="0" collapsed="false">
      <c r="A89" s="15" t="s">
        <v>1794</v>
      </c>
      <c r="B89" s="15" t="s">
        <v>1299</v>
      </c>
      <c r="C89" s="15" t="s">
        <v>1795</v>
      </c>
      <c r="D89" s="15" t="s">
        <v>1796</v>
      </c>
      <c r="E89" s="16" t="str">
        <f aca="false">HYPERLINK("#'Forrásszöveg'!A"&amp;(MATCH("TV-S0081",Forrásszöveg!$A$6:$A$2497,0)+5),"2. § (2) eleje")</f>
        <v>2. § (2) eleje</v>
      </c>
      <c r="F89" s="16" t="str">
        <f aca="false">HYPERLINK("https://net.jogtar.hu/jogszabaly?docid=a2400069.tv#pr84id","Jogtár megnyitása")</f>
        <v>Jogtár megnyitása</v>
      </c>
    </row>
    <row r="90" customFormat="false" ht="34" hidden="false" customHeight="true" outlineLevel="0" collapsed="false">
      <c r="A90" s="15" t="s">
        <v>1797</v>
      </c>
      <c r="B90" s="15" t="s">
        <v>1299</v>
      </c>
      <c r="C90" s="15" t="s">
        <v>1798</v>
      </c>
      <c r="D90" s="15" t="s">
        <v>1799</v>
      </c>
      <c r="E90" s="16" t="str">
        <f aca="false">HYPERLINK("#'Forrásszöveg'!A"&amp;(MATCH("TV-S0085",Forrásszöveg!$A$6:$A$2497,0)+5),"3. § (1) eleje")</f>
        <v>3. § (1) eleje</v>
      </c>
      <c r="F90" s="16" t="str">
        <f aca="false">HYPERLINK("https://net.jogtar.hu/jogszabaly?docid=a2400069.tv#pr85id","Jogtár megnyitása")</f>
        <v>Jogtár megnyitása</v>
      </c>
    </row>
    <row r="91" customFormat="false" ht="34" hidden="false" customHeight="true" outlineLevel="0" collapsed="false">
      <c r="A91" s="15" t="s">
        <v>1800</v>
      </c>
      <c r="B91" s="15" t="s">
        <v>1299</v>
      </c>
      <c r="C91" s="15" t="s">
        <v>1801</v>
      </c>
      <c r="D91" s="15" t="s">
        <v>1802</v>
      </c>
      <c r="E91" s="16" t="str">
        <f aca="false">HYPERLINK("#'Forrásszöveg'!A"&amp;(MATCH("TV-S0085",Forrásszöveg!$A$6:$A$2497,0)+5),"3. § (1) eleje")</f>
        <v>3. § (1) eleje</v>
      </c>
      <c r="F91" s="16" t="str">
        <f aca="false">HYPERLINK("https://net.jogtar.hu/jogszabaly?docid=a2400069.tv#pr86id","Jogtár megnyitása")</f>
        <v>Jogtár megnyitása</v>
      </c>
    </row>
    <row r="92" customFormat="false" ht="34" hidden="false" customHeight="true" outlineLevel="0" collapsed="false">
      <c r="A92" s="15" t="s">
        <v>1803</v>
      </c>
      <c r="B92" s="15" t="s">
        <v>1299</v>
      </c>
      <c r="C92" s="15" t="s">
        <v>1804</v>
      </c>
      <c r="D92" s="15" t="s">
        <v>1805</v>
      </c>
      <c r="E92" s="16" t="str">
        <f aca="false">HYPERLINK("#'Forrásszöveg'!A"&amp;(MATCH("TV-S0085",Forrásszöveg!$A$6:$A$2497,0)+5),"3. § (1) eleje")</f>
        <v>3. § (1) eleje</v>
      </c>
      <c r="F92" s="16" t="str">
        <f aca="false">HYPERLINK("https://net.jogtar.hu/jogszabaly?docid=a2400069.tv#pr87id","Jogtár megnyitása")</f>
        <v>Jogtár megnyitása</v>
      </c>
    </row>
    <row r="93" customFormat="false" ht="38" hidden="false" customHeight="true" outlineLevel="0" collapsed="false">
      <c r="A93" s="15" t="s">
        <v>1806</v>
      </c>
      <c r="B93" s="15" t="s">
        <v>1299</v>
      </c>
      <c r="C93" s="15" t="s">
        <v>1807</v>
      </c>
      <c r="D93" s="15" t="s">
        <v>1808</v>
      </c>
      <c r="E93" s="16" t="str">
        <f aca="false">HYPERLINK("#'Forrásszöveg'!A"&amp;(MATCH("TV-S0085",Forrásszöveg!$A$6:$A$2497,0)+5),"3. § (1) eleje")</f>
        <v>3. § (1) eleje</v>
      </c>
      <c r="F93" s="16" t="str">
        <f aca="false">HYPERLINK("https://net.jogtar.hu/jogszabaly?docid=a2400069.tv#pr88id","Jogtár megnyitása")</f>
        <v>Jogtár megnyitása</v>
      </c>
    </row>
    <row r="94" customFormat="false" ht="34" hidden="false" customHeight="true" outlineLevel="0" collapsed="false">
      <c r="A94" s="15" t="s">
        <v>1809</v>
      </c>
      <c r="B94" s="15" t="s">
        <v>1299</v>
      </c>
      <c r="C94" s="15" t="s">
        <v>1810</v>
      </c>
      <c r="D94" s="15" t="s">
        <v>1811</v>
      </c>
      <c r="E94" s="16" t="str">
        <f aca="false">HYPERLINK("#'Forrásszöveg'!A"&amp;(MATCH("TV-S0085",Forrásszöveg!$A$6:$A$2497,0)+5),"3. § (1) eleje")</f>
        <v>3. § (1) eleje</v>
      </c>
      <c r="F94" s="16" t="str">
        <f aca="false">HYPERLINK("https://net.jogtar.hu/jogszabaly?docid=a2400069.tv#pr89id","Jogtár megnyitása")</f>
        <v>Jogtár megnyitása</v>
      </c>
    </row>
    <row r="95" customFormat="false" ht="38" hidden="false" customHeight="true" outlineLevel="0" collapsed="false">
      <c r="A95" s="15" t="s">
        <v>1812</v>
      </c>
      <c r="B95" s="15" t="s">
        <v>1299</v>
      </c>
      <c r="C95" s="15" t="s">
        <v>1813</v>
      </c>
      <c r="D95" s="15" t="s">
        <v>78</v>
      </c>
      <c r="E95" s="16" t="str">
        <f aca="false">HYPERLINK("#'Forrásszöveg'!A"&amp;(MATCH("TV-S0090",Forrásszöveg!$A$6:$A$2497,0)+5),"3. § (2) eleje")</f>
        <v>3. § (2) eleje</v>
      </c>
      <c r="F95" s="16" t="str">
        <f aca="false">HYPERLINK("https://net.jogtar.hu/jogszabaly?docid=a2400069.tv#pr90id","Jogtár megnyitása")</f>
        <v>Jogtár megnyitása</v>
      </c>
    </row>
    <row r="96" customFormat="false" ht="38" hidden="false" customHeight="true" outlineLevel="0" collapsed="false">
      <c r="A96" s="15" t="s">
        <v>1814</v>
      </c>
      <c r="B96" s="15" t="s">
        <v>1299</v>
      </c>
      <c r="C96" s="15" t="s">
        <v>1815</v>
      </c>
      <c r="D96" s="15" t="s">
        <v>81</v>
      </c>
      <c r="E96" s="16" t="str">
        <f aca="false">HYPERLINK("#'Forrásszöveg'!A"&amp;(MATCH("TV-S0091",Forrásszöveg!$A$6:$A$2497,0)+5),"3. § (3) eleje")</f>
        <v>3. § (3) eleje</v>
      </c>
      <c r="F96" s="16" t="str">
        <f aca="false">HYPERLINK("https://net.jogtar.hu/jogszabaly?docid=a2400069.tv#pr91id","Jogtár megnyitása")</f>
        <v>Jogtár megnyitása</v>
      </c>
    </row>
    <row r="97" customFormat="false" ht="34" hidden="false" customHeight="true" outlineLevel="0" collapsed="false">
      <c r="A97" s="15" t="s">
        <v>1816</v>
      </c>
      <c r="B97" s="15" t="s">
        <v>1299</v>
      </c>
      <c r="C97" s="15" t="s">
        <v>1306</v>
      </c>
      <c r="D97" s="15" t="s">
        <v>1306</v>
      </c>
      <c r="E97" s="16" t="str">
        <f aca="false">HYPERLINK("#'Forrásszöveg'!A"&amp;(MATCH("TV-S0085",Forrásszöveg!$A$6:$A$2497,0)+5),"3. § eleje")</f>
        <v>3. § eleje</v>
      </c>
      <c r="F97" s="16" t="str">
        <f aca="false">HYPERLINK("https://net.jogtar.hu/jogszabaly?docid=a2400069.tv#pr92id","Jogtár megnyitása")</f>
        <v>Jogtár megnyitása</v>
      </c>
    </row>
    <row r="98" customFormat="false" ht="34" hidden="false" customHeight="true" outlineLevel="0" collapsed="false">
      <c r="A98" s="15" t="s">
        <v>1817</v>
      </c>
      <c r="B98" s="15" t="s">
        <v>1299</v>
      </c>
      <c r="C98" s="15" t="s">
        <v>1305</v>
      </c>
      <c r="D98" s="15" t="s">
        <v>1818</v>
      </c>
      <c r="E98" s="16" t="str">
        <f aca="false">HYPERLINK("#'Forrásszöveg'!A"&amp;(MATCH("TV-S0093",Forrásszöveg!$A$6:$A$2497,0)+5),"4. § eleje")</f>
        <v>4. § eleje</v>
      </c>
      <c r="F98" s="16" t="str">
        <f aca="false">HYPERLINK("https://net.jogtar.hu/jogszabaly?docid=a2400069.tv#pr93id","Jogtár megnyitása")</f>
        <v>Jogtár megnyitása</v>
      </c>
    </row>
    <row r="99" customFormat="false" ht="38" hidden="false" customHeight="true" outlineLevel="0" collapsed="false">
      <c r="A99" s="15" t="s">
        <v>1819</v>
      </c>
      <c r="B99" s="15" t="s">
        <v>1299</v>
      </c>
      <c r="C99" s="15" t="s">
        <v>1820</v>
      </c>
      <c r="D99" s="15" t="s">
        <v>1821</v>
      </c>
      <c r="E99" s="16" t="str">
        <f aca="false">HYPERLINK("#'Forrásszöveg'!A"&amp;(MATCH("TV-S0093",Forrásszöveg!$A$6:$A$2497,0)+5),"4. § eleje")</f>
        <v>4. § eleje</v>
      </c>
      <c r="F99" s="16" t="str">
        <f aca="false">HYPERLINK("https://net.jogtar.hu/jogszabaly?docid=a2400069.tv#pr94id","Jogtár megnyitása")</f>
        <v>Jogtár megnyitása</v>
      </c>
    </row>
    <row r="100" customFormat="false" ht="38" hidden="false" customHeight="true" outlineLevel="0" collapsed="false">
      <c r="A100" s="15" t="s">
        <v>1822</v>
      </c>
      <c r="B100" s="15" t="s">
        <v>1299</v>
      </c>
      <c r="C100" s="15" t="s">
        <v>1823</v>
      </c>
      <c r="D100" s="15" t="s">
        <v>1824</v>
      </c>
      <c r="E100" s="16" t="str">
        <f aca="false">HYPERLINK("#'Forrásszöveg'!A"&amp;(MATCH("TV-S0093",Forrásszöveg!$A$6:$A$2497,0)+5),"4. § eleje")</f>
        <v>4. § eleje</v>
      </c>
      <c r="F100" s="16" t="str">
        <f aca="false">HYPERLINK("https://net.jogtar.hu/jogszabaly?docid=a2400069.tv#pr95id","Jogtár megnyitása")</f>
        <v>Jogtár megnyitása</v>
      </c>
    </row>
    <row r="101" customFormat="false" ht="38" hidden="false" customHeight="true" outlineLevel="0" collapsed="false">
      <c r="A101" s="15" t="s">
        <v>1825</v>
      </c>
      <c r="B101" s="15" t="s">
        <v>1299</v>
      </c>
      <c r="C101" s="15" t="s">
        <v>1826</v>
      </c>
      <c r="D101" s="15" t="s">
        <v>1827</v>
      </c>
      <c r="E101" s="16" t="str">
        <f aca="false">HYPERLINK("#'Forrásszöveg'!A"&amp;(MATCH("TV-S0093",Forrásszöveg!$A$6:$A$2497,0)+5),"4. § eleje")</f>
        <v>4. § eleje</v>
      </c>
      <c r="F101" s="16" t="str">
        <f aca="false">HYPERLINK("https://net.jogtar.hu/jogszabaly?docid=a2400069.tv#pr96id","Jogtár megnyitása")</f>
        <v>Jogtár megnyitása</v>
      </c>
    </row>
    <row r="102" customFormat="false" ht="34" hidden="false" customHeight="true" outlineLevel="0" collapsed="false">
      <c r="A102" s="15" t="s">
        <v>1828</v>
      </c>
      <c r="B102" s="15" t="s">
        <v>1299</v>
      </c>
      <c r="C102" s="15" t="s">
        <v>1829</v>
      </c>
      <c r="D102" s="15" t="s">
        <v>1830</v>
      </c>
      <c r="E102" s="16" t="str">
        <f aca="false">HYPERLINK("#'Forrásszöveg'!A"&amp;(MATCH("TV-S0093",Forrásszöveg!$A$6:$A$2497,0)+5),"4. § eleje")</f>
        <v>4. § eleje</v>
      </c>
      <c r="F102" s="16" t="str">
        <f aca="false">HYPERLINK("https://net.jogtar.hu/jogszabaly?docid=a2400069.tv#pr97id","Jogtár megnyitása")</f>
        <v>Jogtár megnyitása</v>
      </c>
    </row>
    <row r="103" customFormat="false" ht="34" hidden="false" customHeight="true" outlineLevel="0" collapsed="false">
      <c r="A103" s="15" t="s">
        <v>1831</v>
      </c>
      <c r="B103" s="15" t="s">
        <v>1299</v>
      </c>
      <c r="C103" s="15" t="s">
        <v>1832</v>
      </c>
      <c r="D103" s="15" t="s">
        <v>1833</v>
      </c>
      <c r="E103" s="16" t="str">
        <f aca="false">HYPERLINK("#'Forrásszöveg'!A"&amp;(MATCH("TV-S0093",Forrásszöveg!$A$6:$A$2497,0)+5),"4. § eleje")</f>
        <v>4. § eleje</v>
      </c>
      <c r="F103" s="16" t="str">
        <f aca="false">HYPERLINK("https://net.jogtar.hu/jogszabaly?docid=a2400069.tv#pr98id","Jogtár megnyitása")</f>
        <v>Jogtár megnyitása</v>
      </c>
    </row>
    <row r="104" customFormat="false" ht="34" hidden="false" customHeight="true" outlineLevel="0" collapsed="false">
      <c r="A104" s="15" t="s">
        <v>1834</v>
      </c>
      <c r="B104" s="15" t="s">
        <v>1299</v>
      </c>
      <c r="C104" s="15" t="s">
        <v>1835</v>
      </c>
      <c r="D104" s="15" t="s">
        <v>1836</v>
      </c>
      <c r="E104" s="16" t="str">
        <f aca="false">HYPERLINK("#'Forrásszöveg'!A"&amp;(MATCH("TV-S0093",Forrásszöveg!$A$6:$A$2497,0)+5),"4. § eleje")</f>
        <v>4. § eleje</v>
      </c>
      <c r="F104" s="16" t="str">
        <f aca="false">HYPERLINK("https://net.jogtar.hu/jogszabaly?docid=a2400069.tv#pr99id","Jogtár megnyitása")</f>
        <v>Jogtár megnyitása</v>
      </c>
    </row>
    <row r="105" customFormat="false" ht="52" hidden="false" customHeight="true" outlineLevel="0" collapsed="false">
      <c r="A105" s="15" t="s">
        <v>1837</v>
      </c>
      <c r="B105" s="15" t="s">
        <v>1299</v>
      </c>
      <c r="C105" s="15" t="s">
        <v>1838</v>
      </c>
      <c r="D105" s="15" t="s">
        <v>1839</v>
      </c>
      <c r="E105" s="16" t="str">
        <f aca="false">HYPERLINK("#'Forrásszöveg'!A"&amp;(MATCH("TV-S0093",Forrásszöveg!$A$6:$A$2497,0)+5),"4. § eleje")</f>
        <v>4. § eleje</v>
      </c>
      <c r="F105" s="16" t="str">
        <f aca="false">HYPERLINK("https://net.jogtar.hu/jogszabaly?docid=a2400069.tv#pr100id","Jogtár megnyitása")</f>
        <v>Jogtár megnyitása</v>
      </c>
    </row>
    <row r="106" customFormat="false" ht="38" hidden="false" customHeight="true" outlineLevel="0" collapsed="false">
      <c r="A106" s="15" t="s">
        <v>1840</v>
      </c>
      <c r="B106" s="15" t="s">
        <v>1299</v>
      </c>
      <c r="C106" s="15" t="s">
        <v>1841</v>
      </c>
      <c r="D106" s="15" t="s">
        <v>1842</v>
      </c>
      <c r="E106" s="16" t="str">
        <f aca="false">HYPERLINK("#'Forrásszöveg'!A"&amp;(MATCH("TV-S0093",Forrásszöveg!$A$6:$A$2497,0)+5),"4. § eleje")</f>
        <v>4. § eleje</v>
      </c>
      <c r="F106" s="16" t="str">
        <f aca="false">HYPERLINK("https://net.jogtar.hu/jogszabaly?docid=a2400069.tv#pr101id","Jogtár megnyitása")</f>
        <v>Jogtár megnyitása</v>
      </c>
    </row>
    <row r="107" customFormat="false" ht="52" hidden="false" customHeight="true" outlineLevel="0" collapsed="false">
      <c r="A107" s="15" t="s">
        <v>1843</v>
      </c>
      <c r="B107" s="15" t="s">
        <v>1299</v>
      </c>
      <c r="C107" s="15" t="s">
        <v>1844</v>
      </c>
      <c r="D107" s="15" t="s">
        <v>1845</v>
      </c>
      <c r="E107" s="16" t="str">
        <f aca="false">HYPERLINK("#'Forrásszöveg'!A"&amp;(MATCH("TV-S0093",Forrásszöveg!$A$6:$A$2497,0)+5),"4. § eleje")</f>
        <v>4. § eleje</v>
      </c>
      <c r="F107" s="16" t="str">
        <f aca="false">HYPERLINK("https://net.jogtar.hu/jogszabaly?docid=a2400069.tv#pr102id","Jogtár megnyitása")</f>
        <v>Jogtár megnyitása</v>
      </c>
    </row>
    <row r="108" customFormat="false" ht="38" hidden="false" customHeight="true" outlineLevel="0" collapsed="false">
      <c r="A108" s="15" t="s">
        <v>1846</v>
      </c>
      <c r="B108" s="15" t="s">
        <v>1299</v>
      </c>
      <c r="C108" s="15" t="s">
        <v>1847</v>
      </c>
      <c r="D108" s="15" t="s">
        <v>1848</v>
      </c>
      <c r="E108" s="16" t="str">
        <f aca="false">HYPERLINK("#'Forrásszöveg'!A"&amp;(MATCH("TV-S0093",Forrásszöveg!$A$6:$A$2497,0)+5),"4. § eleje")</f>
        <v>4. § eleje</v>
      </c>
      <c r="F108" s="16" t="str">
        <f aca="false">HYPERLINK("https://net.jogtar.hu/jogszabaly?docid=a2400069.tv#pr103id","Jogtár megnyitása")</f>
        <v>Jogtár megnyitása</v>
      </c>
    </row>
    <row r="109" customFormat="false" ht="52" hidden="false" customHeight="true" outlineLevel="0" collapsed="false">
      <c r="A109" s="15" t="s">
        <v>1849</v>
      </c>
      <c r="B109" s="15" t="s">
        <v>1299</v>
      </c>
      <c r="C109" s="15" t="s">
        <v>1850</v>
      </c>
      <c r="D109" s="15" t="s">
        <v>1851</v>
      </c>
      <c r="E109" s="16" t="str">
        <f aca="false">HYPERLINK("#'Forrásszöveg'!A"&amp;(MATCH("TV-S0093",Forrásszöveg!$A$6:$A$2497,0)+5),"4. § eleje")</f>
        <v>4. § eleje</v>
      </c>
      <c r="F109" s="16" t="str">
        <f aca="false">HYPERLINK("https://net.jogtar.hu/jogszabaly?docid=a2400069.tv#pr104id","Jogtár megnyitása")</f>
        <v>Jogtár megnyitása</v>
      </c>
    </row>
    <row r="110" customFormat="false" ht="52" hidden="false" customHeight="true" outlineLevel="0" collapsed="false">
      <c r="A110" s="15" t="s">
        <v>1852</v>
      </c>
      <c r="B110" s="15" t="s">
        <v>1299</v>
      </c>
      <c r="C110" s="15" t="s">
        <v>1853</v>
      </c>
      <c r="D110" s="15" t="s">
        <v>1854</v>
      </c>
      <c r="E110" s="16" t="str">
        <f aca="false">HYPERLINK("#'Forrásszöveg'!A"&amp;(MATCH("TV-S0093",Forrásszöveg!$A$6:$A$2497,0)+5),"4. § eleje")</f>
        <v>4. § eleje</v>
      </c>
      <c r="F110" s="16" t="str">
        <f aca="false">HYPERLINK("https://net.jogtar.hu/jogszabaly?docid=a2400069.tv#pr105id","Jogtár megnyitása")</f>
        <v>Jogtár megnyitása</v>
      </c>
    </row>
    <row r="111" customFormat="false" ht="52" hidden="false" customHeight="true" outlineLevel="0" collapsed="false">
      <c r="A111" s="15" t="s">
        <v>1855</v>
      </c>
      <c r="B111" s="15" t="s">
        <v>1299</v>
      </c>
      <c r="C111" s="15" t="s">
        <v>1856</v>
      </c>
      <c r="D111" s="15" t="s">
        <v>1857</v>
      </c>
      <c r="E111" s="16" t="str">
        <f aca="false">HYPERLINK("#'Forrásszöveg'!A"&amp;(MATCH("TV-S0093",Forrásszöveg!$A$6:$A$2497,0)+5),"4. § eleje")</f>
        <v>4. § eleje</v>
      </c>
      <c r="F111" s="16" t="str">
        <f aca="false">HYPERLINK("https://net.jogtar.hu/jogszabaly?docid=a2400069.tv#pr106id","Jogtár megnyitása")</f>
        <v>Jogtár megnyitása</v>
      </c>
    </row>
    <row r="112" customFormat="false" ht="38" hidden="false" customHeight="true" outlineLevel="0" collapsed="false">
      <c r="A112" s="15" t="s">
        <v>1858</v>
      </c>
      <c r="B112" s="15" t="s">
        <v>1299</v>
      </c>
      <c r="C112" s="15" t="s">
        <v>1859</v>
      </c>
      <c r="D112" s="15" t="s">
        <v>1860</v>
      </c>
      <c r="E112" s="16" t="str">
        <f aca="false">HYPERLINK("#'Forrásszöveg'!A"&amp;(MATCH("TV-S0093",Forrásszöveg!$A$6:$A$2497,0)+5),"4. § eleje")</f>
        <v>4. § eleje</v>
      </c>
      <c r="F112" s="16" t="str">
        <f aca="false">HYPERLINK("https://net.jogtar.hu/jogszabaly?docid=a2400069.tv#pr107id","Jogtár megnyitása")</f>
        <v>Jogtár megnyitása</v>
      </c>
    </row>
    <row r="113" customFormat="false" ht="38" hidden="false" customHeight="true" outlineLevel="0" collapsed="false">
      <c r="A113" s="15" t="s">
        <v>1861</v>
      </c>
      <c r="B113" s="15" t="s">
        <v>1299</v>
      </c>
      <c r="C113" s="15" t="s">
        <v>1862</v>
      </c>
      <c r="D113" s="15" t="s">
        <v>1863</v>
      </c>
      <c r="E113" s="16" t="str">
        <f aca="false">HYPERLINK("#'Forrásszöveg'!A"&amp;(MATCH("TV-S0093",Forrásszöveg!$A$6:$A$2497,0)+5),"4. § eleje")</f>
        <v>4. § eleje</v>
      </c>
      <c r="F113" s="16" t="str">
        <f aca="false">HYPERLINK("https://net.jogtar.hu/jogszabaly?docid=a2400069.tv#pr108id","Jogtár megnyitása")</f>
        <v>Jogtár megnyitása</v>
      </c>
    </row>
    <row r="114" customFormat="false" ht="34" hidden="false" customHeight="true" outlineLevel="0" collapsed="false">
      <c r="A114" s="15" t="s">
        <v>1864</v>
      </c>
      <c r="B114" s="15" t="s">
        <v>1299</v>
      </c>
      <c r="C114" s="15" t="s">
        <v>1865</v>
      </c>
      <c r="D114" s="15" t="s">
        <v>1866</v>
      </c>
      <c r="E114" s="16" t="str">
        <f aca="false">HYPERLINK("#'Forrásszöveg'!A"&amp;(MATCH("TV-S0093",Forrásszöveg!$A$6:$A$2497,0)+5),"4. § eleje")</f>
        <v>4. § eleje</v>
      </c>
      <c r="F114" s="16" t="str">
        <f aca="false">HYPERLINK("https://net.jogtar.hu/jogszabaly?docid=a2400069.tv#pr109id","Jogtár megnyitása")</f>
        <v>Jogtár megnyitása</v>
      </c>
    </row>
    <row r="115" customFormat="false" ht="38" hidden="false" customHeight="true" outlineLevel="0" collapsed="false">
      <c r="A115" s="15" t="s">
        <v>1867</v>
      </c>
      <c r="B115" s="15" t="s">
        <v>1299</v>
      </c>
      <c r="C115" s="15" t="s">
        <v>1868</v>
      </c>
      <c r="D115" s="15" t="s">
        <v>1869</v>
      </c>
      <c r="E115" s="16" t="str">
        <f aca="false">HYPERLINK("#'Forrásszöveg'!A"&amp;(MATCH("TV-S0093",Forrásszöveg!$A$6:$A$2497,0)+5),"4. § eleje")</f>
        <v>4. § eleje</v>
      </c>
      <c r="F115" s="16" t="str">
        <f aca="false">HYPERLINK("https://net.jogtar.hu/jogszabaly?docid=a2400069.tv#pr110id","Jogtár megnyitása")</f>
        <v>Jogtár megnyitása</v>
      </c>
    </row>
    <row r="116" customFormat="false" ht="38" hidden="false" customHeight="true" outlineLevel="0" collapsed="false">
      <c r="A116" s="15" t="s">
        <v>1870</v>
      </c>
      <c r="B116" s="15" t="s">
        <v>1299</v>
      </c>
      <c r="C116" s="15" t="s">
        <v>1871</v>
      </c>
      <c r="D116" s="15" t="s">
        <v>1872</v>
      </c>
      <c r="E116" s="16" t="str">
        <f aca="false">HYPERLINK("#'Forrásszöveg'!A"&amp;(MATCH("TV-S0093",Forrásszöveg!$A$6:$A$2497,0)+5),"4. § eleje")</f>
        <v>4. § eleje</v>
      </c>
      <c r="F116" s="16" t="str">
        <f aca="false">HYPERLINK("https://net.jogtar.hu/jogszabaly?docid=a2400069.tv#pr111id","Jogtár megnyitása")</f>
        <v>Jogtár megnyitása</v>
      </c>
    </row>
    <row r="117" customFormat="false" ht="52" hidden="false" customHeight="true" outlineLevel="0" collapsed="false">
      <c r="A117" s="15" t="s">
        <v>1873</v>
      </c>
      <c r="B117" s="15" t="s">
        <v>1299</v>
      </c>
      <c r="C117" s="15" t="s">
        <v>1874</v>
      </c>
      <c r="D117" s="15" t="s">
        <v>1875</v>
      </c>
      <c r="E117" s="16" t="str">
        <f aca="false">HYPERLINK("#'Forrásszöveg'!A"&amp;(MATCH("TV-S0093",Forrásszöveg!$A$6:$A$2497,0)+5),"4. § eleje")</f>
        <v>4. § eleje</v>
      </c>
      <c r="F117" s="16" t="str">
        <f aca="false">HYPERLINK("https://net.jogtar.hu/jogszabaly?docid=a2400069.tv#pr112id","Jogtár megnyitása")</f>
        <v>Jogtár megnyitása</v>
      </c>
    </row>
    <row r="118" customFormat="false" ht="38" hidden="false" customHeight="true" outlineLevel="0" collapsed="false">
      <c r="A118" s="15" t="s">
        <v>1876</v>
      </c>
      <c r="B118" s="15" t="s">
        <v>1299</v>
      </c>
      <c r="C118" s="15" t="s">
        <v>1877</v>
      </c>
      <c r="D118" s="15" t="s">
        <v>1878</v>
      </c>
      <c r="E118" s="16" t="str">
        <f aca="false">HYPERLINK("#'Forrásszöveg'!A"&amp;(MATCH("TV-S0093",Forrásszöveg!$A$6:$A$2497,0)+5),"4. § eleje")</f>
        <v>4. § eleje</v>
      </c>
      <c r="F118" s="16" t="str">
        <f aca="false">HYPERLINK("https://net.jogtar.hu/jogszabaly?docid=a2400069.tv#pr113id","Jogtár megnyitása")</f>
        <v>Jogtár megnyitása</v>
      </c>
    </row>
    <row r="119" customFormat="false" ht="52" hidden="false" customHeight="true" outlineLevel="0" collapsed="false">
      <c r="A119" s="15" t="s">
        <v>1879</v>
      </c>
      <c r="B119" s="15" t="s">
        <v>1299</v>
      </c>
      <c r="C119" s="15" t="s">
        <v>1880</v>
      </c>
      <c r="D119" s="15" t="s">
        <v>1881</v>
      </c>
      <c r="E119" s="16" t="str">
        <f aca="false">HYPERLINK("#'Forrásszöveg'!A"&amp;(MATCH("TV-S0093",Forrásszöveg!$A$6:$A$2497,0)+5),"4. § eleje")</f>
        <v>4. § eleje</v>
      </c>
      <c r="F119" s="16" t="str">
        <f aca="false">HYPERLINK("https://net.jogtar.hu/jogszabaly?docid=a2400069.tv#pr114id","Jogtár megnyitása")</f>
        <v>Jogtár megnyitása</v>
      </c>
    </row>
    <row r="120" customFormat="false" ht="52" hidden="false" customHeight="true" outlineLevel="0" collapsed="false">
      <c r="A120" s="15" t="s">
        <v>1882</v>
      </c>
      <c r="B120" s="15" t="s">
        <v>1299</v>
      </c>
      <c r="C120" s="15" t="s">
        <v>1883</v>
      </c>
      <c r="D120" s="15" t="s">
        <v>1884</v>
      </c>
      <c r="E120" s="16" t="str">
        <f aca="false">HYPERLINK("#'Forrásszöveg'!A"&amp;(MATCH("TV-S0093",Forrásszöveg!$A$6:$A$2497,0)+5),"4. § eleje")</f>
        <v>4. § eleje</v>
      </c>
      <c r="F120" s="16" t="str">
        <f aca="false">HYPERLINK("https://net.jogtar.hu/jogszabaly?docid=a2400069.tv#pr115id","Jogtár megnyitása")</f>
        <v>Jogtár megnyitása</v>
      </c>
    </row>
    <row r="121" customFormat="false" ht="38" hidden="false" customHeight="true" outlineLevel="0" collapsed="false">
      <c r="A121" s="15" t="s">
        <v>1885</v>
      </c>
      <c r="B121" s="15" t="s">
        <v>1299</v>
      </c>
      <c r="C121" s="15" t="s">
        <v>1886</v>
      </c>
      <c r="D121" s="15" t="s">
        <v>1887</v>
      </c>
      <c r="E121" s="16" t="str">
        <f aca="false">HYPERLINK("#'Forrásszöveg'!A"&amp;(MATCH("TV-S0093",Forrásszöveg!$A$6:$A$2497,0)+5),"4. § eleje")</f>
        <v>4. § eleje</v>
      </c>
      <c r="F121" s="16" t="str">
        <f aca="false">HYPERLINK("https://net.jogtar.hu/jogszabaly?docid=a2400069.tv#pr116id","Jogtár megnyitása")</f>
        <v>Jogtár megnyitása</v>
      </c>
    </row>
    <row r="122" customFormat="false" ht="34" hidden="false" customHeight="true" outlineLevel="0" collapsed="false">
      <c r="A122" s="15" t="s">
        <v>1888</v>
      </c>
      <c r="B122" s="15" t="s">
        <v>1299</v>
      </c>
      <c r="C122" s="15" t="s">
        <v>1889</v>
      </c>
      <c r="D122" s="15" t="s">
        <v>1890</v>
      </c>
      <c r="E122" s="16" t="str">
        <f aca="false">HYPERLINK("#'Forrásszöveg'!A"&amp;(MATCH("TV-S0093",Forrásszöveg!$A$6:$A$2497,0)+5),"4. § eleje")</f>
        <v>4. § eleje</v>
      </c>
      <c r="F122" s="16" t="str">
        <f aca="false">HYPERLINK("https://net.jogtar.hu/jogszabaly?docid=a2400069.tv#pr117id","Jogtár megnyitása")</f>
        <v>Jogtár megnyitása</v>
      </c>
    </row>
    <row r="123" customFormat="false" ht="38" hidden="false" customHeight="true" outlineLevel="0" collapsed="false">
      <c r="A123" s="15" t="s">
        <v>1891</v>
      </c>
      <c r="B123" s="15" t="s">
        <v>1299</v>
      </c>
      <c r="C123" s="15" t="s">
        <v>1892</v>
      </c>
      <c r="D123" s="15" t="s">
        <v>1893</v>
      </c>
      <c r="E123" s="16" t="str">
        <f aca="false">HYPERLINK("#'Forrásszöveg'!A"&amp;(MATCH("TV-S0093",Forrásszöveg!$A$6:$A$2497,0)+5),"4. § eleje")</f>
        <v>4. § eleje</v>
      </c>
      <c r="F123" s="16" t="str">
        <f aca="false">HYPERLINK("https://net.jogtar.hu/jogszabaly?docid=a2400069.tv#pr118id","Jogtár megnyitása")</f>
        <v>Jogtár megnyitása</v>
      </c>
    </row>
    <row r="124" customFormat="false" ht="34" hidden="false" customHeight="true" outlineLevel="0" collapsed="false">
      <c r="A124" s="15" t="s">
        <v>1894</v>
      </c>
      <c r="B124" s="15" t="s">
        <v>1299</v>
      </c>
      <c r="C124" s="15" t="s">
        <v>1895</v>
      </c>
      <c r="D124" s="15" t="s">
        <v>1896</v>
      </c>
      <c r="E124" s="16" t="str">
        <f aca="false">HYPERLINK("#'Forrásszöveg'!A"&amp;(MATCH("TV-S0093",Forrásszöveg!$A$6:$A$2497,0)+5),"4. § eleje")</f>
        <v>4. § eleje</v>
      </c>
      <c r="F124" s="16" t="str">
        <f aca="false">HYPERLINK("https://net.jogtar.hu/jogszabaly?docid=a2400069.tv#pr119id","Jogtár megnyitása")</f>
        <v>Jogtár megnyitása</v>
      </c>
    </row>
    <row r="125" customFormat="false" ht="34" hidden="false" customHeight="true" outlineLevel="0" collapsed="false">
      <c r="A125" s="15" t="s">
        <v>1897</v>
      </c>
      <c r="B125" s="15" t="s">
        <v>1299</v>
      </c>
      <c r="C125" s="15" t="s">
        <v>1898</v>
      </c>
      <c r="D125" s="15" t="s">
        <v>1899</v>
      </c>
      <c r="E125" s="16" t="str">
        <f aca="false">HYPERLINK("#'Forrásszöveg'!A"&amp;(MATCH("TV-S0093",Forrásszöveg!$A$6:$A$2497,0)+5),"4. § eleje")</f>
        <v>4. § eleje</v>
      </c>
      <c r="F125" s="16" t="str">
        <f aca="false">HYPERLINK("https://net.jogtar.hu/jogszabaly?docid=a2400069.tv#pr120id","Jogtár megnyitása")</f>
        <v>Jogtár megnyitása</v>
      </c>
    </row>
    <row r="126" customFormat="false" ht="34" hidden="false" customHeight="true" outlineLevel="0" collapsed="false">
      <c r="A126" s="15" t="s">
        <v>1900</v>
      </c>
      <c r="B126" s="15" t="s">
        <v>1299</v>
      </c>
      <c r="C126" s="15" t="s">
        <v>1901</v>
      </c>
      <c r="D126" s="15" t="s">
        <v>1902</v>
      </c>
      <c r="E126" s="16" t="str">
        <f aca="false">HYPERLINK("#'Forrásszöveg'!A"&amp;(MATCH("TV-S0093",Forrásszöveg!$A$6:$A$2497,0)+5),"4. § eleje")</f>
        <v>4. § eleje</v>
      </c>
      <c r="F126" s="16" t="str">
        <f aca="false">HYPERLINK("https://net.jogtar.hu/jogszabaly?docid=a2400069.tv#pr121id","Jogtár megnyitása")</f>
        <v>Jogtár megnyitása</v>
      </c>
    </row>
    <row r="127" customFormat="false" ht="52" hidden="false" customHeight="true" outlineLevel="0" collapsed="false">
      <c r="A127" s="15" t="s">
        <v>1903</v>
      </c>
      <c r="B127" s="15" t="s">
        <v>1299</v>
      </c>
      <c r="C127" s="15" t="s">
        <v>1904</v>
      </c>
      <c r="D127" s="15" t="s">
        <v>1905</v>
      </c>
      <c r="E127" s="16" t="str">
        <f aca="false">HYPERLINK("#'Forrásszöveg'!A"&amp;(MATCH("TV-S0093",Forrásszöveg!$A$6:$A$2497,0)+5),"4. § eleje")</f>
        <v>4. § eleje</v>
      </c>
      <c r="F127" s="16" t="str">
        <f aca="false">HYPERLINK("https://net.jogtar.hu/jogszabaly?docid=a2400069.tv#pr122id","Jogtár megnyitása")</f>
        <v>Jogtár megnyitása</v>
      </c>
    </row>
    <row r="128" customFormat="false" ht="38" hidden="false" customHeight="true" outlineLevel="0" collapsed="false">
      <c r="A128" s="15" t="s">
        <v>1906</v>
      </c>
      <c r="B128" s="15" t="s">
        <v>1299</v>
      </c>
      <c r="C128" s="15" t="s">
        <v>1907</v>
      </c>
      <c r="D128" s="15" t="s">
        <v>1908</v>
      </c>
      <c r="E128" s="16" t="str">
        <f aca="false">HYPERLINK("#'Forrásszöveg'!A"&amp;(MATCH("TV-S0093",Forrásszöveg!$A$6:$A$2497,0)+5),"4. § eleje")</f>
        <v>4. § eleje</v>
      </c>
      <c r="F128" s="16" t="str">
        <f aca="false">HYPERLINK("https://net.jogtar.hu/jogszabaly?docid=a2400069.tv#pr123id","Jogtár megnyitása")</f>
        <v>Jogtár megnyitása</v>
      </c>
    </row>
    <row r="129" customFormat="false" ht="66" hidden="false" customHeight="true" outlineLevel="0" collapsed="false">
      <c r="A129" s="15" t="s">
        <v>1909</v>
      </c>
      <c r="B129" s="15" t="s">
        <v>1299</v>
      </c>
      <c r="C129" s="15" t="s">
        <v>1910</v>
      </c>
      <c r="D129" s="15" t="s">
        <v>1911</v>
      </c>
      <c r="E129" s="16" t="str">
        <f aca="false">HYPERLINK("#'Forrásszöveg'!A"&amp;(MATCH("TV-S0093",Forrásszöveg!$A$6:$A$2497,0)+5),"4. § eleje")</f>
        <v>4. § eleje</v>
      </c>
      <c r="F129" s="16" t="str">
        <f aca="false">HYPERLINK("https://net.jogtar.hu/jogszabaly?docid=a2400069.tv#pr124id","Jogtár megnyitása")</f>
        <v>Jogtár megnyitása</v>
      </c>
    </row>
    <row r="130" customFormat="false" ht="38" hidden="false" customHeight="true" outlineLevel="0" collapsed="false">
      <c r="A130" s="15" t="s">
        <v>1912</v>
      </c>
      <c r="B130" s="15" t="s">
        <v>1299</v>
      </c>
      <c r="C130" s="15" t="s">
        <v>1913</v>
      </c>
      <c r="D130" s="15" t="s">
        <v>1914</v>
      </c>
      <c r="E130" s="16" t="str">
        <f aca="false">HYPERLINK("#'Forrásszöveg'!A"&amp;(MATCH("TV-S0093",Forrásszöveg!$A$6:$A$2497,0)+5),"4. § eleje")</f>
        <v>4. § eleje</v>
      </c>
      <c r="F130" s="16" t="str">
        <f aca="false">HYPERLINK("https://net.jogtar.hu/jogszabaly?docid=a2400069.tv#pr125id","Jogtár megnyitása")</f>
        <v>Jogtár megnyitása</v>
      </c>
    </row>
    <row r="131" customFormat="false" ht="34" hidden="false" customHeight="true" outlineLevel="0" collapsed="false">
      <c r="A131" s="15" t="s">
        <v>1915</v>
      </c>
      <c r="B131" s="15" t="s">
        <v>1299</v>
      </c>
      <c r="C131" s="15" t="s">
        <v>1916</v>
      </c>
      <c r="D131" s="15" t="s">
        <v>1917</v>
      </c>
      <c r="E131" s="16" t="str">
        <f aca="false">HYPERLINK("#'Forrásszöveg'!A"&amp;(MATCH("TV-S0093",Forrásszöveg!$A$6:$A$2497,0)+5),"4. § eleje")</f>
        <v>4. § eleje</v>
      </c>
      <c r="F131" s="16" t="str">
        <f aca="false">HYPERLINK("https://net.jogtar.hu/jogszabaly?docid=a2400069.tv#pr126id","Jogtár megnyitása")</f>
        <v>Jogtár megnyitása</v>
      </c>
    </row>
    <row r="132" customFormat="false" ht="38" hidden="false" customHeight="true" outlineLevel="0" collapsed="false">
      <c r="A132" s="15" t="s">
        <v>1918</v>
      </c>
      <c r="B132" s="15" t="s">
        <v>1299</v>
      </c>
      <c r="C132" s="15" t="s">
        <v>1919</v>
      </c>
      <c r="D132" s="15" t="s">
        <v>1920</v>
      </c>
      <c r="E132" s="16" t="str">
        <f aca="false">HYPERLINK("#'Forrásszöveg'!A"&amp;(MATCH("TV-S0093",Forrásszöveg!$A$6:$A$2497,0)+5),"4. § eleje")</f>
        <v>4. § eleje</v>
      </c>
      <c r="F132" s="16" t="str">
        <f aca="false">HYPERLINK("https://net.jogtar.hu/jogszabaly?docid=a2400069.tv#pr127id","Jogtár megnyitása")</f>
        <v>Jogtár megnyitása</v>
      </c>
    </row>
    <row r="133" customFormat="false" ht="34" hidden="false" customHeight="true" outlineLevel="0" collapsed="false">
      <c r="A133" s="15" t="s">
        <v>1921</v>
      </c>
      <c r="B133" s="15" t="s">
        <v>1299</v>
      </c>
      <c r="C133" s="15" t="s">
        <v>1922</v>
      </c>
      <c r="D133" s="15" t="s">
        <v>1923</v>
      </c>
      <c r="E133" s="16" t="str">
        <f aca="false">HYPERLINK("#'Forrásszöveg'!A"&amp;(MATCH("TV-S0093",Forrásszöveg!$A$6:$A$2497,0)+5),"4. § eleje")</f>
        <v>4. § eleje</v>
      </c>
      <c r="F133" s="16" t="str">
        <f aca="false">HYPERLINK("https://net.jogtar.hu/jogszabaly?docid=a2400069.tv#pr128id","Jogtár megnyitása")</f>
        <v>Jogtár megnyitása</v>
      </c>
    </row>
    <row r="134" customFormat="false" ht="38" hidden="false" customHeight="true" outlineLevel="0" collapsed="false">
      <c r="A134" s="15" t="s">
        <v>1924</v>
      </c>
      <c r="B134" s="15" t="s">
        <v>1299</v>
      </c>
      <c r="C134" s="15" t="s">
        <v>1925</v>
      </c>
      <c r="D134" s="15" t="s">
        <v>1926</v>
      </c>
      <c r="E134" s="16" t="str">
        <f aca="false">HYPERLINK("#'Forrásszöveg'!A"&amp;(MATCH("TV-S0093",Forrásszöveg!$A$6:$A$2497,0)+5),"4. § eleje")</f>
        <v>4. § eleje</v>
      </c>
      <c r="F134" s="16" t="str">
        <f aca="false">HYPERLINK("https://net.jogtar.hu/jogszabaly?docid=a2400069.tv#pr129id","Jogtár megnyitása")</f>
        <v>Jogtár megnyitása</v>
      </c>
    </row>
    <row r="135" customFormat="false" ht="34" hidden="false" customHeight="true" outlineLevel="0" collapsed="false">
      <c r="A135" s="15" t="s">
        <v>1927</v>
      </c>
      <c r="B135" s="15" t="s">
        <v>1299</v>
      </c>
      <c r="C135" s="15" t="s">
        <v>1928</v>
      </c>
      <c r="D135" s="15" t="s">
        <v>1929</v>
      </c>
      <c r="E135" s="16" t="str">
        <f aca="false">HYPERLINK("#'Forrásszöveg'!A"&amp;(MATCH("TV-S0093",Forrásszöveg!$A$6:$A$2497,0)+5),"4. § eleje")</f>
        <v>4. § eleje</v>
      </c>
      <c r="F135" s="16" t="str">
        <f aca="false">HYPERLINK("https://net.jogtar.hu/jogszabaly?docid=a2400069.tv#pr130id","Jogtár megnyitása")</f>
        <v>Jogtár megnyitása</v>
      </c>
    </row>
    <row r="136" customFormat="false" ht="34" hidden="false" customHeight="true" outlineLevel="0" collapsed="false">
      <c r="A136" s="15" t="s">
        <v>1930</v>
      </c>
      <c r="B136" s="15" t="s">
        <v>1299</v>
      </c>
      <c r="C136" s="15" t="s">
        <v>1931</v>
      </c>
      <c r="D136" s="15" t="s">
        <v>1932</v>
      </c>
      <c r="E136" s="16" t="str">
        <f aca="false">HYPERLINK("#'Forrásszöveg'!A"&amp;(MATCH("TV-S0093",Forrásszöveg!$A$6:$A$2497,0)+5),"4. § eleje")</f>
        <v>4. § eleje</v>
      </c>
      <c r="F136" s="16" t="str">
        <f aca="false">HYPERLINK("https://net.jogtar.hu/jogszabaly?docid=a2400069.tv#pr131id","Jogtár megnyitása")</f>
        <v>Jogtár megnyitása</v>
      </c>
    </row>
    <row r="137" customFormat="false" ht="34" hidden="false" customHeight="true" outlineLevel="0" collapsed="false">
      <c r="A137" s="15" t="s">
        <v>1933</v>
      </c>
      <c r="B137" s="15" t="s">
        <v>1299</v>
      </c>
      <c r="C137" s="15" t="s">
        <v>1934</v>
      </c>
      <c r="D137" s="15" t="s">
        <v>1935</v>
      </c>
      <c r="E137" s="16" t="str">
        <f aca="false">HYPERLINK("#'Forrásszöveg'!A"&amp;(MATCH("TV-S0093",Forrásszöveg!$A$6:$A$2497,0)+5),"4. § eleje")</f>
        <v>4. § eleje</v>
      </c>
      <c r="F137" s="16" t="str">
        <f aca="false">HYPERLINK("https://net.jogtar.hu/jogszabaly?docid=a2400069.tv#pr132id","Jogtár megnyitása")</f>
        <v>Jogtár megnyitása</v>
      </c>
    </row>
    <row r="138" customFormat="false" ht="38" hidden="false" customHeight="true" outlineLevel="0" collapsed="false">
      <c r="A138" s="15" t="s">
        <v>1936</v>
      </c>
      <c r="B138" s="15" t="s">
        <v>1299</v>
      </c>
      <c r="C138" s="15" t="s">
        <v>1937</v>
      </c>
      <c r="D138" s="15" t="s">
        <v>1938</v>
      </c>
      <c r="E138" s="16" t="str">
        <f aca="false">HYPERLINK("#'Forrásszöveg'!A"&amp;(MATCH("TV-S0093",Forrásszöveg!$A$6:$A$2497,0)+5),"4. § eleje")</f>
        <v>4. § eleje</v>
      </c>
      <c r="F138" s="16" t="str">
        <f aca="false">HYPERLINK("https://net.jogtar.hu/jogszabaly?docid=a2400069.tv#pr133id","Jogtár megnyitása")</f>
        <v>Jogtár megnyitása</v>
      </c>
    </row>
    <row r="139" customFormat="false" ht="34" hidden="false" customHeight="true" outlineLevel="0" collapsed="false">
      <c r="A139" s="15" t="s">
        <v>1939</v>
      </c>
      <c r="B139" s="15" t="s">
        <v>1299</v>
      </c>
      <c r="C139" s="15" t="s">
        <v>1940</v>
      </c>
      <c r="D139" s="15" t="s">
        <v>1941</v>
      </c>
      <c r="E139" s="16" t="str">
        <f aca="false">HYPERLINK("#'Forrásszöveg'!A"&amp;(MATCH("TV-S0093",Forrásszöveg!$A$6:$A$2497,0)+5),"4. § eleje")</f>
        <v>4. § eleje</v>
      </c>
      <c r="F139" s="16" t="str">
        <f aca="false">HYPERLINK("https://net.jogtar.hu/jogszabaly?docid=a2400069.tv#pr134id","Jogtár megnyitása")</f>
        <v>Jogtár megnyitása</v>
      </c>
    </row>
    <row r="140" customFormat="false" ht="80" hidden="false" customHeight="true" outlineLevel="0" collapsed="false">
      <c r="A140" s="15" t="s">
        <v>1942</v>
      </c>
      <c r="B140" s="15" t="s">
        <v>1299</v>
      </c>
      <c r="C140" s="15" t="s">
        <v>1943</v>
      </c>
      <c r="D140" s="15" t="s">
        <v>1944</v>
      </c>
      <c r="E140" s="16" t="str">
        <f aca="false">HYPERLINK("#'Forrásszöveg'!A"&amp;(MATCH("TV-S0093",Forrásszöveg!$A$6:$A$2497,0)+5),"4. § eleje")</f>
        <v>4. § eleje</v>
      </c>
      <c r="F140" s="16" t="str">
        <f aca="false">HYPERLINK("https://net.jogtar.hu/jogszabaly?docid=a2400069.tv#pr135id","Jogtár megnyitása")</f>
        <v>Jogtár megnyitása</v>
      </c>
    </row>
    <row r="141" customFormat="false" ht="38" hidden="false" customHeight="true" outlineLevel="0" collapsed="false">
      <c r="A141" s="15" t="s">
        <v>1945</v>
      </c>
      <c r="B141" s="15" t="s">
        <v>1299</v>
      </c>
      <c r="C141" s="15" t="s">
        <v>1946</v>
      </c>
      <c r="D141" s="15" t="s">
        <v>1947</v>
      </c>
      <c r="E141" s="16" t="str">
        <f aca="false">HYPERLINK("#'Forrásszöveg'!A"&amp;(MATCH("TV-S0093",Forrásszöveg!$A$6:$A$2497,0)+5),"4. § eleje")</f>
        <v>4. § eleje</v>
      </c>
      <c r="F141" s="16" t="str">
        <f aca="false">HYPERLINK("https://net.jogtar.hu/jogszabaly?docid=a2400069.tv#pr136id","Jogtár megnyitása")</f>
        <v>Jogtár megnyitása</v>
      </c>
    </row>
    <row r="142" customFormat="false" ht="38" hidden="false" customHeight="true" outlineLevel="0" collapsed="false">
      <c r="A142" s="15" t="s">
        <v>1948</v>
      </c>
      <c r="B142" s="15" t="s">
        <v>1299</v>
      </c>
      <c r="C142" s="15" t="s">
        <v>1949</v>
      </c>
      <c r="D142" s="15" t="s">
        <v>1950</v>
      </c>
      <c r="E142" s="16" t="str">
        <f aca="false">HYPERLINK("#'Forrásszöveg'!A"&amp;(MATCH("TV-S0093",Forrásszöveg!$A$6:$A$2497,0)+5),"4. § eleje")</f>
        <v>4. § eleje</v>
      </c>
      <c r="F142" s="16" t="str">
        <f aca="false">HYPERLINK("https://net.jogtar.hu/jogszabaly?docid=a2400069.tv#pr137id","Jogtár megnyitása")</f>
        <v>Jogtár megnyitása</v>
      </c>
    </row>
    <row r="143" customFormat="false" ht="38" hidden="false" customHeight="true" outlineLevel="0" collapsed="false">
      <c r="A143" s="15" t="s">
        <v>1951</v>
      </c>
      <c r="B143" s="15" t="s">
        <v>1299</v>
      </c>
      <c r="C143" s="15" t="s">
        <v>1952</v>
      </c>
      <c r="D143" s="15" t="s">
        <v>1953</v>
      </c>
      <c r="E143" s="16" t="str">
        <f aca="false">HYPERLINK("#'Forrásszöveg'!A"&amp;(MATCH("TV-S0093",Forrásszöveg!$A$6:$A$2497,0)+5),"4. § eleje")</f>
        <v>4. § eleje</v>
      </c>
      <c r="F143" s="16" t="str">
        <f aca="false">HYPERLINK("https://net.jogtar.hu/jogszabaly?docid=a2400069.tv#pr138id","Jogtár megnyitása")</f>
        <v>Jogtár megnyitása</v>
      </c>
    </row>
    <row r="144" customFormat="false" ht="34" hidden="false" customHeight="true" outlineLevel="0" collapsed="false">
      <c r="A144" s="15" t="s">
        <v>1954</v>
      </c>
      <c r="B144" s="15" t="s">
        <v>1299</v>
      </c>
      <c r="C144" s="15" t="s">
        <v>1955</v>
      </c>
      <c r="D144" s="15" t="s">
        <v>1956</v>
      </c>
      <c r="E144" s="16" t="str">
        <f aca="false">HYPERLINK("#'Forrásszöveg'!A"&amp;(MATCH("TV-S0093",Forrásszöveg!$A$6:$A$2497,0)+5),"4. § eleje")</f>
        <v>4. § eleje</v>
      </c>
      <c r="F144" s="16" t="str">
        <f aca="false">HYPERLINK("https://net.jogtar.hu/jogszabaly?docid=a2400069.tv#pr139id","Jogtár megnyitása")</f>
        <v>Jogtár megnyitása</v>
      </c>
    </row>
    <row r="145" customFormat="false" ht="34" hidden="false" customHeight="true" outlineLevel="0" collapsed="false">
      <c r="A145" s="15" t="s">
        <v>1957</v>
      </c>
      <c r="B145" s="15" t="s">
        <v>1299</v>
      </c>
      <c r="C145" s="15" t="s">
        <v>1958</v>
      </c>
      <c r="D145" s="15" t="s">
        <v>1959</v>
      </c>
      <c r="E145" s="16" t="str">
        <f aca="false">HYPERLINK("#'Forrásszöveg'!A"&amp;(MATCH("TV-S0093",Forrásszöveg!$A$6:$A$2497,0)+5),"4. § eleje")</f>
        <v>4. § eleje</v>
      </c>
      <c r="F145" s="16" t="str">
        <f aca="false">HYPERLINK("https://net.jogtar.hu/jogszabaly?docid=a2400069.tv#pr140id","Jogtár megnyitása")</f>
        <v>Jogtár megnyitása</v>
      </c>
    </row>
    <row r="146" customFormat="false" ht="38" hidden="false" customHeight="true" outlineLevel="0" collapsed="false">
      <c r="A146" s="15" t="s">
        <v>1960</v>
      </c>
      <c r="B146" s="15" t="s">
        <v>1299</v>
      </c>
      <c r="C146" s="15" t="s">
        <v>1961</v>
      </c>
      <c r="D146" s="15" t="s">
        <v>1962</v>
      </c>
      <c r="E146" s="16" t="str">
        <f aca="false">HYPERLINK("#'Forrásszöveg'!A"&amp;(MATCH("TV-S0093",Forrásszöveg!$A$6:$A$2497,0)+5),"4. § eleje")</f>
        <v>4. § eleje</v>
      </c>
      <c r="F146" s="16" t="str">
        <f aca="false">HYPERLINK("https://net.jogtar.hu/jogszabaly?docid=a2400069.tv#pr141id","Jogtár megnyitása")</f>
        <v>Jogtár megnyitása</v>
      </c>
    </row>
    <row r="147" customFormat="false" ht="38" hidden="false" customHeight="true" outlineLevel="0" collapsed="false">
      <c r="A147" s="15" t="s">
        <v>1963</v>
      </c>
      <c r="B147" s="15" t="s">
        <v>1299</v>
      </c>
      <c r="C147" s="15" t="s">
        <v>1964</v>
      </c>
      <c r="D147" s="15" t="s">
        <v>1965</v>
      </c>
      <c r="E147" s="16" t="str">
        <f aca="false">HYPERLINK("#'Forrásszöveg'!A"&amp;(MATCH("TV-S0093",Forrásszöveg!$A$6:$A$2497,0)+5),"4. § eleje")</f>
        <v>4. § eleje</v>
      </c>
      <c r="F147" s="16" t="str">
        <f aca="false">HYPERLINK("https://net.jogtar.hu/jogszabaly?docid=a2400069.tv#pr142id","Jogtár megnyitása")</f>
        <v>Jogtár megnyitása</v>
      </c>
    </row>
    <row r="148" customFormat="false" ht="38" hidden="false" customHeight="true" outlineLevel="0" collapsed="false">
      <c r="A148" s="15" t="s">
        <v>1966</v>
      </c>
      <c r="B148" s="15" t="s">
        <v>1299</v>
      </c>
      <c r="C148" s="15" t="s">
        <v>1967</v>
      </c>
      <c r="D148" s="15" t="s">
        <v>1968</v>
      </c>
      <c r="E148" s="16" t="str">
        <f aca="false">HYPERLINK("#'Forrásszöveg'!A"&amp;(MATCH("TV-S0093",Forrásszöveg!$A$6:$A$2497,0)+5),"4. § eleje")</f>
        <v>4. § eleje</v>
      </c>
      <c r="F148" s="16" t="str">
        <f aca="false">HYPERLINK("https://net.jogtar.hu/jogszabaly?docid=a2400069.tv#pr143id","Jogtár megnyitása")</f>
        <v>Jogtár megnyitása</v>
      </c>
    </row>
    <row r="149" customFormat="false" ht="34" hidden="false" customHeight="true" outlineLevel="0" collapsed="false">
      <c r="A149" s="15" t="s">
        <v>1969</v>
      </c>
      <c r="B149" s="15" t="s">
        <v>1299</v>
      </c>
      <c r="C149" s="15" t="s">
        <v>1970</v>
      </c>
      <c r="D149" s="15" t="s">
        <v>1971</v>
      </c>
      <c r="E149" s="16" t="str">
        <f aca="false">HYPERLINK("#'Forrásszöveg'!A"&amp;(MATCH("TV-S0093",Forrásszöveg!$A$6:$A$2497,0)+5),"4. § eleje")</f>
        <v>4. § eleje</v>
      </c>
      <c r="F149" s="16" t="str">
        <f aca="false">HYPERLINK("https://net.jogtar.hu/jogszabaly?docid=a2400069.tv#pr144id","Jogtár megnyitása")</f>
        <v>Jogtár megnyitása</v>
      </c>
    </row>
    <row r="150" customFormat="false" ht="34" hidden="false" customHeight="true" outlineLevel="0" collapsed="false">
      <c r="A150" s="15" t="s">
        <v>1972</v>
      </c>
      <c r="B150" s="15" t="s">
        <v>1299</v>
      </c>
      <c r="C150" s="15" t="s">
        <v>1973</v>
      </c>
      <c r="D150" s="15" t="s">
        <v>1974</v>
      </c>
      <c r="E150" s="16" t="str">
        <f aca="false">HYPERLINK("#'Forrásszöveg'!A"&amp;(MATCH("TV-S0093",Forrásszöveg!$A$6:$A$2497,0)+5),"4. § eleje")</f>
        <v>4. § eleje</v>
      </c>
      <c r="F150" s="16" t="str">
        <f aca="false">HYPERLINK("https://net.jogtar.hu/jogszabaly?docid=a2400069.tv#pr145id","Jogtár megnyitása")</f>
        <v>Jogtár megnyitása</v>
      </c>
    </row>
    <row r="151" customFormat="false" ht="34" hidden="false" customHeight="true" outlineLevel="0" collapsed="false">
      <c r="A151" s="15" t="s">
        <v>1975</v>
      </c>
      <c r="B151" s="15" t="s">
        <v>1299</v>
      </c>
      <c r="C151" s="15" t="s">
        <v>1976</v>
      </c>
      <c r="D151" s="15" t="s">
        <v>1977</v>
      </c>
      <c r="E151" s="16" t="str">
        <f aca="false">HYPERLINK("#'Forrásszöveg'!A"&amp;(MATCH("TV-S0093",Forrásszöveg!$A$6:$A$2497,0)+5),"4. § eleje")</f>
        <v>4. § eleje</v>
      </c>
      <c r="F151" s="16" t="str">
        <f aca="false">HYPERLINK("https://net.jogtar.hu/jogszabaly?docid=a2400069.tv#pr146id","Jogtár megnyitása")</f>
        <v>Jogtár megnyitása</v>
      </c>
    </row>
    <row r="152" customFormat="false" ht="38" hidden="false" customHeight="true" outlineLevel="0" collapsed="false">
      <c r="A152" s="15" t="s">
        <v>1978</v>
      </c>
      <c r="B152" s="15" t="s">
        <v>1299</v>
      </c>
      <c r="C152" s="15" t="s">
        <v>1979</v>
      </c>
      <c r="D152" s="15" t="s">
        <v>1980</v>
      </c>
      <c r="E152" s="16" t="str">
        <f aca="false">HYPERLINK("#'Forrásszöveg'!A"&amp;(MATCH("TV-S0093",Forrásszöveg!$A$6:$A$2497,0)+5),"4. § eleje")</f>
        <v>4. § eleje</v>
      </c>
      <c r="F152" s="16" t="str">
        <f aca="false">HYPERLINK("https://net.jogtar.hu/jogszabaly?docid=a2400069.tv#pr147id","Jogtár megnyitása")</f>
        <v>Jogtár megnyitása</v>
      </c>
    </row>
    <row r="153" customFormat="false" ht="38" hidden="false" customHeight="true" outlineLevel="0" collapsed="false">
      <c r="A153" s="15" t="s">
        <v>1981</v>
      </c>
      <c r="B153" s="15" t="s">
        <v>1299</v>
      </c>
      <c r="C153" s="15" t="s">
        <v>1982</v>
      </c>
      <c r="D153" s="15" t="s">
        <v>1983</v>
      </c>
      <c r="E153" s="16" t="str">
        <f aca="false">HYPERLINK("#'Forrásszöveg'!A"&amp;(MATCH("TV-S0093",Forrásszöveg!$A$6:$A$2497,0)+5),"4. § eleje")</f>
        <v>4. § eleje</v>
      </c>
      <c r="F153" s="16" t="str">
        <f aca="false">HYPERLINK("https://net.jogtar.hu/jogszabaly?docid=a2400069.tv#pr148id","Jogtár megnyitása")</f>
        <v>Jogtár megnyitása</v>
      </c>
    </row>
    <row r="154" customFormat="false" ht="38" hidden="false" customHeight="true" outlineLevel="0" collapsed="false">
      <c r="A154" s="15" t="s">
        <v>1984</v>
      </c>
      <c r="B154" s="15" t="s">
        <v>1299</v>
      </c>
      <c r="C154" s="15" t="s">
        <v>1985</v>
      </c>
      <c r="D154" s="15" t="s">
        <v>1986</v>
      </c>
      <c r="E154" s="16" t="str">
        <f aca="false">HYPERLINK("#'Forrásszöveg'!A"&amp;(MATCH("TV-S0093",Forrásszöveg!$A$6:$A$2497,0)+5),"4. § eleje")</f>
        <v>4. § eleje</v>
      </c>
      <c r="F154" s="16" t="str">
        <f aca="false">HYPERLINK("https://net.jogtar.hu/jogszabaly?docid=a2400069.tv#pr149id","Jogtár megnyitása")</f>
        <v>Jogtár megnyitása</v>
      </c>
    </row>
    <row r="155" customFormat="false" ht="52" hidden="false" customHeight="true" outlineLevel="0" collapsed="false">
      <c r="A155" s="15" t="s">
        <v>1987</v>
      </c>
      <c r="B155" s="15" t="s">
        <v>1299</v>
      </c>
      <c r="C155" s="15" t="s">
        <v>1988</v>
      </c>
      <c r="D155" s="15" t="s">
        <v>1989</v>
      </c>
      <c r="E155" s="16" t="str">
        <f aca="false">HYPERLINK("#'Forrásszöveg'!A"&amp;(MATCH("TV-S0093",Forrásszöveg!$A$6:$A$2497,0)+5),"4. § eleje")</f>
        <v>4. § eleje</v>
      </c>
      <c r="F155" s="16" t="str">
        <f aca="false">HYPERLINK("https://net.jogtar.hu/jogszabaly?docid=a2400069.tv#pr150id","Jogtár megnyitása")</f>
        <v>Jogtár megnyitása</v>
      </c>
    </row>
    <row r="156" customFormat="false" ht="52" hidden="false" customHeight="true" outlineLevel="0" collapsed="false">
      <c r="A156" s="15" t="s">
        <v>1990</v>
      </c>
      <c r="B156" s="15" t="s">
        <v>1299</v>
      </c>
      <c r="C156" s="15" t="s">
        <v>1991</v>
      </c>
      <c r="D156" s="15" t="s">
        <v>1992</v>
      </c>
      <c r="E156" s="16" t="str">
        <f aca="false">HYPERLINK("#'Forrásszöveg'!A"&amp;(MATCH("TV-S0093",Forrásszöveg!$A$6:$A$2497,0)+5),"4. § eleje")</f>
        <v>4. § eleje</v>
      </c>
      <c r="F156" s="16" t="str">
        <f aca="false">HYPERLINK("https://net.jogtar.hu/jogszabaly?docid=a2400069.tv#pr151id","Jogtár megnyitása")</f>
        <v>Jogtár megnyitása</v>
      </c>
    </row>
    <row r="157" customFormat="false" ht="38" hidden="false" customHeight="true" outlineLevel="0" collapsed="false">
      <c r="A157" s="15" t="s">
        <v>1993</v>
      </c>
      <c r="B157" s="15" t="s">
        <v>1299</v>
      </c>
      <c r="C157" s="15" t="s">
        <v>1994</v>
      </c>
      <c r="D157" s="15" t="s">
        <v>1995</v>
      </c>
      <c r="E157" s="16" t="str">
        <f aca="false">HYPERLINK("#'Forrásszöveg'!A"&amp;(MATCH("TV-S0093",Forrásszöveg!$A$6:$A$2497,0)+5),"4. § eleje")</f>
        <v>4. § eleje</v>
      </c>
      <c r="F157" s="16" t="str">
        <f aca="false">HYPERLINK("https://net.jogtar.hu/jogszabaly?docid=a2400069.tv#pr152id","Jogtár megnyitása")</f>
        <v>Jogtár megnyitása</v>
      </c>
    </row>
    <row r="158" customFormat="false" ht="38" hidden="false" customHeight="true" outlineLevel="0" collapsed="false">
      <c r="A158" s="15" t="s">
        <v>1996</v>
      </c>
      <c r="B158" s="15" t="s">
        <v>1299</v>
      </c>
      <c r="C158" s="15" t="s">
        <v>1997</v>
      </c>
      <c r="D158" s="15" t="s">
        <v>1998</v>
      </c>
      <c r="E158" s="16" t="str">
        <f aca="false">HYPERLINK("#'Forrásszöveg'!A"&amp;(MATCH("TV-S0093",Forrásszöveg!$A$6:$A$2497,0)+5),"4. § eleje")</f>
        <v>4. § eleje</v>
      </c>
      <c r="F158" s="16" t="str">
        <f aca="false">HYPERLINK("https://net.jogtar.hu/jogszabaly?docid=a2400069.tv#pr153id","Jogtár megnyitása")</f>
        <v>Jogtár megnyitása</v>
      </c>
    </row>
    <row r="159" customFormat="false" ht="34" hidden="false" customHeight="true" outlineLevel="0" collapsed="false">
      <c r="A159" s="15" t="s">
        <v>1999</v>
      </c>
      <c r="B159" s="15" t="s">
        <v>1299</v>
      </c>
      <c r="C159" s="15" t="s">
        <v>2000</v>
      </c>
      <c r="D159" s="15" t="s">
        <v>2001</v>
      </c>
      <c r="E159" s="16" t="str">
        <f aca="false">HYPERLINK("#'Forrásszöveg'!A"&amp;(MATCH("TV-S0093",Forrásszöveg!$A$6:$A$2497,0)+5),"4. § eleje")</f>
        <v>4. § eleje</v>
      </c>
      <c r="F159" s="16" t="str">
        <f aca="false">HYPERLINK("https://net.jogtar.hu/jogszabaly?docid=a2400069.tv#pr154id","Jogtár megnyitása")</f>
        <v>Jogtár megnyitása</v>
      </c>
    </row>
    <row r="160" customFormat="false" ht="52" hidden="false" customHeight="true" outlineLevel="0" collapsed="false">
      <c r="A160" s="15" t="s">
        <v>2002</v>
      </c>
      <c r="B160" s="15" t="s">
        <v>1299</v>
      </c>
      <c r="C160" s="15" t="s">
        <v>2003</v>
      </c>
      <c r="D160" s="15" t="s">
        <v>2004</v>
      </c>
      <c r="E160" s="16" t="str">
        <f aca="false">HYPERLINK("#'Forrásszöveg'!A"&amp;(MATCH("TV-S0093",Forrásszöveg!$A$6:$A$2497,0)+5),"4. § eleje")</f>
        <v>4. § eleje</v>
      </c>
      <c r="F160" s="16" t="str">
        <f aca="false">HYPERLINK("https://net.jogtar.hu/jogszabaly?docid=a2400069.tv#pr155id","Jogtár megnyitása")</f>
        <v>Jogtár megnyitása</v>
      </c>
    </row>
    <row r="161" customFormat="false" ht="52" hidden="false" customHeight="true" outlineLevel="0" collapsed="false">
      <c r="A161" s="15" t="s">
        <v>2005</v>
      </c>
      <c r="B161" s="15" t="s">
        <v>1299</v>
      </c>
      <c r="C161" s="15" t="s">
        <v>2006</v>
      </c>
      <c r="D161" s="15" t="s">
        <v>2007</v>
      </c>
      <c r="E161" s="16" t="str">
        <f aca="false">HYPERLINK("#'Forrásszöveg'!A"&amp;(MATCH("TV-S0093",Forrásszöveg!$A$6:$A$2497,0)+5),"4. § eleje")</f>
        <v>4. § eleje</v>
      </c>
      <c r="F161" s="16" t="str">
        <f aca="false">HYPERLINK("https://net.jogtar.hu/jogszabaly?docid=a2400069.tv#pr156id","Jogtár megnyitása")</f>
        <v>Jogtár megnyitása</v>
      </c>
    </row>
    <row r="162" customFormat="false" ht="34" hidden="false" customHeight="true" outlineLevel="0" collapsed="false">
      <c r="A162" s="15" t="s">
        <v>2008</v>
      </c>
      <c r="B162" s="15" t="s">
        <v>1299</v>
      </c>
      <c r="C162" s="15" t="s">
        <v>2009</v>
      </c>
      <c r="D162" s="15" t="s">
        <v>2010</v>
      </c>
      <c r="E162" s="16" t="str">
        <f aca="false">HYPERLINK("#'Forrásszöveg'!A"&amp;(MATCH("TV-S0093",Forrásszöveg!$A$6:$A$2497,0)+5),"4. § eleje")</f>
        <v>4. § eleje</v>
      </c>
      <c r="F162" s="16" t="str">
        <f aca="false">HYPERLINK("https://net.jogtar.hu/jogszabaly?docid=a2400069.tv#pr157id","Jogtár megnyitása")</f>
        <v>Jogtár megnyitása</v>
      </c>
    </row>
    <row r="163" customFormat="false" ht="66" hidden="false" customHeight="true" outlineLevel="0" collapsed="false">
      <c r="A163" s="15" t="s">
        <v>2011</v>
      </c>
      <c r="B163" s="15" t="s">
        <v>1299</v>
      </c>
      <c r="C163" s="15" t="s">
        <v>2012</v>
      </c>
      <c r="D163" s="15" t="s">
        <v>2013</v>
      </c>
      <c r="E163" s="16" t="str">
        <f aca="false">HYPERLINK("#'Forrásszöveg'!A"&amp;(MATCH("TV-S0093",Forrásszöveg!$A$6:$A$2497,0)+5),"4. § eleje")</f>
        <v>4. § eleje</v>
      </c>
      <c r="F163" s="16" t="str">
        <f aca="false">HYPERLINK("https://net.jogtar.hu/jogszabaly?docid=a2400069.tv#pr158id","Jogtár megnyitása")</f>
        <v>Jogtár megnyitása</v>
      </c>
    </row>
    <row r="164" customFormat="false" ht="38" hidden="false" customHeight="true" outlineLevel="0" collapsed="false">
      <c r="A164" s="15" t="s">
        <v>2014</v>
      </c>
      <c r="B164" s="15" t="s">
        <v>1299</v>
      </c>
      <c r="C164" s="15" t="s">
        <v>2015</v>
      </c>
      <c r="D164" s="15" t="s">
        <v>2016</v>
      </c>
      <c r="E164" s="16" t="str">
        <f aca="false">HYPERLINK("#'Forrásszöveg'!A"&amp;(MATCH("TV-S0093",Forrásszöveg!$A$6:$A$2497,0)+5),"4. § eleje")</f>
        <v>4. § eleje</v>
      </c>
      <c r="F164" s="16" t="str">
        <f aca="false">HYPERLINK("https://net.jogtar.hu/jogszabaly?docid=a2400069.tv#pr159id","Jogtár megnyitása")</f>
        <v>Jogtár megnyitása</v>
      </c>
    </row>
    <row r="165" customFormat="false" ht="66" hidden="false" customHeight="true" outlineLevel="0" collapsed="false">
      <c r="A165" s="15" t="s">
        <v>2017</v>
      </c>
      <c r="B165" s="15" t="s">
        <v>1299</v>
      </c>
      <c r="C165" s="15" t="s">
        <v>2018</v>
      </c>
      <c r="D165" s="15" t="s">
        <v>2019</v>
      </c>
      <c r="E165" s="16" t="str">
        <f aca="false">HYPERLINK("#'Forrásszöveg'!A"&amp;(MATCH("TV-S0093",Forrásszöveg!$A$6:$A$2497,0)+5),"4. § eleje")</f>
        <v>4. § eleje</v>
      </c>
      <c r="F165" s="16" t="str">
        <f aca="false">HYPERLINK("https://net.jogtar.hu/jogszabaly?docid=a2400069.tv#pr160id","Jogtár megnyitása")</f>
        <v>Jogtár megnyitása</v>
      </c>
    </row>
    <row r="166" customFormat="false" ht="52" hidden="false" customHeight="true" outlineLevel="0" collapsed="false">
      <c r="A166" s="15" t="s">
        <v>2020</v>
      </c>
      <c r="B166" s="15" t="s">
        <v>1299</v>
      </c>
      <c r="C166" s="15" t="s">
        <v>2021</v>
      </c>
      <c r="D166" s="15" t="s">
        <v>2022</v>
      </c>
      <c r="E166" s="16" t="str">
        <f aca="false">HYPERLINK("#'Forrásszöveg'!A"&amp;(MATCH("TV-S0093",Forrásszöveg!$A$6:$A$2497,0)+5),"4. § eleje")</f>
        <v>4. § eleje</v>
      </c>
      <c r="F166" s="16" t="str">
        <f aca="false">HYPERLINK("https://net.jogtar.hu/jogszabaly?docid=a2400069.tv#pr161id","Jogtár megnyitása")</f>
        <v>Jogtár megnyitása</v>
      </c>
    </row>
    <row r="167" customFormat="false" ht="66" hidden="false" customHeight="true" outlineLevel="0" collapsed="false">
      <c r="A167" s="15" t="s">
        <v>2023</v>
      </c>
      <c r="B167" s="15" t="s">
        <v>1299</v>
      </c>
      <c r="C167" s="15" t="s">
        <v>2024</v>
      </c>
      <c r="D167" s="15" t="s">
        <v>2025</v>
      </c>
      <c r="E167" s="16" t="str">
        <f aca="false">HYPERLINK("#'Forrásszöveg'!A"&amp;(MATCH("TV-S0093",Forrásszöveg!$A$6:$A$2497,0)+5),"4. § eleje")</f>
        <v>4. § eleje</v>
      </c>
      <c r="F167" s="16" t="str">
        <f aca="false">HYPERLINK("https://net.jogtar.hu/jogszabaly?docid=a2400069.tv#pr162id","Jogtár megnyitása")</f>
        <v>Jogtár megnyitása</v>
      </c>
    </row>
    <row r="168" customFormat="false" ht="38" hidden="false" customHeight="true" outlineLevel="0" collapsed="false">
      <c r="A168" s="15" t="s">
        <v>2026</v>
      </c>
      <c r="B168" s="15" t="s">
        <v>1299</v>
      </c>
      <c r="C168" s="15" t="s">
        <v>2027</v>
      </c>
      <c r="D168" s="15" t="s">
        <v>2028</v>
      </c>
      <c r="E168" s="16" t="str">
        <f aca="false">HYPERLINK("#'Forrásszöveg'!A"&amp;(MATCH("TV-S0093",Forrásszöveg!$A$6:$A$2497,0)+5),"4. § eleje")</f>
        <v>4. § eleje</v>
      </c>
      <c r="F168" s="16" t="str">
        <f aca="false">HYPERLINK("https://net.jogtar.hu/jogszabaly?docid=a2400069.tv#pr163id","Jogtár megnyitása")</f>
        <v>Jogtár megnyitása</v>
      </c>
    </row>
    <row r="169" customFormat="false" ht="38" hidden="false" customHeight="true" outlineLevel="0" collapsed="false">
      <c r="A169" s="15" t="s">
        <v>2029</v>
      </c>
      <c r="B169" s="15" t="s">
        <v>1299</v>
      </c>
      <c r="C169" s="15" t="s">
        <v>2030</v>
      </c>
      <c r="D169" s="15" t="s">
        <v>2031</v>
      </c>
      <c r="E169" s="16" t="str">
        <f aca="false">HYPERLINK("#'Forrásszöveg'!A"&amp;(MATCH("TV-S0093",Forrásszöveg!$A$6:$A$2497,0)+5),"4. § eleje")</f>
        <v>4. § eleje</v>
      </c>
      <c r="F169" s="16" t="str">
        <f aca="false">HYPERLINK("https://net.jogtar.hu/jogszabaly?docid=a2400069.tv#pr164id","Jogtár megnyitása")</f>
        <v>Jogtár megnyitása</v>
      </c>
    </row>
    <row r="170" customFormat="false" ht="38" hidden="false" customHeight="true" outlineLevel="0" collapsed="false">
      <c r="A170" s="15" t="s">
        <v>2032</v>
      </c>
      <c r="B170" s="15" t="s">
        <v>1299</v>
      </c>
      <c r="C170" s="15" t="s">
        <v>2033</v>
      </c>
      <c r="D170" s="15" t="s">
        <v>2034</v>
      </c>
      <c r="E170" s="16" t="str">
        <f aca="false">HYPERLINK("#'Forrásszöveg'!A"&amp;(MATCH("TV-S0093",Forrásszöveg!$A$6:$A$2497,0)+5),"4. § eleje")</f>
        <v>4. § eleje</v>
      </c>
      <c r="F170" s="16" t="str">
        <f aca="false">HYPERLINK("https://net.jogtar.hu/jogszabaly?docid=a2400069.tv#pr165id","Jogtár megnyitása")</f>
        <v>Jogtár megnyitása</v>
      </c>
    </row>
    <row r="171" customFormat="false" ht="80" hidden="false" customHeight="true" outlineLevel="0" collapsed="false">
      <c r="A171" s="15" t="s">
        <v>2035</v>
      </c>
      <c r="B171" s="15" t="s">
        <v>1299</v>
      </c>
      <c r="C171" s="15" t="s">
        <v>2036</v>
      </c>
      <c r="D171" s="15" t="s">
        <v>2037</v>
      </c>
      <c r="E171" s="16" t="str">
        <f aca="false">HYPERLINK("#'Forrásszöveg'!A"&amp;(MATCH("TV-S0093",Forrásszöveg!$A$6:$A$2497,0)+5),"4. § eleje")</f>
        <v>4. § eleje</v>
      </c>
      <c r="F171" s="16" t="str">
        <f aca="false">HYPERLINK("https://net.jogtar.hu/jogszabaly?docid=a2400069.tv#pr166id","Jogtár megnyitása")</f>
        <v>Jogtár megnyitása</v>
      </c>
    </row>
    <row r="172" customFormat="false" ht="34" hidden="false" customHeight="true" outlineLevel="0" collapsed="false">
      <c r="A172" s="15" t="s">
        <v>2038</v>
      </c>
      <c r="B172" s="15" t="s">
        <v>1299</v>
      </c>
      <c r="C172" s="15" t="s">
        <v>2039</v>
      </c>
      <c r="D172" s="15" t="s">
        <v>2040</v>
      </c>
      <c r="E172" s="16" t="str">
        <f aca="false">HYPERLINK("#'Forrásszöveg'!A"&amp;(MATCH("TV-S0093",Forrásszöveg!$A$6:$A$2497,0)+5),"4. § eleje")</f>
        <v>4. § eleje</v>
      </c>
      <c r="F172" s="16" t="str">
        <f aca="false">HYPERLINK("https://net.jogtar.hu/jogszabaly?docid=a2400069.tv#pr167id","Jogtár megnyitása")</f>
        <v>Jogtár megnyitása</v>
      </c>
    </row>
    <row r="173" customFormat="false" ht="38" hidden="false" customHeight="true" outlineLevel="0" collapsed="false">
      <c r="A173" s="15" t="s">
        <v>2041</v>
      </c>
      <c r="B173" s="15" t="s">
        <v>1299</v>
      </c>
      <c r="C173" s="15" t="s">
        <v>2042</v>
      </c>
      <c r="D173" s="15" t="s">
        <v>2043</v>
      </c>
      <c r="E173" s="16" t="str">
        <f aca="false">HYPERLINK("#'Forrásszöveg'!A"&amp;(MATCH("TV-S0093",Forrásszöveg!$A$6:$A$2497,0)+5),"4. § eleje")</f>
        <v>4. § eleje</v>
      </c>
      <c r="F173" s="16" t="str">
        <f aca="false">HYPERLINK("https://net.jogtar.hu/jogszabaly?docid=a2400069.tv#pr168id","Jogtár megnyitása")</f>
        <v>Jogtár megnyitása</v>
      </c>
    </row>
    <row r="174" customFormat="false" ht="52" hidden="false" customHeight="true" outlineLevel="0" collapsed="false">
      <c r="A174" s="15" t="s">
        <v>2044</v>
      </c>
      <c r="B174" s="15" t="s">
        <v>1299</v>
      </c>
      <c r="C174" s="15" t="s">
        <v>2045</v>
      </c>
      <c r="D174" s="15" t="s">
        <v>2046</v>
      </c>
      <c r="E174" s="16" t="str">
        <f aca="false">HYPERLINK("#'Forrásszöveg'!A"&amp;(MATCH("TV-S0093",Forrásszöveg!$A$6:$A$2497,0)+5),"4. § eleje")</f>
        <v>4. § eleje</v>
      </c>
      <c r="F174" s="16" t="str">
        <f aca="false">HYPERLINK("https://net.jogtar.hu/jogszabaly?docid=a2400069.tv#pr169id","Jogtár megnyitása")</f>
        <v>Jogtár megnyitása</v>
      </c>
    </row>
    <row r="175" customFormat="false" ht="38" hidden="false" customHeight="true" outlineLevel="0" collapsed="false">
      <c r="A175" s="15" t="s">
        <v>2047</v>
      </c>
      <c r="B175" s="15" t="s">
        <v>1299</v>
      </c>
      <c r="C175" s="15" t="s">
        <v>2048</v>
      </c>
      <c r="D175" s="15" t="s">
        <v>2049</v>
      </c>
      <c r="E175" s="16" t="str">
        <f aca="false">HYPERLINK("#'Forrásszöveg'!A"&amp;(MATCH("TV-S0093",Forrásszöveg!$A$6:$A$2497,0)+5),"4. § eleje")</f>
        <v>4. § eleje</v>
      </c>
      <c r="F175" s="16" t="str">
        <f aca="false">HYPERLINK("https://net.jogtar.hu/jogszabaly?docid=a2400069.tv#pr170id","Jogtár megnyitása")</f>
        <v>Jogtár megnyitása</v>
      </c>
    </row>
    <row r="176" customFormat="false" ht="38" hidden="false" customHeight="true" outlineLevel="0" collapsed="false">
      <c r="A176" s="15" t="s">
        <v>2050</v>
      </c>
      <c r="B176" s="15" t="s">
        <v>1299</v>
      </c>
      <c r="C176" s="15" t="s">
        <v>2051</v>
      </c>
      <c r="D176" s="15" t="s">
        <v>2052</v>
      </c>
      <c r="E176" s="16" t="str">
        <f aca="false">HYPERLINK("#'Forrásszöveg'!A"&amp;(MATCH("TV-S0093",Forrásszöveg!$A$6:$A$2497,0)+5),"4. § eleje")</f>
        <v>4. § eleje</v>
      </c>
      <c r="F176" s="16" t="str">
        <f aca="false">HYPERLINK("https://net.jogtar.hu/jogszabaly?docid=a2400069.tv#pr171id","Jogtár megnyitása")</f>
        <v>Jogtár megnyitása</v>
      </c>
    </row>
    <row r="177" customFormat="false" ht="52" hidden="false" customHeight="true" outlineLevel="0" collapsed="false">
      <c r="A177" s="15" t="s">
        <v>2053</v>
      </c>
      <c r="B177" s="15" t="s">
        <v>1299</v>
      </c>
      <c r="C177" s="15" t="s">
        <v>2054</v>
      </c>
      <c r="D177" s="15" t="s">
        <v>2055</v>
      </c>
      <c r="E177" s="16" t="str">
        <f aca="false">HYPERLINK("#'Forrásszöveg'!A"&amp;(MATCH("TV-S0093",Forrásszöveg!$A$6:$A$2497,0)+5),"4. § eleje")</f>
        <v>4. § eleje</v>
      </c>
      <c r="F177" s="16" t="str">
        <f aca="false">HYPERLINK("https://net.jogtar.hu/jogszabaly?docid=a2400069.tv#pr172id","Jogtár megnyitása")</f>
        <v>Jogtár megnyitása</v>
      </c>
    </row>
    <row r="178" customFormat="false" ht="108" hidden="false" customHeight="true" outlineLevel="0" collapsed="false">
      <c r="A178" s="15" t="s">
        <v>2056</v>
      </c>
      <c r="B178" s="15" t="s">
        <v>1299</v>
      </c>
      <c r="C178" s="15" t="s">
        <v>2057</v>
      </c>
      <c r="D178" s="15" t="s">
        <v>2058</v>
      </c>
      <c r="E178" s="16" t="str">
        <f aca="false">HYPERLINK("#'Forrásszöveg'!A"&amp;(MATCH("TV-S0093",Forrásszöveg!$A$6:$A$2497,0)+5),"4. § eleje")</f>
        <v>4. § eleje</v>
      </c>
      <c r="F178" s="16" t="str">
        <f aca="false">HYPERLINK("https://net.jogtar.hu/jogszabaly?docid=a2400069.tv#pr173id","Jogtár megnyitása")</f>
        <v>Jogtár megnyitása</v>
      </c>
    </row>
    <row r="179" customFormat="false" ht="38" hidden="false" customHeight="true" outlineLevel="0" collapsed="false">
      <c r="A179" s="15" t="s">
        <v>2059</v>
      </c>
      <c r="B179" s="15" t="s">
        <v>1299</v>
      </c>
      <c r="C179" s="15" t="s">
        <v>2060</v>
      </c>
      <c r="D179" s="15" t="s">
        <v>2061</v>
      </c>
      <c r="E179" s="16" t="str">
        <f aca="false">HYPERLINK("#'Forrásszöveg'!A"&amp;(MATCH("TV-S0093",Forrásszöveg!$A$6:$A$2497,0)+5),"4. § eleje")</f>
        <v>4. § eleje</v>
      </c>
      <c r="F179" s="16" t="str">
        <f aca="false">HYPERLINK("https://net.jogtar.hu/jogszabaly?docid=a2400069.tv#pr174id","Jogtár megnyitása")</f>
        <v>Jogtár megnyitása</v>
      </c>
    </row>
    <row r="180" customFormat="false" ht="52" hidden="false" customHeight="true" outlineLevel="0" collapsed="false">
      <c r="A180" s="15" t="s">
        <v>2062</v>
      </c>
      <c r="B180" s="15" t="s">
        <v>1299</v>
      </c>
      <c r="C180" s="15" t="s">
        <v>2063</v>
      </c>
      <c r="D180" s="15" t="s">
        <v>2064</v>
      </c>
      <c r="E180" s="16" t="str">
        <f aca="false">HYPERLINK("#'Forrásszöveg'!A"&amp;(MATCH("TV-S0093",Forrásszöveg!$A$6:$A$2497,0)+5),"4. § eleje")</f>
        <v>4. § eleje</v>
      </c>
      <c r="F180" s="16" t="str">
        <f aca="false">HYPERLINK("https://net.jogtar.hu/jogszabaly?docid=a2400069.tv#pr175id","Jogtár megnyitása")</f>
        <v>Jogtár megnyitása</v>
      </c>
    </row>
    <row r="181" customFormat="false" ht="52" hidden="false" customHeight="true" outlineLevel="0" collapsed="false">
      <c r="A181" s="15" t="s">
        <v>2065</v>
      </c>
      <c r="B181" s="15" t="s">
        <v>1299</v>
      </c>
      <c r="C181" s="15" t="s">
        <v>2066</v>
      </c>
      <c r="D181" s="15" t="s">
        <v>2067</v>
      </c>
      <c r="E181" s="16" t="str">
        <f aca="false">HYPERLINK("#'Forrásszöveg'!A"&amp;(MATCH("TV-S0093",Forrásszöveg!$A$6:$A$2497,0)+5),"4. § eleje")</f>
        <v>4. § eleje</v>
      </c>
      <c r="F181" s="16" t="str">
        <f aca="false">HYPERLINK("https://net.jogtar.hu/jogszabaly?docid=a2400069.tv#pr176id","Jogtár megnyitása")</f>
        <v>Jogtár megnyitása</v>
      </c>
    </row>
    <row r="182" customFormat="false" ht="38" hidden="false" customHeight="true" outlineLevel="0" collapsed="false">
      <c r="A182" s="15" t="s">
        <v>2068</v>
      </c>
      <c r="B182" s="15" t="s">
        <v>1299</v>
      </c>
      <c r="C182" s="15" t="s">
        <v>2069</v>
      </c>
      <c r="D182" s="15" t="s">
        <v>2070</v>
      </c>
      <c r="E182" s="16" t="str">
        <f aca="false">HYPERLINK("#'Forrásszöveg'!A"&amp;(MATCH("TV-S0093",Forrásszöveg!$A$6:$A$2497,0)+5),"4. § eleje")</f>
        <v>4. § eleje</v>
      </c>
      <c r="F182" s="16" t="str">
        <f aca="false">HYPERLINK("https://net.jogtar.hu/jogszabaly?docid=a2400069.tv#pr177id","Jogtár megnyitása")</f>
        <v>Jogtár megnyitása</v>
      </c>
    </row>
    <row r="183" customFormat="false" ht="122" hidden="false" customHeight="true" outlineLevel="0" collapsed="false">
      <c r="A183" s="15" t="s">
        <v>2071</v>
      </c>
      <c r="B183" s="15" t="s">
        <v>1299</v>
      </c>
      <c r="C183" s="15" t="s">
        <v>2072</v>
      </c>
      <c r="D183" s="15" t="s">
        <v>2073</v>
      </c>
      <c r="E183" s="16" t="str">
        <f aca="false">HYPERLINK("#'Forrásszöveg'!A"&amp;(MATCH("TV-S0093",Forrásszöveg!$A$6:$A$2497,0)+5),"4. § eleje")</f>
        <v>4. § eleje</v>
      </c>
      <c r="F183" s="16" t="str">
        <f aca="false">HYPERLINK("https://net.jogtar.hu/jogszabaly?docid=a2400069.tv#pr178id","Jogtár megnyitása")</f>
        <v>Jogtár megnyitása</v>
      </c>
    </row>
    <row r="184" customFormat="false" ht="38" hidden="false" customHeight="true" outlineLevel="0" collapsed="false">
      <c r="A184" s="15" t="s">
        <v>2074</v>
      </c>
      <c r="B184" s="15" t="s">
        <v>1299</v>
      </c>
      <c r="C184" s="15" t="s">
        <v>2075</v>
      </c>
      <c r="D184" s="15" t="s">
        <v>2076</v>
      </c>
      <c r="E184" s="16" t="str">
        <f aca="false">HYPERLINK("#'Forrásszöveg'!A"&amp;(MATCH("TV-S0093",Forrásszöveg!$A$6:$A$2497,0)+5),"4. § eleje")</f>
        <v>4. § eleje</v>
      </c>
      <c r="F184" s="16" t="str">
        <f aca="false">HYPERLINK("https://net.jogtar.hu/jogszabaly?docid=a2400069.tv#pr179id","Jogtár megnyitása")</f>
        <v>Jogtár megnyitása</v>
      </c>
    </row>
    <row r="185" customFormat="false" ht="38" hidden="false" customHeight="true" outlineLevel="0" collapsed="false">
      <c r="A185" s="15" t="s">
        <v>2077</v>
      </c>
      <c r="B185" s="15" t="s">
        <v>1299</v>
      </c>
      <c r="C185" s="15" t="s">
        <v>2078</v>
      </c>
      <c r="D185" s="15" t="s">
        <v>2079</v>
      </c>
      <c r="E185" s="16" t="str">
        <f aca="false">HYPERLINK("#'Forrásszöveg'!A"&amp;(MATCH("TV-S0093",Forrásszöveg!$A$6:$A$2497,0)+5),"4. § eleje")</f>
        <v>4. § eleje</v>
      </c>
      <c r="F185" s="16" t="str">
        <f aca="false">HYPERLINK("https://net.jogtar.hu/jogszabaly?docid=a2400069.tv#pr180id","Jogtár megnyitása")</f>
        <v>Jogtár megnyitása</v>
      </c>
    </row>
    <row r="186" customFormat="false" ht="80" hidden="false" customHeight="true" outlineLevel="0" collapsed="false">
      <c r="A186" s="15" t="s">
        <v>2080</v>
      </c>
      <c r="B186" s="15" t="s">
        <v>1299</v>
      </c>
      <c r="C186" s="15" t="s">
        <v>2081</v>
      </c>
      <c r="D186" s="15" t="s">
        <v>2082</v>
      </c>
      <c r="E186" s="16" t="str">
        <f aca="false">HYPERLINK("#'Forrásszöveg'!A"&amp;(MATCH("TV-S0093",Forrásszöveg!$A$6:$A$2497,0)+5),"4. § eleje")</f>
        <v>4. § eleje</v>
      </c>
      <c r="F186" s="16" t="str">
        <f aca="false">HYPERLINK("https://net.jogtar.hu/jogszabaly?docid=a2400069.tv#pr181id","Jogtár megnyitása")</f>
        <v>Jogtár megnyitása</v>
      </c>
    </row>
    <row r="187" customFormat="false" ht="34" hidden="false" customHeight="true" outlineLevel="0" collapsed="false">
      <c r="A187" s="15" t="s">
        <v>2083</v>
      </c>
      <c r="B187" s="15" t="s">
        <v>1299</v>
      </c>
      <c r="C187" s="15" t="s">
        <v>2084</v>
      </c>
      <c r="D187" s="15" t="s">
        <v>2085</v>
      </c>
      <c r="E187" s="16" t="str">
        <f aca="false">HYPERLINK("#'Forrásszöveg'!A"&amp;(MATCH("TV-S0093",Forrásszöveg!$A$6:$A$2497,0)+5),"4. § eleje")</f>
        <v>4. § eleje</v>
      </c>
      <c r="F187" s="16" t="str">
        <f aca="false">HYPERLINK("https://net.jogtar.hu/jogszabaly?docid=a2400069.tv#pr182id","Jogtár megnyitása")</f>
        <v>Jogtár megnyitása</v>
      </c>
    </row>
    <row r="188" customFormat="false" ht="38" hidden="false" customHeight="true" outlineLevel="0" collapsed="false">
      <c r="A188" s="15" t="s">
        <v>2086</v>
      </c>
      <c r="B188" s="15" t="s">
        <v>1299</v>
      </c>
      <c r="C188" s="15" t="s">
        <v>2087</v>
      </c>
      <c r="D188" s="15" t="s">
        <v>2088</v>
      </c>
      <c r="E188" s="16" t="str">
        <f aca="false">HYPERLINK("#'Forrásszöveg'!A"&amp;(MATCH("TV-S0093",Forrásszöveg!$A$6:$A$2497,0)+5),"4. § eleje")</f>
        <v>4. § eleje</v>
      </c>
      <c r="F188" s="16" t="str">
        <f aca="false">HYPERLINK("https://net.jogtar.hu/jogszabaly?docid=a2400069.tv#pr183id","Jogtár megnyitása")</f>
        <v>Jogtár megnyitása</v>
      </c>
    </row>
    <row r="189" customFormat="false" ht="52" hidden="false" customHeight="true" outlineLevel="0" collapsed="false">
      <c r="A189" s="15" t="s">
        <v>2089</v>
      </c>
      <c r="B189" s="15" t="s">
        <v>1299</v>
      </c>
      <c r="C189" s="15" t="s">
        <v>2090</v>
      </c>
      <c r="D189" s="15" t="s">
        <v>2091</v>
      </c>
      <c r="E189" s="16" t="str">
        <f aca="false">HYPERLINK("#'Forrásszöveg'!A"&amp;(MATCH("TV-S0093",Forrásszöveg!$A$6:$A$2497,0)+5),"4. § eleje")</f>
        <v>4. § eleje</v>
      </c>
      <c r="F189" s="16" t="str">
        <f aca="false">HYPERLINK("https://net.jogtar.hu/jogszabaly?docid=a2400069.tv#pr184id","Jogtár megnyitása")</f>
        <v>Jogtár megnyitása</v>
      </c>
    </row>
    <row r="190" customFormat="false" ht="52" hidden="false" customHeight="true" outlineLevel="0" collapsed="false">
      <c r="A190" s="15" t="s">
        <v>2092</v>
      </c>
      <c r="B190" s="15" t="s">
        <v>1299</v>
      </c>
      <c r="C190" s="15" t="s">
        <v>2093</v>
      </c>
      <c r="D190" s="15" t="s">
        <v>2094</v>
      </c>
      <c r="E190" s="16" t="str">
        <f aca="false">HYPERLINK("#'Forrásszöveg'!A"&amp;(MATCH("TV-S0093",Forrásszöveg!$A$6:$A$2497,0)+5),"4. § eleje")</f>
        <v>4. § eleje</v>
      </c>
      <c r="F190" s="16" t="str">
        <f aca="false">HYPERLINK("https://net.jogtar.hu/jogszabaly?docid=a2400069.tv#pr185id","Jogtár megnyitása")</f>
        <v>Jogtár megnyitása</v>
      </c>
    </row>
    <row r="191" customFormat="false" ht="38" hidden="false" customHeight="true" outlineLevel="0" collapsed="false">
      <c r="A191" s="15" t="s">
        <v>2095</v>
      </c>
      <c r="B191" s="15" t="s">
        <v>1299</v>
      </c>
      <c r="C191" s="15" t="s">
        <v>2096</v>
      </c>
      <c r="D191" s="15" t="s">
        <v>2097</v>
      </c>
      <c r="E191" s="16" t="str">
        <f aca="false">HYPERLINK("#'Forrásszöveg'!A"&amp;(MATCH("TV-S0093",Forrásszöveg!$A$6:$A$2497,0)+5),"4. § eleje")</f>
        <v>4. § eleje</v>
      </c>
      <c r="F191" s="16" t="str">
        <f aca="false">HYPERLINK("https://net.jogtar.hu/jogszabaly?docid=a2400069.tv#pr186id","Jogtár megnyitása")</f>
        <v>Jogtár megnyitása</v>
      </c>
    </row>
    <row r="192" customFormat="false" ht="66" hidden="false" customHeight="true" outlineLevel="0" collapsed="false">
      <c r="A192" s="15" t="s">
        <v>2098</v>
      </c>
      <c r="B192" s="15" t="s">
        <v>1299</v>
      </c>
      <c r="C192" s="15" t="s">
        <v>2099</v>
      </c>
      <c r="D192" s="15" t="s">
        <v>2100</v>
      </c>
      <c r="E192" s="16" t="str">
        <f aca="false">HYPERLINK("#'Forrásszöveg'!A"&amp;(MATCH("TV-S0093",Forrásszöveg!$A$6:$A$2497,0)+5),"4. § eleje")</f>
        <v>4. § eleje</v>
      </c>
      <c r="F192" s="16" t="str">
        <f aca="false">HYPERLINK("https://net.jogtar.hu/jogszabaly?docid=a2400069.tv#pr187id","Jogtár megnyitása")</f>
        <v>Jogtár megnyitása</v>
      </c>
    </row>
    <row r="193" customFormat="false" ht="66" hidden="false" customHeight="true" outlineLevel="0" collapsed="false">
      <c r="A193" s="15" t="s">
        <v>2101</v>
      </c>
      <c r="B193" s="15" t="s">
        <v>1299</v>
      </c>
      <c r="C193" s="15" t="s">
        <v>2102</v>
      </c>
      <c r="D193" s="15" t="s">
        <v>2103</v>
      </c>
      <c r="E193" s="16" t="str">
        <f aca="false">HYPERLINK("#'Forrásszöveg'!A"&amp;(MATCH("TV-S0093",Forrásszöveg!$A$6:$A$2497,0)+5),"4. § eleje")</f>
        <v>4. § eleje</v>
      </c>
      <c r="F193" s="16" t="str">
        <f aca="false">HYPERLINK("https://net.jogtar.hu/jogszabaly?docid=a2400069.tv#pr188id","Jogtár megnyitása")</f>
        <v>Jogtár megnyitása</v>
      </c>
    </row>
    <row r="194" customFormat="false" ht="38" hidden="false" customHeight="true" outlineLevel="0" collapsed="false">
      <c r="A194" s="15" t="s">
        <v>2104</v>
      </c>
      <c r="B194" s="15" t="s">
        <v>1299</v>
      </c>
      <c r="C194" s="15" t="s">
        <v>2105</v>
      </c>
      <c r="D194" s="15" t="s">
        <v>2106</v>
      </c>
      <c r="E194" s="16" t="str">
        <f aca="false">HYPERLINK("#'Forrásszöveg'!A"&amp;(MATCH("TV-S0093",Forrásszöveg!$A$6:$A$2497,0)+5),"4. § eleje")</f>
        <v>4. § eleje</v>
      </c>
      <c r="F194" s="16" t="str">
        <f aca="false">HYPERLINK("https://net.jogtar.hu/jogszabaly?docid=a2400069.tv#pr189id","Jogtár megnyitása")</f>
        <v>Jogtár megnyitása</v>
      </c>
    </row>
    <row r="195" customFormat="false" ht="52" hidden="false" customHeight="true" outlineLevel="0" collapsed="false">
      <c r="A195" s="15" t="s">
        <v>2107</v>
      </c>
      <c r="B195" s="15" t="s">
        <v>1299</v>
      </c>
      <c r="C195" s="15" t="s">
        <v>2108</v>
      </c>
      <c r="D195" s="15" t="s">
        <v>2109</v>
      </c>
      <c r="E195" s="16" t="str">
        <f aca="false">HYPERLINK("#'Forrásszöveg'!A"&amp;(MATCH("TV-S0093",Forrásszöveg!$A$6:$A$2497,0)+5),"4. § eleje")</f>
        <v>4. § eleje</v>
      </c>
      <c r="F195" s="16" t="str">
        <f aca="false">HYPERLINK("https://net.jogtar.hu/jogszabaly?docid=a2400069.tv#pr190id","Jogtár megnyitása")</f>
        <v>Jogtár megnyitása</v>
      </c>
    </row>
    <row r="196" customFormat="false" ht="52" hidden="false" customHeight="true" outlineLevel="0" collapsed="false">
      <c r="A196" s="15" t="s">
        <v>2110</v>
      </c>
      <c r="B196" s="15" t="s">
        <v>1299</v>
      </c>
      <c r="C196" s="15" t="s">
        <v>2111</v>
      </c>
      <c r="D196" s="15" t="s">
        <v>2112</v>
      </c>
      <c r="E196" s="16" t="str">
        <f aca="false">HYPERLINK("#'Forrásszöveg'!A"&amp;(MATCH("TV-S0093",Forrásszöveg!$A$6:$A$2497,0)+5),"4. § eleje")</f>
        <v>4. § eleje</v>
      </c>
      <c r="F196" s="16" t="str">
        <f aca="false">HYPERLINK("https://net.jogtar.hu/jogszabaly?docid=a2400069.tv#pr191id","Jogtár megnyitása")</f>
        <v>Jogtár megnyitása</v>
      </c>
    </row>
    <row r="197" customFormat="false" ht="52" hidden="false" customHeight="true" outlineLevel="0" collapsed="false">
      <c r="A197" s="15" t="s">
        <v>2113</v>
      </c>
      <c r="B197" s="15" t="s">
        <v>1299</v>
      </c>
      <c r="C197" s="15" t="s">
        <v>2114</v>
      </c>
      <c r="D197" s="15" t="s">
        <v>2115</v>
      </c>
      <c r="E197" s="16" t="str">
        <f aca="false">HYPERLINK("#'Forrásszöveg'!A"&amp;(MATCH("TV-S0093",Forrásszöveg!$A$6:$A$2497,0)+5),"4. § eleje")</f>
        <v>4. § eleje</v>
      </c>
      <c r="F197" s="16" t="str">
        <f aca="false">HYPERLINK("https://net.jogtar.hu/jogszabaly?docid=a2400069.tv#pr192id","Jogtár megnyitása")</f>
        <v>Jogtár megnyitása</v>
      </c>
    </row>
    <row r="198" customFormat="false" ht="52" hidden="false" customHeight="true" outlineLevel="0" collapsed="false">
      <c r="A198" s="15" t="s">
        <v>2116</v>
      </c>
      <c r="B198" s="15" t="s">
        <v>1299</v>
      </c>
      <c r="C198" s="15" t="s">
        <v>2117</v>
      </c>
      <c r="D198" s="15" t="s">
        <v>2118</v>
      </c>
      <c r="E198" s="16" t="str">
        <f aca="false">HYPERLINK("#'Forrásszöveg'!A"&amp;(MATCH("TV-S0093",Forrásszöveg!$A$6:$A$2497,0)+5),"4. § eleje")</f>
        <v>4. § eleje</v>
      </c>
      <c r="F198" s="16" t="str">
        <f aca="false">HYPERLINK("https://net.jogtar.hu/jogszabaly?docid=a2400069.tv#pr193id","Jogtár megnyitása")</f>
        <v>Jogtár megnyitása</v>
      </c>
    </row>
    <row r="199" customFormat="false" ht="38" hidden="false" customHeight="true" outlineLevel="0" collapsed="false">
      <c r="A199" s="15" t="s">
        <v>2119</v>
      </c>
      <c r="B199" s="15" t="s">
        <v>1299</v>
      </c>
      <c r="C199" s="15" t="s">
        <v>2120</v>
      </c>
      <c r="D199" s="15" t="s">
        <v>2121</v>
      </c>
      <c r="E199" s="16" t="str">
        <f aca="false">HYPERLINK("#'Forrásszöveg'!A"&amp;(MATCH("TV-S0093",Forrásszöveg!$A$6:$A$2497,0)+5),"4. § eleje")</f>
        <v>4. § eleje</v>
      </c>
      <c r="F199" s="16" t="str">
        <f aca="false">HYPERLINK("https://net.jogtar.hu/jogszabaly?docid=a2400069.tv#pr194id","Jogtár megnyitása")</f>
        <v>Jogtár megnyitása</v>
      </c>
    </row>
    <row r="200" customFormat="false" ht="38" hidden="false" customHeight="true" outlineLevel="0" collapsed="false">
      <c r="A200" s="15" t="s">
        <v>2122</v>
      </c>
      <c r="B200" s="15" t="s">
        <v>1299</v>
      </c>
      <c r="C200" s="15" t="s">
        <v>2123</v>
      </c>
      <c r="D200" s="15" t="s">
        <v>2124</v>
      </c>
      <c r="E200" s="16" t="str">
        <f aca="false">HYPERLINK("#'Forrásszöveg'!A"&amp;(MATCH("TV-S0093",Forrásszöveg!$A$6:$A$2497,0)+5),"4. § eleje")</f>
        <v>4. § eleje</v>
      </c>
      <c r="F200" s="16" t="str">
        <f aca="false">HYPERLINK("https://net.jogtar.hu/jogszabaly?docid=a2400069.tv#pr195id","Jogtár megnyitása")</f>
        <v>Jogtár megnyitása</v>
      </c>
    </row>
    <row r="201" customFormat="false" ht="52" hidden="false" customHeight="true" outlineLevel="0" collapsed="false">
      <c r="A201" s="15" t="s">
        <v>2125</v>
      </c>
      <c r="B201" s="15" t="s">
        <v>1299</v>
      </c>
      <c r="C201" s="15" t="s">
        <v>2126</v>
      </c>
      <c r="D201" s="15" t="s">
        <v>2127</v>
      </c>
      <c r="E201" s="16" t="str">
        <f aca="false">HYPERLINK("#'Forrásszöveg'!A"&amp;(MATCH("TV-S0093",Forrásszöveg!$A$6:$A$2497,0)+5),"4. § eleje")</f>
        <v>4. § eleje</v>
      </c>
      <c r="F201" s="16" t="str">
        <f aca="false">HYPERLINK("https://net.jogtar.hu/jogszabaly?docid=a2400069.tv#pr196id","Jogtár megnyitása")</f>
        <v>Jogtár megnyitása</v>
      </c>
    </row>
    <row r="202" customFormat="false" ht="80" hidden="false" customHeight="true" outlineLevel="0" collapsed="false">
      <c r="A202" s="15" t="s">
        <v>2128</v>
      </c>
      <c r="B202" s="15" t="s">
        <v>1299</v>
      </c>
      <c r="C202" s="15" t="s">
        <v>2129</v>
      </c>
      <c r="D202" s="15" t="s">
        <v>2130</v>
      </c>
      <c r="E202" s="16" t="str">
        <f aca="false">HYPERLINK("#'Forrásszöveg'!A"&amp;(MATCH("TV-S0093",Forrásszöveg!$A$6:$A$2497,0)+5),"4. § eleje")</f>
        <v>4. § eleje</v>
      </c>
      <c r="F202" s="16" t="str">
        <f aca="false">HYPERLINK("https://net.jogtar.hu/jogszabaly?docid=a2400069.tv#pr197id","Jogtár megnyitása")</f>
        <v>Jogtár megnyitása</v>
      </c>
    </row>
    <row r="203" customFormat="false" ht="52" hidden="false" customHeight="true" outlineLevel="0" collapsed="false">
      <c r="A203" s="15" t="s">
        <v>2131</v>
      </c>
      <c r="B203" s="15" t="s">
        <v>1299</v>
      </c>
      <c r="C203" s="15" t="s">
        <v>2132</v>
      </c>
      <c r="D203" s="15" t="s">
        <v>2133</v>
      </c>
      <c r="E203" s="16" t="str">
        <f aca="false">HYPERLINK("#'Forrásszöveg'!A"&amp;(MATCH("TV-S0093",Forrásszöveg!$A$6:$A$2497,0)+5),"4. § eleje")</f>
        <v>4. § eleje</v>
      </c>
      <c r="F203" s="16" t="str">
        <f aca="false">HYPERLINK("https://net.jogtar.hu/jogszabaly?docid=a2400069.tv#pr198id","Jogtár megnyitása")</f>
        <v>Jogtár megnyitása</v>
      </c>
    </row>
    <row r="204" customFormat="false" ht="34" hidden="false" customHeight="true" outlineLevel="0" collapsed="false">
      <c r="A204" s="15" t="s">
        <v>2134</v>
      </c>
      <c r="B204" s="15" t="s">
        <v>1299</v>
      </c>
      <c r="C204" s="15" t="s">
        <v>2135</v>
      </c>
      <c r="D204" s="15" t="s">
        <v>2136</v>
      </c>
      <c r="E204" s="16" t="str">
        <f aca="false">HYPERLINK("#'Forrásszöveg'!A"&amp;(MATCH("TV-S0093",Forrásszöveg!$A$6:$A$2497,0)+5),"4. § eleje")</f>
        <v>4. § eleje</v>
      </c>
      <c r="F204" s="16" t="str">
        <f aca="false">HYPERLINK("https://net.jogtar.hu/jogszabaly?docid=a2400069.tv#pr199id","Jogtár megnyitása")</f>
        <v>Jogtár megnyitása</v>
      </c>
    </row>
    <row r="205" customFormat="false" ht="52" hidden="false" customHeight="true" outlineLevel="0" collapsed="false">
      <c r="A205" s="15" t="s">
        <v>2137</v>
      </c>
      <c r="B205" s="15" t="s">
        <v>1299</v>
      </c>
      <c r="C205" s="15" t="s">
        <v>2138</v>
      </c>
      <c r="D205" s="15" t="s">
        <v>2139</v>
      </c>
      <c r="E205" s="16" t="str">
        <f aca="false">HYPERLINK("#'Forrásszöveg'!A"&amp;(MATCH("TV-S0093",Forrásszöveg!$A$6:$A$2497,0)+5),"4. § eleje")</f>
        <v>4. § eleje</v>
      </c>
      <c r="F205" s="16" t="str">
        <f aca="false">HYPERLINK("https://net.jogtar.hu/jogszabaly?docid=a2400069.tv#pr200id","Jogtár megnyitása")</f>
        <v>Jogtár megnyitása</v>
      </c>
    </row>
    <row r="206" customFormat="false" ht="34" hidden="false" customHeight="true" outlineLevel="0" collapsed="false">
      <c r="A206" s="15" t="s">
        <v>2140</v>
      </c>
      <c r="B206" s="15" t="s">
        <v>1299</v>
      </c>
      <c r="C206" s="15" t="s">
        <v>2141</v>
      </c>
      <c r="D206" s="15" t="s">
        <v>2142</v>
      </c>
      <c r="E206" s="16" t="str">
        <f aca="false">HYPERLINK("#'Forrásszöveg'!A"&amp;(MATCH("TV-S0093",Forrásszöveg!$A$6:$A$2497,0)+5),"4. § eleje")</f>
        <v>4. § eleje</v>
      </c>
      <c r="F206" s="16" t="str">
        <f aca="false">HYPERLINK("https://net.jogtar.hu/jogszabaly?docid=a2400069.tv#pr201id","Jogtár megnyitása")</f>
        <v>Jogtár megnyitása</v>
      </c>
    </row>
    <row r="207" customFormat="false" ht="38" hidden="false" customHeight="true" outlineLevel="0" collapsed="false">
      <c r="A207" s="15" t="s">
        <v>2143</v>
      </c>
      <c r="B207" s="15" t="s">
        <v>1299</v>
      </c>
      <c r="C207" s="15" t="s">
        <v>2144</v>
      </c>
      <c r="D207" s="15" t="s">
        <v>2145</v>
      </c>
      <c r="E207" s="16" t="str">
        <f aca="false">HYPERLINK("#'Forrásszöveg'!A"&amp;(MATCH("TV-S0093",Forrásszöveg!$A$6:$A$2497,0)+5),"4. § eleje")</f>
        <v>4. § eleje</v>
      </c>
      <c r="F207" s="16" t="str">
        <f aca="false">HYPERLINK("https://net.jogtar.hu/jogszabaly?docid=a2400069.tv#pr202id","Jogtár megnyitása")</f>
        <v>Jogtár megnyitása</v>
      </c>
    </row>
    <row r="208" customFormat="false" ht="52" hidden="false" customHeight="true" outlineLevel="0" collapsed="false">
      <c r="A208" s="15" t="s">
        <v>2146</v>
      </c>
      <c r="B208" s="15" t="s">
        <v>1299</v>
      </c>
      <c r="C208" s="15" t="s">
        <v>2147</v>
      </c>
      <c r="D208" s="15" t="s">
        <v>2148</v>
      </c>
      <c r="E208" s="16" t="str">
        <f aca="false">HYPERLINK("#'Forrásszöveg'!A"&amp;(MATCH("TV-S0093",Forrásszöveg!$A$6:$A$2497,0)+5),"4. § eleje")</f>
        <v>4. § eleje</v>
      </c>
      <c r="F208" s="16" t="str">
        <f aca="false">HYPERLINK("https://net.jogtar.hu/jogszabaly?docid=a2400069.tv#pr203id","Jogtár megnyitása")</f>
        <v>Jogtár megnyitása</v>
      </c>
    </row>
    <row r="209" customFormat="false" ht="34" hidden="false" customHeight="true" outlineLevel="0" collapsed="false">
      <c r="A209" s="15" t="s">
        <v>2149</v>
      </c>
      <c r="B209" s="15" t="s">
        <v>1299</v>
      </c>
      <c r="C209" s="15" t="s">
        <v>2150</v>
      </c>
      <c r="D209" s="15" t="s">
        <v>2151</v>
      </c>
      <c r="E209" s="16" t="str">
        <f aca="false">HYPERLINK("#'Forrásszöveg'!A"&amp;(MATCH("TV-S0093",Forrásszöveg!$A$6:$A$2497,0)+5),"4. § eleje")</f>
        <v>4. § eleje</v>
      </c>
      <c r="F209" s="16" t="str">
        <f aca="false">HYPERLINK("https://net.jogtar.hu/jogszabaly?docid=a2400069.tv#pr204id","Jogtár megnyitása")</f>
        <v>Jogtár megnyitása</v>
      </c>
    </row>
    <row r="210" customFormat="false" ht="38" hidden="false" customHeight="true" outlineLevel="0" collapsed="false">
      <c r="A210" s="15" t="s">
        <v>2152</v>
      </c>
      <c r="B210" s="15" t="s">
        <v>1299</v>
      </c>
      <c r="C210" s="15" t="s">
        <v>2153</v>
      </c>
      <c r="D210" s="15" t="s">
        <v>2154</v>
      </c>
      <c r="E210" s="16" t="str">
        <f aca="false">HYPERLINK("#'Forrásszöveg'!A"&amp;(MATCH("TV-S0093",Forrásszöveg!$A$6:$A$2497,0)+5),"4. § eleje")</f>
        <v>4. § eleje</v>
      </c>
      <c r="F210" s="16" t="str">
        <f aca="false">HYPERLINK("https://net.jogtar.hu/jogszabaly?docid=a2400069.tv#pr205id","Jogtár megnyitása")</f>
        <v>Jogtár megnyitása</v>
      </c>
    </row>
    <row r="211" customFormat="false" ht="34" hidden="false" customHeight="true" outlineLevel="0" collapsed="false">
      <c r="A211" s="15" t="s">
        <v>2155</v>
      </c>
      <c r="B211" s="15" t="s">
        <v>1299</v>
      </c>
      <c r="C211" s="15" t="s">
        <v>2156</v>
      </c>
      <c r="D211" s="15" t="s">
        <v>2157</v>
      </c>
      <c r="E211" s="16" t="str">
        <f aca="false">HYPERLINK("#'Forrásszöveg'!A"&amp;(MATCH("TV-S0093",Forrásszöveg!$A$6:$A$2497,0)+5),"4. § eleje")</f>
        <v>4. § eleje</v>
      </c>
      <c r="F211" s="16" t="str">
        <f aca="false">HYPERLINK("https://net.jogtar.hu/jogszabaly?docid=a2400069.tv#pr206id","Jogtár megnyitása")</f>
        <v>Jogtár megnyitása</v>
      </c>
    </row>
    <row r="212" customFormat="false" ht="52" hidden="false" customHeight="true" outlineLevel="0" collapsed="false">
      <c r="A212" s="15" t="s">
        <v>2158</v>
      </c>
      <c r="B212" s="15" t="s">
        <v>1299</v>
      </c>
      <c r="C212" s="15" t="s">
        <v>2159</v>
      </c>
      <c r="D212" s="15" t="s">
        <v>2160</v>
      </c>
      <c r="E212" s="16" t="str">
        <f aca="false">HYPERLINK("#'Forrásszöveg'!A"&amp;(MATCH("TV-S0093",Forrásszöveg!$A$6:$A$2497,0)+5),"4. § eleje")</f>
        <v>4. § eleje</v>
      </c>
      <c r="F212" s="16" t="str">
        <f aca="false">HYPERLINK("https://net.jogtar.hu/jogszabaly?docid=a2400069.tv#pr207id","Jogtár megnyitása")</f>
        <v>Jogtár megnyitása</v>
      </c>
    </row>
    <row r="213" customFormat="false" ht="34" hidden="false" customHeight="true" outlineLevel="0" collapsed="false">
      <c r="A213" s="15" t="s">
        <v>2161</v>
      </c>
      <c r="B213" s="15" t="s">
        <v>1299</v>
      </c>
      <c r="C213" s="15" t="s">
        <v>2162</v>
      </c>
      <c r="D213" s="15" t="s">
        <v>2163</v>
      </c>
      <c r="E213" s="16" t="str">
        <f aca="false">HYPERLINK("#'Forrásszöveg'!A"&amp;(MATCH("TV-S0093",Forrásszöveg!$A$6:$A$2497,0)+5),"4. § eleje")</f>
        <v>4. § eleje</v>
      </c>
      <c r="F213" s="16" t="str">
        <f aca="false">HYPERLINK("https://net.jogtar.hu/jogszabaly?docid=a2400069.tv#pr208id","Jogtár megnyitása")</f>
        <v>Jogtár megnyitása</v>
      </c>
    </row>
    <row r="214" customFormat="false" ht="38" hidden="false" customHeight="true" outlineLevel="0" collapsed="false">
      <c r="A214" s="15" t="s">
        <v>2164</v>
      </c>
      <c r="B214" s="15" t="s">
        <v>1299</v>
      </c>
      <c r="C214" s="15" t="s">
        <v>2165</v>
      </c>
      <c r="D214" s="15" t="s">
        <v>2166</v>
      </c>
      <c r="E214" s="16" t="str">
        <f aca="false">HYPERLINK("#'Forrásszöveg'!A"&amp;(MATCH("TV-S0093",Forrásszöveg!$A$6:$A$2497,0)+5),"4. § eleje")</f>
        <v>4. § eleje</v>
      </c>
      <c r="F214" s="16" t="str">
        <f aca="false">HYPERLINK("https://net.jogtar.hu/jogszabaly?docid=a2400069.tv#pr209id","Jogtár megnyitása")</f>
        <v>Jogtár megnyitása</v>
      </c>
    </row>
    <row r="215" customFormat="false" ht="38" hidden="false" customHeight="true" outlineLevel="0" collapsed="false">
      <c r="A215" s="15" t="s">
        <v>2167</v>
      </c>
      <c r="B215" s="15" t="s">
        <v>1299</v>
      </c>
      <c r="C215" s="15" t="s">
        <v>2168</v>
      </c>
      <c r="D215" s="15" t="s">
        <v>2169</v>
      </c>
      <c r="E215" s="16" t="str">
        <f aca="false">HYPERLINK("#'Forrásszöveg'!A"&amp;(MATCH("TV-S0093",Forrásszöveg!$A$6:$A$2497,0)+5),"4. § eleje")</f>
        <v>4. § eleje</v>
      </c>
      <c r="F215" s="16" t="str">
        <f aca="false">HYPERLINK("https://net.jogtar.hu/jogszabaly?docid=a2400069.tv#pr210id","Jogtár megnyitása")</f>
        <v>Jogtár megnyitása</v>
      </c>
    </row>
    <row r="216" customFormat="false" ht="34" hidden="false" customHeight="true" outlineLevel="0" collapsed="false">
      <c r="A216" s="15" t="s">
        <v>2170</v>
      </c>
      <c r="B216" s="15" t="s">
        <v>1299</v>
      </c>
      <c r="C216" s="15" t="s">
        <v>2171</v>
      </c>
      <c r="D216" s="15" t="s">
        <v>2172</v>
      </c>
      <c r="E216" s="16" t="str">
        <f aca="false">HYPERLINK("#'Forrásszöveg'!A"&amp;(MATCH("TV-S0093",Forrásszöveg!$A$6:$A$2497,0)+5),"4. § eleje")</f>
        <v>4. § eleje</v>
      </c>
      <c r="F216" s="16" t="str">
        <f aca="false">HYPERLINK("https://net.jogtar.hu/jogszabaly?docid=a2400069.tv#pr211id","Jogtár megnyitása")</f>
        <v>Jogtár megnyitása</v>
      </c>
    </row>
    <row r="217" customFormat="false" ht="34" hidden="false" customHeight="true" outlineLevel="0" collapsed="false">
      <c r="A217" s="15" t="s">
        <v>2173</v>
      </c>
      <c r="B217" s="15" t="s">
        <v>1299</v>
      </c>
      <c r="C217" s="15" t="s">
        <v>2174</v>
      </c>
      <c r="D217" s="15" t="s">
        <v>2175</v>
      </c>
      <c r="E217" s="16" t="str">
        <f aca="false">HYPERLINK("#'Forrásszöveg'!A"&amp;(MATCH("TV-S0093",Forrásszöveg!$A$6:$A$2497,0)+5),"4. § eleje")</f>
        <v>4. § eleje</v>
      </c>
      <c r="F217" s="16" t="str">
        <f aca="false">HYPERLINK("https://net.jogtar.hu/jogszabaly?docid=a2400069.tv#pr212id","Jogtár megnyitása")</f>
        <v>Jogtár megnyitása</v>
      </c>
    </row>
    <row r="218" customFormat="false" ht="38" hidden="false" customHeight="true" outlineLevel="0" collapsed="false">
      <c r="A218" s="15" t="s">
        <v>2176</v>
      </c>
      <c r="B218" s="15" t="s">
        <v>1299</v>
      </c>
      <c r="C218" s="15" t="s">
        <v>2177</v>
      </c>
      <c r="D218" s="15" t="s">
        <v>2178</v>
      </c>
      <c r="E218" s="16" t="str">
        <f aca="false">HYPERLINK("#'Forrásszöveg'!A"&amp;(MATCH("TV-S0093",Forrásszöveg!$A$6:$A$2497,0)+5),"4. § eleje")</f>
        <v>4. § eleje</v>
      </c>
      <c r="F218" s="16" t="str">
        <f aca="false">HYPERLINK("https://net.jogtar.hu/jogszabaly?docid=a2400069.tv#pr213id","Jogtár megnyitása")</f>
        <v>Jogtár megnyitása</v>
      </c>
    </row>
    <row r="219" customFormat="false" ht="34" hidden="false" customHeight="true" outlineLevel="0" collapsed="false">
      <c r="A219" s="15" t="s">
        <v>2179</v>
      </c>
      <c r="B219" s="15" t="s">
        <v>1299</v>
      </c>
      <c r="C219" s="15" t="s">
        <v>1305</v>
      </c>
      <c r="D219" s="15" t="s">
        <v>2180</v>
      </c>
      <c r="E219" s="16" t="str">
        <f aca="false">HYPERLINK("#'Forrásszöveg'!A"&amp;(MATCH("TV-S0093",Forrásszöveg!$A$6:$A$2497,0)+5),"4. § eleje")</f>
        <v>4. § eleje</v>
      </c>
      <c r="F219" s="16" t="str">
        <f aca="false">HYPERLINK("https://net.jogtar.hu/jogszabaly?docid=a2400069.tv#pr214id","Jogtár megnyitása")</f>
        <v>Jogtár megnyitása</v>
      </c>
    </row>
    <row r="220" customFormat="false" ht="52" hidden="false" customHeight="true" outlineLevel="0" collapsed="false">
      <c r="A220" s="15" t="s">
        <v>2181</v>
      </c>
      <c r="B220" s="15" t="s">
        <v>1299</v>
      </c>
      <c r="C220" s="15" t="s">
        <v>2182</v>
      </c>
      <c r="D220" s="15" t="s">
        <v>2183</v>
      </c>
      <c r="E220" s="16" t="str">
        <f aca="false">HYPERLINK("#'Forrásszöveg'!A"&amp;(MATCH("TV-S0093",Forrásszöveg!$A$6:$A$2497,0)+5),"4. § eleje")</f>
        <v>4. § eleje</v>
      </c>
      <c r="F220" s="16" t="str">
        <f aca="false">HYPERLINK("https://net.jogtar.hu/jogszabaly?docid=a2400069.tv#pr215id","Jogtár megnyitása")</f>
        <v>Jogtár megnyitása</v>
      </c>
    </row>
    <row r="221" customFormat="false" ht="38" hidden="false" customHeight="true" outlineLevel="0" collapsed="false">
      <c r="A221" s="15" t="s">
        <v>2184</v>
      </c>
      <c r="B221" s="15" t="s">
        <v>1299</v>
      </c>
      <c r="C221" s="15" t="s">
        <v>2185</v>
      </c>
      <c r="D221" s="15" t="s">
        <v>2186</v>
      </c>
      <c r="E221" s="16" t="str">
        <f aca="false">HYPERLINK("#'Forrásszöveg'!A"&amp;(MATCH("TV-S0093",Forrásszöveg!$A$6:$A$2497,0)+5),"4. § eleje")</f>
        <v>4. § eleje</v>
      </c>
      <c r="F221" s="16" t="str">
        <f aca="false">HYPERLINK("https://net.jogtar.hu/jogszabaly?docid=a2400069.tv#pr216id","Jogtár megnyitása")</f>
        <v>Jogtár megnyitása</v>
      </c>
    </row>
    <row r="222" customFormat="false" ht="38" hidden="false" customHeight="true" outlineLevel="0" collapsed="false">
      <c r="A222" s="15" t="s">
        <v>2187</v>
      </c>
      <c r="B222" s="15" t="s">
        <v>1299</v>
      </c>
      <c r="C222" s="15" t="s">
        <v>2188</v>
      </c>
      <c r="D222" s="15" t="s">
        <v>2189</v>
      </c>
      <c r="E222" s="16" t="str">
        <f aca="false">HYPERLINK("#'Forrásszöveg'!A"&amp;(MATCH("TV-S0093",Forrásszöveg!$A$6:$A$2497,0)+5),"4. § eleje")</f>
        <v>4. § eleje</v>
      </c>
      <c r="F222" s="16" t="str">
        <f aca="false">HYPERLINK("https://net.jogtar.hu/jogszabaly?docid=a2400069.tv#pr217id","Jogtár megnyitása")</f>
        <v>Jogtár megnyitása</v>
      </c>
    </row>
    <row r="223" customFormat="false" ht="34" hidden="false" customHeight="true" outlineLevel="0" collapsed="false">
      <c r="A223" s="15" t="s">
        <v>2190</v>
      </c>
      <c r="B223" s="15" t="s">
        <v>1299</v>
      </c>
      <c r="C223" s="15" t="s">
        <v>2191</v>
      </c>
      <c r="D223" s="15" t="s">
        <v>2192</v>
      </c>
      <c r="E223" s="16" t="str">
        <f aca="false">HYPERLINK("#'Forrásszöveg'!A"&amp;(MATCH("TV-S0093",Forrásszöveg!$A$6:$A$2497,0)+5),"4. § eleje")</f>
        <v>4. § eleje</v>
      </c>
      <c r="F223" s="16" t="str">
        <f aca="false">HYPERLINK("https://net.jogtar.hu/jogszabaly?docid=a2400069.tv#pr218id","Jogtár megnyitása")</f>
        <v>Jogtár megnyitása</v>
      </c>
    </row>
    <row r="224" customFormat="false" ht="34" hidden="false" customHeight="true" outlineLevel="0" collapsed="false">
      <c r="A224" s="15" t="s">
        <v>2193</v>
      </c>
      <c r="B224" s="15" t="s">
        <v>1299</v>
      </c>
      <c r="C224" s="15" t="s">
        <v>2194</v>
      </c>
      <c r="D224" s="15" t="s">
        <v>2195</v>
      </c>
      <c r="E224" s="16" t="str">
        <f aca="false">HYPERLINK("#'Forrásszöveg'!A"&amp;(MATCH("TV-S0093",Forrásszöveg!$A$6:$A$2497,0)+5),"4. § eleje")</f>
        <v>4. § eleje</v>
      </c>
      <c r="F224" s="16" t="str">
        <f aca="false">HYPERLINK("https://net.jogtar.hu/jogszabaly?docid=a2400069.tv#pr219id","Jogtár megnyitása")</f>
        <v>Jogtár megnyitása</v>
      </c>
    </row>
    <row r="225" customFormat="false" ht="34" hidden="false" customHeight="true" outlineLevel="0" collapsed="false">
      <c r="A225" s="15" t="s">
        <v>2196</v>
      </c>
      <c r="B225" s="15" t="s">
        <v>1299</v>
      </c>
      <c r="C225" s="15" t="s">
        <v>2197</v>
      </c>
      <c r="D225" s="15" t="s">
        <v>2198</v>
      </c>
      <c r="E225" s="16" t="str">
        <f aca="false">HYPERLINK("#'Forrásszöveg'!A"&amp;(MATCH("TV-S0093",Forrásszöveg!$A$6:$A$2497,0)+5),"4. § eleje")</f>
        <v>4. § eleje</v>
      </c>
      <c r="F225" s="16" t="str">
        <f aca="false">HYPERLINK("https://net.jogtar.hu/jogszabaly?docid=a2400069.tv#pr220id","Jogtár megnyitása")</f>
        <v>Jogtár megnyitása</v>
      </c>
    </row>
    <row r="226" customFormat="false" ht="34" hidden="false" customHeight="true" outlineLevel="0" collapsed="false">
      <c r="A226" s="15" t="s">
        <v>2199</v>
      </c>
      <c r="B226" s="15" t="s">
        <v>1299</v>
      </c>
      <c r="C226" s="15" t="s">
        <v>2200</v>
      </c>
      <c r="D226" s="15" t="s">
        <v>2201</v>
      </c>
      <c r="E226" s="16" t="str">
        <f aca="false">HYPERLINK("#'Forrásszöveg'!A"&amp;(MATCH("TV-S0093",Forrásszöveg!$A$6:$A$2497,0)+5),"4. § eleje")</f>
        <v>4. § eleje</v>
      </c>
      <c r="F226" s="16" t="str">
        <f aca="false">HYPERLINK("https://net.jogtar.hu/jogszabaly?docid=a2400069.tv#pr221id","Jogtár megnyitása")</f>
        <v>Jogtár megnyitása</v>
      </c>
    </row>
    <row r="227" customFormat="false" ht="34" hidden="false" customHeight="true" outlineLevel="0" collapsed="false">
      <c r="A227" s="15" t="s">
        <v>2202</v>
      </c>
      <c r="B227" s="15" t="s">
        <v>1299</v>
      </c>
      <c r="C227" s="15" t="s">
        <v>1309</v>
      </c>
      <c r="D227" s="15" t="s">
        <v>1309</v>
      </c>
      <c r="E227" s="16" t="str">
        <f aca="false">HYPERLINK("#'Forrásszöveg'!A"&amp;(MATCH("TV-S0093",Forrásszöveg!$A$6:$A$2497,0)+5),"4. § eleje")</f>
        <v>4. § eleje</v>
      </c>
      <c r="F227" s="16" t="str">
        <f aca="false">HYPERLINK("https://net.jogtar.hu/jogszabaly?docid=a2400069.tv#pr222id","Jogtár megnyitása")</f>
        <v>Jogtár megnyitása</v>
      </c>
    </row>
    <row r="228" customFormat="false" ht="38" hidden="false" customHeight="true" outlineLevel="0" collapsed="false">
      <c r="A228" s="15" t="s">
        <v>2203</v>
      </c>
      <c r="B228" s="15" t="s">
        <v>1299</v>
      </c>
      <c r="C228" s="15" t="s">
        <v>2204</v>
      </c>
      <c r="D228" s="15" t="s">
        <v>2205</v>
      </c>
      <c r="E228" s="16" t="str">
        <f aca="false">HYPERLINK("#'Forrásszöveg'!A"&amp;(MATCH("TV-S0223",Forrásszöveg!$A$6:$A$2497,0)+5),"5. § (1) eleje")</f>
        <v>5. § (1) eleje</v>
      </c>
      <c r="F228" s="16" t="str">
        <f aca="false">HYPERLINK("https://net.jogtar.hu/jogszabaly?docid=a2400069.tv#pr223id","Jogtár megnyitása")</f>
        <v>Jogtár megnyitása</v>
      </c>
    </row>
    <row r="229" customFormat="false" ht="52" hidden="false" customHeight="true" outlineLevel="0" collapsed="false">
      <c r="A229" s="15" t="s">
        <v>2206</v>
      </c>
      <c r="B229" s="15" t="s">
        <v>1299</v>
      </c>
      <c r="C229" s="15" t="s">
        <v>2207</v>
      </c>
      <c r="D229" s="15" t="s">
        <v>2208</v>
      </c>
      <c r="E229" s="16" t="str">
        <f aca="false">HYPERLINK("#'Forrásszöveg'!A"&amp;(MATCH("TV-S0223",Forrásszöveg!$A$6:$A$2497,0)+5),"5. § (1) eleje")</f>
        <v>5. § (1) eleje</v>
      </c>
      <c r="F229" s="16" t="str">
        <f aca="false">HYPERLINK("https://net.jogtar.hu/jogszabaly?docid=a2400069.tv#pr224id","Jogtár megnyitása")</f>
        <v>Jogtár megnyitása</v>
      </c>
    </row>
    <row r="230" customFormat="false" ht="34" hidden="false" customHeight="true" outlineLevel="0" collapsed="false">
      <c r="A230" s="15" t="s">
        <v>2209</v>
      </c>
      <c r="B230" s="15" t="s">
        <v>1299</v>
      </c>
      <c r="C230" s="15" t="s">
        <v>2210</v>
      </c>
      <c r="D230" s="15" t="s">
        <v>2211</v>
      </c>
      <c r="E230" s="16" t="str">
        <f aca="false">HYPERLINK("#'Forrásszöveg'!A"&amp;(MATCH("TV-S0223",Forrásszöveg!$A$6:$A$2497,0)+5),"5. § (1) eleje")</f>
        <v>5. § (1) eleje</v>
      </c>
      <c r="F230" s="16" t="str">
        <f aca="false">HYPERLINK("https://net.jogtar.hu/jogszabaly?docid=a2400069.tv#pr225id","Jogtár megnyitása")</f>
        <v>Jogtár megnyitása</v>
      </c>
    </row>
    <row r="231" customFormat="false" ht="34" hidden="false" customHeight="true" outlineLevel="0" collapsed="false">
      <c r="A231" s="15" t="s">
        <v>2212</v>
      </c>
      <c r="B231" s="15" t="s">
        <v>1299</v>
      </c>
      <c r="C231" s="15" t="s">
        <v>2204</v>
      </c>
      <c r="D231" s="15" t="s">
        <v>2213</v>
      </c>
      <c r="E231" s="16" t="str">
        <f aca="false">HYPERLINK("#'Forrásszöveg'!A"&amp;(MATCH("TV-S0223",Forrásszöveg!$A$6:$A$2497,0)+5),"5. § (1) eleje")</f>
        <v>5. § (1) eleje</v>
      </c>
      <c r="F231" s="16" t="str">
        <f aca="false">HYPERLINK("https://net.jogtar.hu/jogszabaly?docid=a2400069.tv#pr226id","Jogtár megnyitása")</f>
        <v>Jogtár megnyitása</v>
      </c>
    </row>
    <row r="232" customFormat="false" ht="38" hidden="false" customHeight="true" outlineLevel="0" collapsed="false">
      <c r="A232" s="15" t="s">
        <v>2214</v>
      </c>
      <c r="B232" s="15" t="s">
        <v>1299</v>
      </c>
      <c r="C232" s="15" t="s">
        <v>2215</v>
      </c>
      <c r="D232" s="15" t="s">
        <v>2216</v>
      </c>
      <c r="E232" s="16" t="str">
        <f aca="false">HYPERLINK("#'Forrásszöveg'!A"&amp;(MATCH("TV-S0227",Forrásszöveg!$A$6:$A$2497,0)+5),"5. § (2) eleje")</f>
        <v>5. § (2) eleje</v>
      </c>
      <c r="F232" s="16" t="str">
        <f aca="false">HYPERLINK("https://net.jogtar.hu/jogszabaly?docid=a2400069.tv#pr227id","Jogtár megnyitása")</f>
        <v>Jogtár megnyitása</v>
      </c>
    </row>
    <row r="233" customFormat="false" ht="38" hidden="false" customHeight="true" outlineLevel="0" collapsed="false">
      <c r="A233" s="15" t="s">
        <v>2217</v>
      </c>
      <c r="B233" s="15" t="s">
        <v>1299</v>
      </c>
      <c r="C233" s="15" t="s">
        <v>2218</v>
      </c>
      <c r="D233" s="15" t="s">
        <v>2219</v>
      </c>
      <c r="E233" s="16" t="str">
        <f aca="false">HYPERLINK("#'Forrásszöveg'!A"&amp;(MATCH("TV-S0227",Forrásszöveg!$A$6:$A$2497,0)+5),"5. § (2) eleje")</f>
        <v>5. § (2) eleje</v>
      </c>
      <c r="F233" s="16" t="str">
        <f aca="false">HYPERLINK("https://net.jogtar.hu/jogszabaly?docid=a2400069.tv#pr228id","Jogtár megnyitása")</f>
        <v>Jogtár megnyitása</v>
      </c>
    </row>
    <row r="234" customFormat="false" ht="38" hidden="false" customHeight="true" outlineLevel="0" collapsed="false">
      <c r="A234" s="15" t="s">
        <v>2220</v>
      </c>
      <c r="B234" s="15" t="s">
        <v>1299</v>
      </c>
      <c r="C234" s="15" t="s">
        <v>2221</v>
      </c>
      <c r="D234" s="15" t="s">
        <v>2222</v>
      </c>
      <c r="E234" s="16" t="str">
        <f aca="false">HYPERLINK("#'Forrásszöveg'!A"&amp;(MATCH("TV-S0227",Forrásszöveg!$A$6:$A$2497,0)+5),"5. § (2) eleje")</f>
        <v>5. § (2) eleje</v>
      </c>
      <c r="F234" s="16" t="str">
        <f aca="false">HYPERLINK("https://net.jogtar.hu/jogszabaly?docid=a2400069.tv#pr229id","Jogtár megnyitása")</f>
        <v>Jogtár megnyitása</v>
      </c>
    </row>
    <row r="235" customFormat="false" ht="34" hidden="false" customHeight="true" outlineLevel="0" collapsed="false">
      <c r="A235" s="15" t="s">
        <v>2223</v>
      </c>
      <c r="B235" s="15" t="s">
        <v>1299</v>
      </c>
      <c r="C235" s="15" t="s">
        <v>2224</v>
      </c>
      <c r="D235" s="15" t="s">
        <v>2225</v>
      </c>
      <c r="E235" s="16" t="str">
        <f aca="false">HYPERLINK("#'Forrásszöveg'!A"&amp;(MATCH("TV-S0227",Forrásszöveg!$A$6:$A$2497,0)+5),"5. § (2) eleje")</f>
        <v>5. § (2) eleje</v>
      </c>
      <c r="F235" s="16" t="str">
        <f aca="false">HYPERLINK("https://net.jogtar.hu/jogszabaly?docid=a2400069.tv#pr230id","Jogtár megnyitása")</f>
        <v>Jogtár megnyitása</v>
      </c>
    </row>
    <row r="236" customFormat="false" ht="34" hidden="false" customHeight="true" outlineLevel="0" collapsed="false">
      <c r="A236" s="15" t="s">
        <v>2226</v>
      </c>
      <c r="B236" s="15" t="s">
        <v>1299</v>
      </c>
      <c r="C236" s="15" t="s">
        <v>2215</v>
      </c>
      <c r="D236" s="15" t="s">
        <v>2227</v>
      </c>
      <c r="E236" s="16" t="str">
        <f aca="false">HYPERLINK("#'Forrásszöveg'!A"&amp;(MATCH("TV-S0227",Forrásszöveg!$A$6:$A$2497,0)+5),"5. § (2) eleje")</f>
        <v>5. § (2) eleje</v>
      </c>
      <c r="F236" s="16" t="str">
        <f aca="false">HYPERLINK("https://net.jogtar.hu/jogszabaly?docid=a2400069.tv#pr231id","Jogtár megnyitása")</f>
        <v>Jogtár megnyitása</v>
      </c>
    </row>
    <row r="237" customFormat="false" ht="34" hidden="false" customHeight="true" outlineLevel="0" collapsed="false">
      <c r="A237" s="15" t="s">
        <v>2228</v>
      </c>
      <c r="B237" s="15" t="s">
        <v>1299</v>
      </c>
      <c r="C237" s="15" t="s">
        <v>2229</v>
      </c>
      <c r="D237" s="15" t="s">
        <v>2230</v>
      </c>
      <c r="E237" s="16" t="str">
        <f aca="false">HYPERLINK("#'Forrásszöveg'!A"&amp;(MATCH("TV-S0232",Forrásszöveg!$A$6:$A$2497,0)+5),"5. § (3) eleje")</f>
        <v>5. § (3) eleje</v>
      </c>
      <c r="F237" s="16" t="str">
        <f aca="false">HYPERLINK("https://net.jogtar.hu/jogszabaly?docid=a2400069.tv#pr232id","Jogtár megnyitása")</f>
        <v>Jogtár megnyitása</v>
      </c>
    </row>
    <row r="238" customFormat="false" ht="34" hidden="false" customHeight="true" outlineLevel="0" collapsed="false">
      <c r="A238" s="15" t="s">
        <v>2231</v>
      </c>
      <c r="B238" s="15" t="s">
        <v>1299</v>
      </c>
      <c r="C238" s="15" t="s">
        <v>2232</v>
      </c>
      <c r="D238" s="15" t="s">
        <v>2233</v>
      </c>
      <c r="E238" s="16" t="str">
        <f aca="false">HYPERLINK("#'Forrásszöveg'!A"&amp;(MATCH("TV-S0232",Forrásszöveg!$A$6:$A$2497,0)+5),"5. § (3) eleje")</f>
        <v>5. § (3) eleje</v>
      </c>
      <c r="F238" s="16" t="str">
        <f aca="false">HYPERLINK("https://net.jogtar.hu/jogszabaly?docid=a2400069.tv#pr233id","Jogtár megnyitása")</f>
        <v>Jogtár megnyitása</v>
      </c>
    </row>
    <row r="239" customFormat="false" ht="38" hidden="false" customHeight="true" outlineLevel="0" collapsed="false">
      <c r="A239" s="15" t="s">
        <v>2234</v>
      </c>
      <c r="B239" s="15" t="s">
        <v>1299</v>
      </c>
      <c r="C239" s="15" t="s">
        <v>2235</v>
      </c>
      <c r="D239" s="15" t="s">
        <v>2236</v>
      </c>
      <c r="E239" s="16" t="str">
        <f aca="false">HYPERLINK("#'Forrásszöveg'!A"&amp;(MATCH("TV-S0232",Forrásszöveg!$A$6:$A$2497,0)+5),"5. § (3) eleje")</f>
        <v>5. § (3) eleje</v>
      </c>
      <c r="F239" s="16" t="str">
        <f aca="false">HYPERLINK("https://net.jogtar.hu/jogszabaly?docid=a2400069.tv#pr234id","Jogtár megnyitása")</f>
        <v>Jogtár megnyitása</v>
      </c>
    </row>
    <row r="240" customFormat="false" ht="38" hidden="false" customHeight="true" outlineLevel="0" collapsed="false">
      <c r="A240" s="15" t="s">
        <v>2237</v>
      </c>
      <c r="B240" s="15" t="s">
        <v>1299</v>
      </c>
      <c r="C240" s="15" t="s">
        <v>2238</v>
      </c>
      <c r="D240" s="15" t="s">
        <v>2239</v>
      </c>
      <c r="E240" s="16" t="str">
        <f aca="false">HYPERLINK("#'Forrásszöveg'!A"&amp;(MATCH("TV-S0232",Forrásszöveg!$A$6:$A$2497,0)+5),"5. § (3) eleje")</f>
        <v>5. § (3) eleje</v>
      </c>
      <c r="F240" s="16" t="str">
        <f aca="false">HYPERLINK("https://net.jogtar.hu/jogszabaly?docid=a2400069.tv#pr235id","Jogtár megnyitása")</f>
        <v>Jogtár megnyitása</v>
      </c>
    </row>
    <row r="241" customFormat="false" ht="34" hidden="false" customHeight="true" outlineLevel="0" collapsed="false">
      <c r="A241" s="15" t="s">
        <v>2240</v>
      </c>
      <c r="B241" s="15" t="s">
        <v>1299</v>
      </c>
      <c r="C241" s="15" t="s">
        <v>2229</v>
      </c>
      <c r="D241" s="15" t="s">
        <v>2241</v>
      </c>
      <c r="E241" s="16" t="str">
        <f aca="false">HYPERLINK("#'Forrásszöveg'!A"&amp;(MATCH("TV-S0232",Forrásszöveg!$A$6:$A$2497,0)+5),"5. § (3) eleje")</f>
        <v>5. § (3) eleje</v>
      </c>
      <c r="F241" s="16" t="str">
        <f aca="false">HYPERLINK("https://net.jogtar.hu/jogszabaly?docid=a2400069.tv#pr236id","Jogtár megnyitása")</f>
        <v>Jogtár megnyitása</v>
      </c>
    </row>
    <row r="242" customFormat="false" ht="34" hidden="false" customHeight="true" outlineLevel="0" collapsed="false">
      <c r="A242" s="15" t="s">
        <v>2242</v>
      </c>
      <c r="B242" s="15" t="s">
        <v>1299</v>
      </c>
      <c r="C242" s="15" t="s">
        <v>2243</v>
      </c>
      <c r="D242" s="15" t="s">
        <v>2243</v>
      </c>
      <c r="E242" s="16" t="str">
        <f aca="false">HYPERLINK("#'Forrásszöveg'!A"&amp;(MATCH("TV-S0223",Forrásszöveg!$A$6:$A$2497,0)+5),"5. § eleje")</f>
        <v>5. § eleje</v>
      </c>
      <c r="F242" s="16" t="str">
        <f aca="false">HYPERLINK("https://net.jogtar.hu/jogszabaly?docid=a2400069.tv#pr237id","Jogtár megnyitása")</f>
        <v>Jogtár megnyitása</v>
      </c>
    </row>
    <row r="243" customFormat="false" ht="38" hidden="false" customHeight="true" outlineLevel="0" collapsed="false">
      <c r="A243" s="15" t="s">
        <v>2244</v>
      </c>
      <c r="B243" s="15" t="s">
        <v>1299</v>
      </c>
      <c r="C243" s="15" t="s">
        <v>2245</v>
      </c>
      <c r="D243" s="15" t="s">
        <v>2245</v>
      </c>
      <c r="E243" s="16" t="str">
        <f aca="false">HYPERLINK("#'Forrásszöveg'!A"&amp;(MATCH("TV-S0223",Forrásszöveg!$A$6:$A$2497,0)+5),"5. § eleje")</f>
        <v>5. § eleje</v>
      </c>
      <c r="F243" s="16" t="str">
        <f aca="false">HYPERLINK("https://net.jogtar.hu/jogszabaly?docid=a2400069.tv#pr238id","Jogtár megnyitása")</f>
        <v>Jogtár megnyitása</v>
      </c>
    </row>
    <row r="244" customFormat="false" ht="52" hidden="false" customHeight="true" outlineLevel="0" collapsed="false">
      <c r="A244" s="15" t="s">
        <v>2246</v>
      </c>
      <c r="B244" s="15" t="s">
        <v>1299</v>
      </c>
      <c r="C244" s="15" t="s">
        <v>1312</v>
      </c>
      <c r="D244" s="15" t="s">
        <v>1312</v>
      </c>
      <c r="E244" s="16" t="str">
        <f aca="false">HYPERLINK("#'Forrásszöveg'!A"&amp;(MATCH("TV-S0223",Forrásszöveg!$A$6:$A$2497,0)+5),"5. § eleje")</f>
        <v>5. § eleje</v>
      </c>
      <c r="F244" s="16" t="str">
        <f aca="false">HYPERLINK("https://net.jogtar.hu/jogszabaly?docid=a2400069.tv#pr239id","Jogtár megnyitása")</f>
        <v>Jogtár megnyitása</v>
      </c>
    </row>
    <row r="245" customFormat="false" ht="38" hidden="false" customHeight="true" outlineLevel="0" collapsed="false">
      <c r="A245" s="15" t="s">
        <v>2247</v>
      </c>
      <c r="B245" s="15" t="s">
        <v>1299</v>
      </c>
      <c r="C245" s="15" t="s">
        <v>2248</v>
      </c>
      <c r="D245" s="15" t="s">
        <v>2249</v>
      </c>
      <c r="E245" s="16" t="str">
        <f aca="false">HYPERLINK("#'Forrásszöveg'!A"&amp;(MATCH("TV-S0240",Forrásszöveg!$A$6:$A$2497,0)+5),"6. § (1) eleje")</f>
        <v>6. § (1) eleje</v>
      </c>
      <c r="F245" s="16" t="str">
        <f aca="false">HYPERLINK("https://net.jogtar.hu/jogszabaly?docid=a2400069.tv#pr240id","Jogtár megnyitása")</f>
        <v>Jogtár megnyitása</v>
      </c>
    </row>
    <row r="246" customFormat="false" ht="66" hidden="false" customHeight="true" outlineLevel="0" collapsed="false">
      <c r="A246" s="15" t="s">
        <v>2250</v>
      </c>
      <c r="B246" s="15" t="s">
        <v>1299</v>
      </c>
      <c r="C246" s="15" t="s">
        <v>2251</v>
      </c>
      <c r="D246" s="15" t="s">
        <v>2252</v>
      </c>
      <c r="E246" s="16" t="str">
        <f aca="false">HYPERLINK("#'Forrásszöveg'!A"&amp;(MATCH("TV-S0241",Forrásszöveg!$A$6:$A$2497,0)+5),"6. § (2) eleje")</f>
        <v>6. § (2) eleje</v>
      </c>
      <c r="F246" s="16" t="str">
        <f aca="false">HYPERLINK("https://net.jogtar.hu/jogszabaly?docid=a2400069.tv#pr241id","Jogtár megnyitása")</f>
        <v>Jogtár megnyitása</v>
      </c>
    </row>
    <row r="247" customFormat="false" ht="34" hidden="false" customHeight="true" outlineLevel="0" collapsed="false">
      <c r="A247" s="15" t="s">
        <v>2253</v>
      </c>
      <c r="B247" s="15" t="s">
        <v>1299</v>
      </c>
      <c r="C247" s="15" t="s">
        <v>2254</v>
      </c>
      <c r="D247" s="15" t="s">
        <v>2255</v>
      </c>
      <c r="E247" s="16" t="str">
        <f aca="false">HYPERLINK("#'Forrásszöveg'!A"&amp;(MATCH("TV-S0242",Forrásszöveg!$A$6:$A$2497,0)+5),"6. § (3) eleje")</f>
        <v>6. § (3) eleje</v>
      </c>
      <c r="F247" s="16" t="str">
        <f aca="false">HYPERLINK("https://net.jogtar.hu/jogszabaly?docid=a2400069.tv#pr242id","Jogtár megnyitása")</f>
        <v>Jogtár megnyitása</v>
      </c>
    </row>
    <row r="248" customFormat="false" ht="38" hidden="false" customHeight="true" outlineLevel="0" collapsed="false">
      <c r="A248" s="15" t="s">
        <v>2256</v>
      </c>
      <c r="B248" s="15" t="s">
        <v>1299</v>
      </c>
      <c r="C248" s="15" t="s">
        <v>2257</v>
      </c>
      <c r="D248" s="15" t="s">
        <v>2258</v>
      </c>
      <c r="E248" s="16" t="str">
        <f aca="false">HYPERLINK("#'Forrásszöveg'!A"&amp;(MATCH("TV-S0242",Forrásszöveg!$A$6:$A$2497,0)+5),"6. § (3) eleje")</f>
        <v>6. § (3) eleje</v>
      </c>
      <c r="F248" s="16" t="str">
        <f aca="false">HYPERLINK("https://net.jogtar.hu/jogszabaly?docid=a2400069.tv#pr243id","Jogtár megnyitása")</f>
        <v>Jogtár megnyitása</v>
      </c>
    </row>
    <row r="249" customFormat="false" ht="34" hidden="false" customHeight="true" outlineLevel="0" collapsed="false">
      <c r="A249" s="15" t="s">
        <v>2259</v>
      </c>
      <c r="B249" s="15" t="s">
        <v>1299</v>
      </c>
      <c r="C249" s="15" t="s">
        <v>2260</v>
      </c>
      <c r="D249" s="15" t="s">
        <v>2261</v>
      </c>
      <c r="E249" s="16" t="str">
        <f aca="false">HYPERLINK("#'Forrásszöveg'!A"&amp;(MATCH("TV-S0242",Forrásszöveg!$A$6:$A$2497,0)+5),"6. § (3) eleje")</f>
        <v>6. § (3) eleje</v>
      </c>
      <c r="F249" s="16" t="str">
        <f aca="false">HYPERLINK("https://net.jogtar.hu/jogszabaly?docid=a2400069.tv#pr244id","Jogtár megnyitása")</f>
        <v>Jogtár megnyitása</v>
      </c>
    </row>
    <row r="250" customFormat="false" ht="34" hidden="false" customHeight="true" outlineLevel="0" collapsed="false">
      <c r="A250" s="15" t="s">
        <v>2262</v>
      </c>
      <c r="B250" s="15" t="s">
        <v>1299</v>
      </c>
      <c r="C250" s="15" t="s">
        <v>2263</v>
      </c>
      <c r="D250" s="15" t="s">
        <v>2264</v>
      </c>
      <c r="E250" s="16" t="str">
        <f aca="false">HYPERLINK("#'Forrásszöveg'!A"&amp;(MATCH("TV-S0242",Forrásszöveg!$A$6:$A$2497,0)+5),"6. § (3) eleje")</f>
        <v>6. § (3) eleje</v>
      </c>
      <c r="F250" s="16" t="str">
        <f aca="false">HYPERLINK("https://net.jogtar.hu/jogszabaly?docid=a2400069.tv#pr245id","Jogtár megnyitása")</f>
        <v>Jogtár megnyitása</v>
      </c>
    </row>
    <row r="251" customFormat="false" ht="34" hidden="false" customHeight="true" outlineLevel="0" collapsed="false">
      <c r="A251" s="15" t="s">
        <v>2265</v>
      </c>
      <c r="B251" s="15" t="s">
        <v>1299</v>
      </c>
      <c r="C251" s="15" t="s">
        <v>2266</v>
      </c>
      <c r="D251" s="15" t="s">
        <v>2267</v>
      </c>
      <c r="E251" s="16" t="str">
        <f aca="false">HYPERLINK("#'Forrásszöveg'!A"&amp;(MATCH("TV-S0242",Forrásszöveg!$A$6:$A$2497,0)+5),"6. § (3) eleje")</f>
        <v>6. § (3) eleje</v>
      </c>
      <c r="F251" s="16" t="str">
        <f aca="false">HYPERLINK("https://net.jogtar.hu/jogszabaly?docid=a2400069.tv#pr246id","Jogtár megnyitása")</f>
        <v>Jogtár megnyitása</v>
      </c>
    </row>
    <row r="252" customFormat="false" ht="34" hidden="false" customHeight="true" outlineLevel="0" collapsed="false">
      <c r="A252" s="15" t="s">
        <v>2268</v>
      </c>
      <c r="B252" s="15" t="s">
        <v>1299</v>
      </c>
      <c r="C252" s="15" t="s">
        <v>2269</v>
      </c>
      <c r="D252" s="15" t="s">
        <v>2270</v>
      </c>
      <c r="E252" s="16" t="str">
        <f aca="false">HYPERLINK("#'Forrásszöveg'!A"&amp;(MATCH("TV-S0242",Forrásszöveg!$A$6:$A$2497,0)+5),"6. § (3) eleje")</f>
        <v>6. § (3) eleje</v>
      </c>
      <c r="F252" s="16" t="str">
        <f aca="false">HYPERLINK("https://net.jogtar.hu/jogszabaly?docid=a2400069.tv#pr247id","Jogtár megnyitása")</f>
        <v>Jogtár megnyitása</v>
      </c>
    </row>
    <row r="253" customFormat="false" ht="52" hidden="false" customHeight="true" outlineLevel="0" collapsed="false">
      <c r="A253" s="15" t="s">
        <v>2271</v>
      </c>
      <c r="B253" s="15" t="s">
        <v>1299</v>
      </c>
      <c r="C253" s="15" t="s">
        <v>2272</v>
      </c>
      <c r="D253" s="15" t="s">
        <v>2273</v>
      </c>
      <c r="E253" s="16" t="str">
        <f aca="false">HYPERLINK("#'Forrásszöveg'!A"&amp;(MATCH("TV-S0242",Forrásszöveg!$A$6:$A$2497,0)+5),"6. § (3) eleje")</f>
        <v>6. § (3) eleje</v>
      </c>
      <c r="F253" s="16" t="str">
        <f aca="false">HYPERLINK("https://net.jogtar.hu/jogszabaly?docid=a2400069.tv#pr248id","Jogtár megnyitása")</f>
        <v>Jogtár megnyitása</v>
      </c>
    </row>
    <row r="254" customFormat="false" ht="38" hidden="false" customHeight="true" outlineLevel="0" collapsed="false">
      <c r="A254" s="15" t="s">
        <v>2274</v>
      </c>
      <c r="B254" s="15" t="s">
        <v>1299</v>
      </c>
      <c r="C254" s="15" t="s">
        <v>2275</v>
      </c>
      <c r="D254" s="15" t="s">
        <v>2276</v>
      </c>
      <c r="E254" s="16" t="str">
        <f aca="false">HYPERLINK("#'Forrásszöveg'!A"&amp;(MATCH("TV-S0242",Forrásszöveg!$A$6:$A$2497,0)+5),"6. § (3) eleje")</f>
        <v>6. § (3) eleje</v>
      </c>
      <c r="F254" s="16" t="str">
        <f aca="false">HYPERLINK("https://net.jogtar.hu/jogszabaly?docid=a2400069.tv#pr249id","Jogtár megnyitása")</f>
        <v>Jogtár megnyitása</v>
      </c>
    </row>
    <row r="255" customFormat="false" ht="38" hidden="false" customHeight="true" outlineLevel="0" collapsed="false">
      <c r="A255" s="15" t="s">
        <v>2277</v>
      </c>
      <c r="B255" s="15" t="s">
        <v>1299</v>
      </c>
      <c r="C255" s="15" t="s">
        <v>2278</v>
      </c>
      <c r="D255" s="15" t="s">
        <v>2279</v>
      </c>
      <c r="E255" s="16" t="str">
        <f aca="false">HYPERLINK("#'Forrásszöveg'!A"&amp;(MATCH("TV-S0242",Forrásszöveg!$A$6:$A$2497,0)+5),"6. § (3) eleje")</f>
        <v>6. § (3) eleje</v>
      </c>
      <c r="F255" s="16" t="str">
        <f aca="false">HYPERLINK("https://net.jogtar.hu/jogszabaly?docid=a2400069.tv#pr250id","Jogtár megnyitása")</f>
        <v>Jogtár megnyitása</v>
      </c>
    </row>
    <row r="256" customFormat="false" ht="38" hidden="false" customHeight="true" outlineLevel="0" collapsed="false">
      <c r="A256" s="15" t="s">
        <v>2280</v>
      </c>
      <c r="B256" s="15" t="s">
        <v>1299</v>
      </c>
      <c r="C256" s="15" t="s">
        <v>2281</v>
      </c>
      <c r="D256" s="15" t="s">
        <v>2282</v>
      </c>
      <c r="E256" s="16" t="str">
        <f aca="false">HYPERLINK("#'Forrásszöveg'!A"&amp;(MATCH("TV-S0242",Forrásszöveg!$A$6:$A$2497,0)+5),"6. § (3) eleje")</f>
        <v>6. § (3) eleje</v>
      </c>
      <c r="F256" s="16" t="str">
        <f aca="false">HYPERLINK("https://net.jogtar.hu/jogszabaly?docid=a2400069.tv#pr251id","Jogtár megnyitása")</f>
        <v>Jogtár megnyitása</v>
      </c>
    </row>
    <row r="257" customFormat="false" ht="38" hidden="false" customHeight="true" outlineLevel="0" collapsed="false">
      <c r="A257" s="15" t="s">
        <v>2283</v>
      </c>
      <c r="B257" s="15" t="s">
        <v>1299</v>
      </c>
      <c r="C257" s="15" t="s">
        <v>2284</v>
      </c>
      <c r="D257" s="15" t="s">
        <v>2285</v>
      </c>
      <c r="E257" s="16" t="str">
        <f aca="false">HYPERLINK("#'Forrásszöveg'!A"&amp;(MATCH("TV-S0242",Forrásszöveg!$A$6:$A$2497,0)+5),"6. § (3) eleje")</f>
        <v>6. § (3) eleje</v>
      </c>
      <c r="F257" s="16" t="str">
        <f aca="false">HYPERLINK("https://net.jogtar.hu/jogszabaly?docid=a2400069.tv#pr252id","Jogtár megnyitása")</f>
        <v>Jogtár megnyitása</v>
      </c>
    </row>
    <row r="258" customFormat="false" ht="52" hidden="false" customHeight="true" outlineLevel="0" collapsed="false">
      <c r="A258" s="15" t="s">
        <v>2286</v>
      </c>
      <c r="B258" s="15" t="s">
        <v>1299</v>
      </c>
      <c r="C258" s="15" t="s">
        <v>2287</v>
      </c>
      <c r="D258" s="15" t="s">
        <v>2288</v>
      </c>
      <c r="E258" s="16" t="str">
        <f aca="false">HYPERLINK("#'Forrásszöveg'!A"&amp;(MATCH("TV-S0242",Forrásszöveg!$A$6:$A$2497,0)+5),"6. § (3) eleje")</f>
        <v>6. § (3) eleje</v>
      </c>
      <c r="F258" s="16" t="str">
        <f aca="false">HYPERLINK("https://net.jogtar.hu/jogszabaly?docid=a2400069.tv#pr253id","Jogtár megnyitása")</f>
        <v>Jogtár megnyitása</v>
      </c>
    </row>
    <row r="259" customFormat="false" ht="38" hidden="false" customHeight="true" outlineLevel="0" collapsed="false">
      <c r="A259" s="15" t="s">
        <v>2289</v>
      </c>
      <c r="B259" s="15" t="s">
        <v>1299</v>
      </c>
      <c r="C259" s="15" t="s">
        <v>2290</v>
      </c>
      <c r="D259" s="15" t="s">
        <v>2291</v>
      </c>
      <c r="E259" s="16" t="str">
        <f aca="false">HYPERLINK("#'Forrásszöveg'!A"&amp;(MATCH("TV-S0242",Forrásszöveg!$A$6:$A$2497,0)+5),"6. § (3) eleje")</f>
        <v>6. § (3) eleje</v>
      </c>
      <c r="F259" s="16" t="str">
        <f aca="false">HYPERLINK("https://net.jogtar.hu/jogszabaly?docid=a2400069.tv#pr254id","Jogtár megnyitása")</f>
        <v>Jogtár megnyitása</v>
      </c>
    </row>
    <row r="260" customFormat="false" ht="52" hidden="false" customHeight="true" outlineLevel="0" collapsed="false">
      <c r="A260" s="15" t="s">
        <v>2292</v>
      </c>
      <c r="B260" s="15" t="s">
        <v>1299</v>
      </c>
      <c r="C260" s="15" t="s">
        <v>2293</v>
      </c>
      <c r="D260" s="15" t="s">
        <v>2294</v>
      </c>
      <c r="E260" s="16" t="str">
        <f aca="false">HYPERLINK("#'Forrásszöveg'!A"&amp;(MATCH("TV-S0242",Forrásszöveg!$A$6:$A$2497,0)+5),"6. § (3) eleje")</f>
        <v>6. § (3) eleje</v>
      </c>
      <c r="F260" s="16" t="str">
        <f aca="false">HYPERLINK("https://net.jogtar.hu/jogszabaly?docid=a2400069.tv#pr255id","Jogtár megnyitása")</f>
        <v>Jogtár megnyitása</v>
      </c>
    </row>
    <row r="261" customFormat="false" ht="66" hidden="false" customHeight="true" outlineLevel="0" collapsed="false">
      <c r="A261" s="15" t="s">
        <v>2295</v>
      </c>
      <c r="B261" s="15" t="s">
        <v>1299</v>
      </c>
      <c r="C261" s="15" t="s">
        <v>2296</v>
      </c>
      <c r="D261" s="15" t="s">
        <v>2297</v>
      </c>
      <c r="E261" s="16" t="str">
        <f aca="false">HYPERLINK("#'Forrásszöveg'!A"&amp;(MATCH("TV-S0242",Forrásszöveg!$A$6:$A$2497,0)+5),"6. § (3) eleje")</f>
        <v>6. § (3) eleje</v>
      </c>
      <c r="F261" s="16" t="str">
        <f aca="false">HYPERLINK("https://net.jogtar.hu/jogszabaly?docid=a2400069.tv#pr256id","Jogtár megnyitása")</f>
        <v>Jogtár megnyitása</v>
      </c>
    </row>
    <row r="262" customFormat="false" ht="38" hidden="false" customHeight="true" outlineLevel="0" collapsed="false">
      <c r="A262" s="15" t="s">
        <v>2298</v>
      </c>
      <c r="B262" s="15" t="s">
        <v>1299</v>
      </c>
      <c r="C262" s="15" t="s">
        <v>2299</v>
      </c>
      <c r="D262" s="15" t="s">
        <v>2300</v>
      </c>
      <c r="E262" s="16" t="str">
        <f aca="false">HYPERLINK("#'Forrásszöveg'!A"&amp;(MATCH("TV-S0242",Forrásszöveg!$A$6:$A$2497,0)+5),"6. § (3) eleje")</f>
        <v>6. § (3) eleje</v>
      </c>
      <c r="F262" s="16" t="str">
        <f aca="false">HYPERLINK("https://net.jogtar.hu/jogszabaly?docid=a2400069.tv#pr257id","Jogtár megnyitása")</f>
        <v>Jogtár megnyitása</v>
      </c>
    </row>
    <row r="263" customFormat="false" ht="38" hidden="false" customHeight="true" outlineLevel="0" collapsed="false">
      <c r="A263" s="15" t="s">
        <v>2301</v>
      </c>
      <c r="B263" s="15" t="s">
        <v>1299</v>
      </c>
      <c r="C263" s="15" t="s">
        <v>2302</v>
      </c>
      <c r="D263" s="15" t="s">
        <v>2303</v>
      </c>
      <c r="E263" s="16" t="str">
        <f aca="false">HYPERLINK("#'Forrásszöveg'!A"&amp;(MATCH("TV-S0242",Forrásszöveg!$A$6:$A$2497,0)+5),"6. § (3) eleje")</f>
        <v>6. § (3) eleje</v>
      </c>
      <c r="F263" s="16" t="str">
        <f aca="false">HYPERLINK("https://net.jogtar.hu/jogszabaly?docid=a2400069.tv#pr258id","Jogtár megnyitása")</f>
        <v>Jogtár megnyitása</v>
      </c>
    </row>
    <row r="264" customFormat="false" ht="34" hidden="false" customHeight="true" outlineLevel="0" collapsed="false">
      <c r="A264" s="15" t="s">
        <v>2304</v>
      </c>
      <c r="B264" s="15" t="s">
        <v>1299</v>
      </c>
      <c r="C264" s="15" t="s">
        <v>2305</v>
      </c>
      <c r="D264" s="15" t="s">
        <v>2306</v>
      </c>
      <c r="E264" s="16" t="str">
        <f aca="false">HYPERLINK("#'Forrásszöveg'!A"&amp;(MATCH("TV-S0242",Forrásszöveg!$A$6:$A$2497,0)+5),"6. § (3) eleje")</f>
        <v>6. § (3) eleje</v>
      </c>
      <c r="F264" s="16" t="str">
        <f aca="false">HYPERLINK("https://net.jogtar.hu/jogszabaly?docid=a2400069.tv#pr259id","Jogtár megnyitása")</f>
        <v>Jogtár megnyitása</v>
      </c>
    </row>
    <row r="265" customFormat="false" ht="52" hidden="false" customHeight="true" outlineLevel="0" collapsed="false">
      <c r="A265" s="15" t="s">
        <v>2307</v>
      </c>
      <c r="B265" s="15" t="s">
        <v>1299</v>
      </c>
      <c r="C265" s="15" t="s">
        <v>2308</v>
      </c>
      <c r="D265" s="15" t="s">
        <v>2309</v>
      </c>
      <c r="E265" s="16" t="str">
        <f aca="false">HYPERLINK("#'Forrásszöveg'!A"&amp;(MATCH("TV-S0260",Forrásszöveg!$A$6:$A$2497,0)+5),"6. § (4) eleje")</f>
        <v>6. § (4) eleje</v>
      </c>
      <c r="F265" s="16" t="str">
        <f aca="false">HYPERLINK("https://net.jogtar.hu/jogszabaly?docid=a2400069.tv#pr260id","Jogtár megnyitása")</f>
        <v>Jogtár megnyitása</v>
      </c>
    </row>
    <row r="266" customFormat="false" ht="34" hidden="false" customHeight="true" outlineLevel="0" collapsed="false">
      <c r="A266" s="15" t="s">
        <v>2310</v>
      </c>
      <c r="B266" s="15" t="s">
        <v>1299</v>
      </c>
      <c r="C266" s="15" t="s">
        <v>2311</v>
      </c>
      <c r="D266" s="15" t="s">
        <v>2312</v>
      </c>
      <c r="E266" s="16" t="str">
        <f aca="false">HYPERLINK("#'Forrásszöveg'!A"&amp;(MATCH("TV-S0261",Forrásszöveg!$A$6:$A$2497,0)+5),"6. § (5) eleje")</f>
        <v>6. § (5) eleje</v>
      </c>
      <c r="F266" s="16" t="str">
        <f aca="false">HYPERLINK("https://net.jogtar.hu/jogszabaly?docid=a2400069.tv#pr261id","Jogtár megnyitása")</f>
        <v>Jogtár megnyitása</v>
      </c>
    </row>
    <row r="267" customFormat="false" ht="52" hidden="false" customHeight="true" outlineLevel="0" collapsed="false">
      <c r="A267" s="15" t="s">
        <v>2313</v>
      </c>
      <c r="B267" s="15" t="s">
        <v>1299</v>
      </c>
      <c r="C267" s="15" t="s">
        <v>2314</v>
      </c>
      <c r="D267" s="15" t="s">
        <v>2315</v>
      </c>
      <c r="E267" s="16" t="str">
        <f aca="false">HYPERLINK("#'Forrásszöveg'!A"&amp;(MATCH("TV-S0261",Forrásszöveg!$A$6:$A$2497,0)+5),"6. § (5) eleje")</f>
        <v>6. § (5) eleje</v>
      </c>
      <c r="F267" s="16" t="str">
        <f aca="false">HYPERLINK("https://net.jogtar.hu/jogszabaly?docid=a2400069.tv#pr262id","Jogtár megnyitása")</f>
        <v>Jogtár megnyitása</v>
      </c>
    </row>
    <row r="268" customFormat="false" ht="38" hidden="false" customHeight="true" outlineLevel="0" collapsed="false">
      <c r="A268" s="15" t="s">
        <v>2316</v>
      </c>
      <c r="B268" s="15" t="s">
        <v>1299</v>
      </c>
      <c r="C268" s="15" t="s">
        <v>2317</v>
      </c>
      <c r="D268" s="15" t="s">
        <v>2318</v>
      </c>
      <c r="E268" s="16" t="str">
        <f aca="false">HYPERLINK("#'Forrásszöveg'!A"&amp;(MATCH("TV-S0261",Forrásszöveg!$A$6:$A$2497,0)+5),"6. § (5) eleje")</f>
        <v>6. § (5) eleje</v>
      </c>
      <c r="F268" s="16" t="str">
        <f aca="false">HYPERLINK("https://net.jogtar.hu/jogszabaly?docid=a2400069.tv#pr263id","Jogtár megnyitása")</f>
        <v>Jogtár megnyitása</v>
      </c>
    </row>
    <row r="269" customFormat="false" ht="34" hidden="false" customHeight="true" outlineLevel="0" collapsed="false">
      <c r="A269" s="15" t="s">
        <v>2319</v>
      </c>
      <c r="B269" s="15" t="s">
        <v>1299</v>
      </c>
      <c r="C269" s="15" t="s">
        <v>2320</v>
      </c>
      <c r="D269" s="15" t="s">
        <v>2321</v>
      </c>
      <c r="E269" s="16" t="str">
        <f aca="false">HYPERLINK("#'Forrásszöveg'!A"&amp;(MATCH("TV-S0261",Forrásszöveg!$A$6:$A$2497,0)+5),"6. § (5) eleje")</f>
        <v>6. § (5) eleje</v>
      </c>
      <c r="F269" s="16" t="str">
        <f aca="false">HYPERLINK("https://net.jogtar.hu/jogszabaly?docid=a2400069.tv#pr264id","Jogtár megnyitása")</f>
        <v>Jogtár megnyitása</v>
      </c>
    </row>
    <row r="270" customFormat="false" ht="94" hidden="false" customHeight="true" outlineLevel="0" collapsed="false">
      <c r="A270" s="15" t="s">
        <v>2322</v>
      </c>
      <c r="B270" s="15" t="s">
        <v>1299</v>
      </c>
      <c r="C270" s="15" t="s">
        <v>2323</v>
      </c>
      <c r="D270" s="15" t="s">
        <v>2324</v>
      </c>
      <c r="E270" s="16" t="str">
        <f aca="false">HYPERLINK("#'Forrásszöveg'!A"&amp;(MATCH("TV-S0261",Forrásszöveg!$A$6:$A$2497,0)+5),"6. § (5) eleje")</f>
        <v>6. § (5) eleje</v>
      </c>
      <c r="F270" s="16" t="str">
        <f aca="false">HYPERLINK("https://net.jogtar.hu/jogszabaly?docid=a2400069.tv#pr265id","Jogtár megnyitása")</f>
        <v>Jogtár megnyitása</v>
      </c>
    </row>
    <row r="271" customFormat="false" ht="66" hidden="false" customHeight="true" outlineLevel="0" collapsed="false">
      <c r="A271" s="15" t="s">
        <v>2325</v>
      </c>
      <c r="B271" s="15" t="s">
        <v>1299</v>
      </c>
      <c r="C271" s="15" t="s">
        <v>2326</v>
      </c>
      <c r="D271" s="15" t="s">
        <v>2327</v>
      </c>
      <c r="E271" s="16" t="str">
        <f aca="false">HYPERLINK("#'Forrásszöveg'!A"&amp;(MATCH("TV-S0261",Forrásszöveg!$A$6:$A$2497,0)+5),"6. § (5) eleje")</f>
        <v>6. § (5) eleje</v>
      </c>
      <c r="F271" s="16" t="str">
        <f aca="false">HYPERLINK("https://net.jogtar.hu/jogszabaly?docid=a2400069.tv#pr266id","Jogtár megnyitása")</f>
        <v>Jogtár megnyitása</v>
      </c>
    </row>
    <row r="272" customFormat="false" ht="38" hidden="false" customHeight="true" outlineLevel="0" collapsed="false">
      <c r="A272" s="15" t="s">
        <v>2328</v>
      </c>
      <c r="B272" s="15" t="s">
        <v>1299</v>
      </c>
      <c r="C272" s="15" t="s">
        <v>2329</v>
      </c>
      <c r="D272" s="15" t="s">
        <v>2330</v>
      </c>
      <c r="E272" s="16" t="str">
        <f aca="false">HYPERLINK("#'Forrásszöveg'!A"&amp;(MATCH("TV-S0261",Forrásszöveg!$A$6:$A$2497,0)+5),"6. § (5) eleje")</f>
        <v>6. § (5) eleje</v>
      </c>
      <c r="F272" s="16" t="str">
        <f aca="false">HYPERLINK("https://net.jogtar.hu/jogszabaly?docid=a2400069.tv#pr267id","Jogtár megnyitása")</f>
        <v>Jogtár megnyitása</v>
      </c>
    </row>
    <row r="273" customFormat="false" ht="38" hidden="false" customHeight="true" outlineLevel="0" collapsed="false">
      <c r="A273" s="15" t="s">
        <v>2331</v>
      </c>
      <c r="B273" s="15" t="s">
        <v>1299</v>
      </c>
      <c r="C273" s="15" t="s">
        <v>2332</v>
      </c>
      <c r="D273" s="15" t="s">
        <v>2333</v>
      </c>
      <c r="E273" s="16" t="str">
        <f aca="false">HYPERLINK("#'Forrásszöveg'!A"&amp;(MATCH("TV-S0261",Forrásszöveg!$A$6:$A$2497,0)+5),"6. § (5) eleje")</f>
        <v>6. § (5) eleje</v>
      </c>
      <c r="F273" s="16" t="str">
        <f aca="false">HYPERLINK("https://net.jogtar.hu/jogszabaly?docid=a2400069.tv#pr268id","Jogtár megnyitása")</f>
        <v>Jogtár megnyitása</v>
      </c>
    </row>
    <row r="274" customFormat="false" ht="38" hidden="false" customHeight="true" outlineLevel="0" collapsed="false">
      <c r="A274" s="15" t="s">
        <v>2334</v>
      </c>
      <c r="B274" s="15" t="s">
        <v>1299</v>
      </c>
      <c r="C274" s="15" t="s">
        <v>2335</v>
      </c>
      <c r="D274" s="15" t="s">
        <v>2336</v>
      </c>
      <c r="E274" s="16" t="str">
        <f aca="false">HYPERLINK("#'Forrásszöveg'!A"&amp;(MATCH("TV-S0261",Forrásszöveg!$A$6:$A$2497,0)+5),"6. § (5) eleje")</f>
        <v>6. § (5) eleje</v>
      </c>
      <c r="F274" s="16" t="str">
        <f aca="false">HYPERLINK("https://net.jogtar.hu/jogszabaly?docid=a2400069.tv#pr269id","Jogtár megnyitása")</f>
        <v>Jogtár megnyitása</v>
      </c>
    </row>
    <row r="275" customFormat="false" ht="52" hidden="false" customHeight="true" outlineLevel="0" collapsed="false">
      <c r="A275" s="15" t="s">
        <v>2337</v>
      </c>
      <c r="B275" s="15" t="s">
        <v>1299</v>
      </c>
      <c r="C275" s="15" t="s">
        <v>2338</v>
      </c>
      <c r="D275" s="15" t="s">
        <v>2339</v>
      </c>
      <c r="E275" s="16" t="str">
        <f aca="false">HYPERLINK("#'Forrásszöveg'!A"&amp;(MATCH("TV-S0261",Forrásszöveg!$A$6:$A$2497,0)+5),"6. § (5) eleje")</f>
        <v>6. § (5) eleje</v>
      </c>
      <c r="F275" s="16" t="str">
        <f aca="false">HYPERLINK("https://net.jogtar.hu/jogszabaly?docid=a2400069.tv#pr270id","Jogtár megnyitása")</f>
        <v>Jogtár megnyitása</v>
      </c>
    </row>
    <row r="276" customFormat="false" ht="34" hidden="false" customHeight="true" outlineLevel="0" collapsed="false">
      <c r="A276" s="15" t="s">
        <v>2340</v>
      </c>
      <c r="B276" s="15" t="s">
        <v>1299</v>
      </c>
      <c r="C276" s="15" t="s">
        <v>2341</v>
      </c>
      <c r="D276" s="15" t="s">
        <v>2342</v>
      </c>
      <c r="E276" s="16" t="str">
        <f aca="false">HYPERLINK("#'Forrásszöveg'!A"&amp;(MATCH("TV-S0261",Forrásszöveg!$A$6:$A$2497,0)+5),"6. § (5) eleje")</f>
        <v>6. § (5) eleje</v>
      </c>
      <c r="F276" s="16" t="str">
        <f aca="false">HYPERLINK("https://net.jogtar.hu/jogszabaly?docid=a2400069.tv#pr271id","Jogtár megnyitása")</f>
        <v>Jogtár megnyitása</v>
      </c>
    </row>
    <row r="277" customFormat="false" ht="52" hidden="false" customHeight="true" outlineLevel="0" collapsed="false">
      <c r="A277" s="15" t="s">
        <v>2343</v>
      </c>
      <c r="B277" s="15" t="s">
        <v>1299</v>
      </c>
      <c r="C277" s="15" t="s">
        <v>2344</v>
      </c>
      <c r="D277" s="15" t="s">
        <v>2345</v>
      </c>
      <c r="E277" s="16" t="str">
        <f aca="false">HYPERLINK("#'Forrásszöveg'!A"&amp;(MATCH("TV-S0272",Forrásszöveg!$A$6:$A$2497,0)+5),"6. § (6) eleje")</f>
        <v>6. § (6) eleje</v>
      </c>
      <c r="F277" s="16" t="str">
        <f aca="false">HYPERLINK("https://net.jogtar.hu/jogszabaly?docid=a2400069.tv#pr272id","Jogtár megnyitása")</f>
        <v>Jogtár megnyitása</v>
      </c>
    </row>
    <row r="278" customFormat="false" ht="38" hidden="false" customHeight="true" outlineLevel="0" collapsed="false">
      <c r="A278" s="15" t="s">
        <v>2346</v>
      </c>
      <c r="B278" s="15" t="s">
        <v>1299</v>
      </c>
      <c r="C278" s="15" t="s">
        <v>2347</v>
      </c>
      <c r="D278" s="15" t="s">
        <v>2348</v>
      </c>
      <c r="E278" s="16" t="str">
        <f aca="false">HYPERLINK("#'Forrásszöveg'!A"&amp;(MATCH("TV-S0273",Forrásszöveg!$A$6:$A$2497,0)+5),"6. § (7) eleje")</f>
        <v>6. § (7) eleje</v>
      </c>
      <c r="F278" s="16" t="str">
        <f aca="false">HYPERLINK("https://net.jogtar.hu/jogszabaly?docid=a2400069.tv#pr273id","Jogtár megnyitása")</f>
        <v>Jogtár megnyitása</v>
      </c>
    </row>
    <row r="279" customFormat="false" ht="52" hidden="false" customHeight="true" outlineLevel="0" collapsed="false">
      <c r="A279" s="15" t="s">
        <v>2349</v>
      </c>
      <c r="B279" s="15" t="s">
        <v>1299</v>
      </c>
      <c r="C279" s="15" t="s">
        <v>2350</v>
      </c>
      <c r="D279" s="15" t="s">
        <v>2351</v>
      </c>
      <c r="E279" s="16" t="str">
        <f aca="false">HYPERLINK("#'Forrásszöveg'!A"&amp;(MATCH("TV-S0274",Forrásszöveg!$A$6:$A$2497,0)+5),"6. § (8) eleje")</f>
        <v>6. § (8) eleje</v>
      </c>
      <c r="F279" s="16" t="str">
        <f aca="false">HYPERLINK("https://net.jogtar.hu/jogszabaly?docid=a2400069.tv#pr274id","Jogtár megnyitása")</f>
        <v>Jogtár megnyitása</v>
      </c>
    </row>
    <row r="280" customFormat="false" ht="94" hidden="false" customHeight="true" outlineLevel="0" collapsed="false">
      <c r="A280" s="15" t="s">
        <v>2352</v>
      </c>
      <c r="B280" s="15" t="s">
        <v>1299</v>
      </c>
      <c r="C280" s="15" t="s">
        <v>2353</v>
      </c>
      <c r="D280" s="15" t="s">
        <v>2354</v>
      </c>
      <c r="E280" s="16" t="str">
        <f aca="false">HYPERLINK("#'Forrásszöveg'!A"&amp;(MATCH("TV-S0275",Forrásszöveg!$A$6:$A$2497,0)+5),"6. § (9) eleje")</f>
        <v>6. § (9) eleje</v>
      </c>
      <c r="F280" s="16" t="str">
        <f aca="false">HYPERLINK("https://net.jogtar.hu/jogszabaly?docid=a2400069.tv#pr275id","Jogtár megnyitása")</f>
        <v>Jogtár megnyitása</v>
      </c>
    </row>
    <row r="281" customFormat="false" ht="52" hidden="false" customHeight="true" outlineLevel="0" collapsed="false">
      <c r="A281" s="15" t="s">
        <v>2355</v>
      </c>
      <c r="B281" s="15" t="s">
        <v>1299</v>
      </c>
      <c r="C281" s="15" t="s">
        <v>2356</v>
      </c>
      <c r="D281" s="15" t="s">
        <v>2357</v>
      </c>
      <c r="E281" s="16" t="str">
        <f aca="false">HYPERLINK("#'Forrásszöveg'!A"&amp;(MATCH("TV-S0276",Forrásszöveg!$A$6:$A$2497,0)+5),"6. § (10) eleje")</f>
        <v>6. § (10) eleje</v>
      </c>
      <c r="F281" s="16" t="str">
        <f aca="false">HYPERLINK("https://net.jogtar.hu/jogszabaly?docid=a2400069.tv#pr276id","Jogtár megnyitása")</f>
        <v>Jogtár megnyitása</v>
      </c>
    </row>
    <row r="282" customFormat="false" ht="34" hidden="false" customHeight="true" outlineLevel="0" collapsed="false">
      <c r="A282" s="15" t="s">
        <v>2358</v>
      </c>
      <c r="B282" s="15" t="s">
        <v>1299</v>
      </c>
      <c r="C282" s="15" t="s">
        <v>2359</v>
      </c>
      <c r="D282" s="15" t="s">
        <v>2360</v>
      </c>
      <c r="E282" s="16" t="str">
        <f aca="false">HYPERLINK("#'Forrásszöveg'!A"&amp;(MATCH("TV-S0276",Forrásszöveg!$A$6:$A$2497,0)+5),"6. § (10) eleje")</f>
        <v>6. § (10) eleje</v>
      </c>
      <c r="F282" s="16" t="str">
        <f aca="false">HYPERLINK("https://net.jogtar.hu/jogszabaly?docid=a2400069.tv#pr277id","Jogtár megnyitása")</f>
        <v>Jogtár megnyitása</v>
      </c>
    </row>
    <row r="283" customFormat="false" ht="34" hidden="false" customHeight="true" outlineLevel="0" collapsed="false">
      <c r="A283" s="15" t="s">
        <v>2361</v>
      </c>
      <c r="B283" s="15" t="s">
        <v>1299</v>
      </c>
      <c r="C283" s="15" t="s">
        <v>2362</v>
      </c>
      <c r="D283" s="15" t="s">
        <v>2363</v>
      </c>
      <c r="E283" s="16" t="str">
        <f aca="false">HYPERLINK("#'Forrásszöveg'!A"&amp;(MATCH("TV-S0276",Forrásszöveg!$A$6:$A$2497,0)+5),"6. § (10) eleje")</f>
        <v>6. § (10) eleje</v>
      </c>
      <c r="F283" s="16" t="str">
        <f aca="false">HYPERLINK("https://net.jogtar.hu/jogszabaly?docid=a2400069.tv#pr278id","Jogtár megnyitása")</f>
        <v>Jogtár megnyitása</v>
      </c>
    </row>
    <row r="284" customFormat="false" ht="34" hidden="false" customHeight="true" outlineLevel="0" collapsed="false">
      <c r="A284" s="15" t="s">
        <v>2364</v>
      </c>
      <c r="B284" s="15" t="s">
        <v>1299</v>
      </c>
      <c r="C284" s="15" t="s">
        <v>2365</v>
      </c>
      <c r="D284" s="15" t="s">
        <v>2366</v>
      </c>
      <c r="E284" s="16" t="str">
        <f aca="false">HYPERLINK("#'Forrásszöveg'!A"&amp;(MATCH("TV-S0276",Forrásszöveg!$A$6:$A$2497,0)+5),"6. § (10) eleje")</f>
        <v>6. § (10) eleje</v>
      </c>
      <c r="F284" s="16" t="str">
        <f aca="false">HYPERLINK("https://net.jogtar.hu/jogszabaly?docid=a2400069.tv#pr279id","Jogtár megnyitása")</f>
        <v>Jogtár megnyitása</v>
      </c>
    </row>
    <row r="285" customFormat="false" ht="66" hidden="false" customHeight="true" outlineLevel="0" collapsed="false">
      <c r="A285" s="15" t="s">
        <v>2367</v>
      </c>
      <c r="B285" s="15" t="s">
        <v>1299</v>
      </c>
      <c r="C285" s="15" t="s">
        <v>2368</v>
      </c>
      <c r="D285" s="15" t="s">
        <v>2369</v>
      </c>
      <c r="E285" s="16" t="str">
        <f aca="false">HYPERLINK("#'Forrásszöveg'!A"&amp;(MATCH("TV-S0280",Forrásszöveg!$A$6:$A$2497,0)+5),"6. § (11) eleje")</f>
        <v>6. § (11) eleje</v>
      </c>
      <c r="F285" s="16" t="str">
        <f aca="false">HYPERLINK("https://net.jogtar.hu/jogszabaly?docid=a2400069.tv#pr280id","Jogtár megnyitása")</f>
        <v>Jogtár megnyitása</v>
      </c>
    </row>
    <row r="286" customFormat="false" ht="52" hidden="false" customHeight="true" outlineLevel="0" collapsed="false">
      <c r="A286" s="15" t="s">
        <v>2370</v>
      </c>
      <c r="B286" s="15" t="s">
        <v>1299</v>
      </c>
      <c r="C286" s="15" t="s">
        <v>2371</v>
      </c>
      <c r="D286" s="15" t="s">
        <v>2372</v>
      </c>
      <c r="E286" s="16" t="str">
        <f aca="false">HYPERLINK("#'Forrásszöveg'!A"&amp;(MATCH("TV-S0281",Forrásszöveg!$A$6:$A$2497,0)+5),"6. § (12) eleje")</f>
        <v>6. § (12) eleje</v>
      </c>
      <c r="F286" s="16" t="str">
        <f aca="false">HYPERLINK("https://net.jogtar.hu/jogszabaly?docid=a2400069.tv#pr281id","Jogtár megnyitása")</f>
        <v>Jogtár megnyitása</v>
      </c>
    </row>
    <row r="287" customFormat="false" ht="94" hidden="false" customHeight="true" outlineLevel="0" collapsed="false">
      <c r="A287" s="15" t="s">
        <v>2373</v>
      </c>
      <c r="B287" s="15" t="s">
        <v>1299</v>
      </c>
      <c r="C287" s="15" t="s">
        <v>2374</v>
      </c>
      <c r="D287" s="15" t="s">
        <v>2375</v>
      </c>
      <c r="E287" s="16" t="str">
        <f aca="false">HYPERLINK("#'Forrásszöveg'!A"&amp;(MATCH("TV-S0282",Forrásszöveg!$A$6:$A$2497,0)+5),"7. § (1) eleje")</f>
        <v>7. § (1) eleje</v>
      </c>
      <c r="F287" s="16" t="str">
        <f aca="false">HYPERLINK("https://net.jogtar.hu/jogszabaly?docid=a2400069.tv#pr282id","Jogtár megnyitása")</f>
        <v>Jogtár megnyitása</v>
      </c>
    </row>
    <row r="288" customFormat="false" ht="136" hidden="false" customHeight="true" outlineLevel="0" collapsed="false">
      <c r="A288" s="15" t="s">
        <v>2376</v>
      </c>
      <c r="B288" s="15" t="s">
        <v>1299</v>
      </c>
      <c r="C288" s="15" t="s">
        <v>2377</v>
      </c>
      <c r="D288" s="15" t="s">
        <v>2378</v>
      </c>
      <c r="E288" s="16" t="str">
        <f aca="false">HYPERLINK("#'Forrásszöveg'!A"&amp;(MATCH("TV-S0283",Forrásszöveg!$A$6:$A$2497,0)+5),"7. § (2) eleje")</f>
        <v>7. § (2) eleje</v>
      </c>
      <c r="F288" s="16" t="str">
        <f aca="false">HYPERLINK("https://net.jogtar.hu/jogszabaly?docid=a2400069.tv#pr283id","Jogtár megnyitása")</f>
        <v>Jogtár megnyitása</v>
      </c>
    </row>
    <row r="289" customFormat="false" ht="38" hidden="false" customHeight="true" outlineLevel="0" collapsed="false">
      <c r="A289" s="15" t="s">
        <v>2379</v>
      </c>
      <c r="B289" s="15" t="s">
        <v>1299</v>
      </c>
      <c r="C289" s="15" t="s">
        <v>2380</v>
      </c>
      <c r="D289" s="15" t="s">
        <v>2381</v>
      </c>
      <c r="E289" s="16" t="str">
        <f aca="false">HYPERLINK("#'Forrásszöveg'!A"&amp;(MATCH("TV-S0284",Forrásszöveg!$A$6:$A$2497,0)+5),"7. § (3) eleje")</f>
        <v>7. § (3) eleje</v>
      </c>
      <c r="F289" s="16" t="str">
        <f aca="false">HYPERLINK("https://net.jogtar.hu/jogszabaly?docid=a2400069.tv#pr284id","Jogtár megnyitása")</f>
        <v>Jogtár megnyitása</v>
      </c>
    </row>
    <row r="290" customFormat="false" ht="66" hidden="false" customHeight="true" outlineLevel="0" collapsed="false">
      <c r="A290" s="15" t="s">
        <v>2382</v>
      </c>
      <c r="B290" s="15" t="s">
        <v>1299</v>
      </c>
      <c r="C290" s="15" t="s">
        <v>2383</v>
      </c>
      <c r="D290" s="15" t="s">
        <v>2384</v>
      </c>
      <c r="E290" s="16" t="str">
        <f aca="false">HYPERLINK("#'Forrásszöveg'!A"&amp;(MATCH("TV-S0285",Forrásszöveg!$A$6:$A$2497,0)+5),"8. § (1) eleje")</f>
        <v>8. § (1) eleje</v>
      </c>
      <c r="F290" s="16" t="str">
        <f aca="false">HYPERLINK("https://net.jogtar.hu/jogszabaly?docid=a2400069.tv#pr285id","Jogtár megnyitása")</f>
        <v>Jogtár megnyitása</v>
      </c>
    </row>
    <row r="291" customFormat="false" ht="34" hidden="false" customHeight="true" outlineLevel="0" collapsed="false">
      <c r="A291" s="15" t="s">
        <v>2385</v>
      </c>
      <c r="B291" s="15" t="s">
        <v>1299</v>
      </c>
      <c r="C291" s="15" t="s">
        <v>2386</v>
      </c>
      <c r="D291" s="15" t="s">
        <v>2387</v>
      </c>
      <c r="E291" s="16" t="str">
        <f aca="false">HYPERLINK("#'Forrásszöveg'!A"&amp;(MATCH("TV-S0286",Forrásszöveg!$A$6:$A$2497,0)+5),"8. § (2) eleje")</f>
        <v>8. § (2) eleje</v>
      </c>
      <c r="F291" s="16" t="str">
        <f aca="false">HYPERLINK("https://net.jogtar.hu/jogszabaly?docid=a2400069.tv#pr286id","Jogtár megnyitása")</f>
        <v>Jogtár megnyitása</v>
      </c>
    </row>
    <row r="292" customFormat="false" ht="34" hidden="false" customHeight="true" outlineLevel="0" collapsed="false">
      <c r="A292" s="15" t="s">
        <v>2388</v>
      </c>
      <c r="B292" s="15" t="s">
        <v>1299</v>
      </c>
      <c r="C292" s="15" t="s">
        <v>2389</v>
      </c>
      <c r="D292" s="15" t="s">
        <v>2390</v>
      </c>
      <c r="E292" s="16" t="str">
        <f aca="false">HYPERLINK("#'Forrásszöveg'!A"&amp;(MATCH("TV-S0287",Forrásszöveg!$A$6:$A$2497,0)+5),"8. § (3) eleje")</f>
        <v>8. § (3) eleje</v>
      </c>
      <c r="F292" s="16" t="str">
        <f aca="false">HYPERLINK("https://net.jogtar.hu/jogszabaly?docid=a2400069.tv#pr287id","Jogtár megnyitása")</f>
        <v>Jogtár megnyitása</v>
      </c>
    </row>
    <row r="293" customFormat="false" ht="52" hidden="false" customHeight="true" outlineLevel="0" collapsed="false">
      <c r="A293" s="15" t="s">
        <v>2391</v>
      </c>
      <c r="B293" s="15" t="s">
        <v>1299</v>
      </c>
      <c r="C293" s="15" t="s">
        <v>2392</v>
      </c>
      <c r="D293" s="15" t="s">
        <v>2393</v>
      </c>
      <c r="E293" s="16" t="str">
        <f aca="false">HYPERLINK("#'Forrásszöveg'!A"&amp;(MATCH("TV-S0287",Forrásszöveg!$A$6:$A$2497,0)+5),"8. § (3) eleje")</f>
        <v>8. § (3) eleje</v>
      </c>
      <c r="F293" s="16" t="str">
        <f aca="false">HYPERLINK("https://net.jogtar.hu/jogszabaly?docid=a2400069.tv#pr288id","Jogtár megnyitása")</f>
        <v>Jogtár megnyitása</v>
      </c>
    </row>
    <row r="294" customFormat="false" ht="34" hidden="false" customHeight="true" outlineLevel="0" collapsed="false">
      <c r="A294" s="15" t="s">
        <v>2394</v>
      </c>
      <c r="B294" s="15" t="s">
        <v>1299</v>
      </c>
      <c r="C294" s="15" t="s">
        <v>2395</v>
      </c>
      <c r="D294" s="15" t="s">
        <v>2396</v>
      </c>
      <c r="E294" s="16" t="str">
        <f aca="false">HYPERLINK("#'Forrásszöveg'!A"&amp;(MATCH("TV-S0287",Forrásszöveg!$A$6:$A$2497,0)+5),"8. § (3) eleje")</f>
        <v>8. § (3) eleje</v>
      </c>
      <c r="F294" s="16" t="str">
        <f aca="false">HYPERLINK("https://net.jogtar.hu/jogszabaly?docid=a2400069.tv#pr289id","Jogtár megnyitása")</f>
        <v>Jogtár megnyitása</v>
      </c>
    </row>
    <row r="295" customFormat="false" ht="38" hidden="false" customHeight="true" outlineLevel="0" collapsed="false">
      <c r="A295" s="15" t="s">
        <v>2397</v>
      </c>
      <c r="B295" s="15" t="s">
        <v>1299</v>
      </c>
      <c r="C295" s="15" t="s">
        <v>2398</v>
      </c>
      <c r="D295" s="15" t="s">
        <v>2399</v>
      </c>
      <c r="E295" s="16" t="str">
        <f aca="false">HYPERLINK("#'Forrásszöveg'!A"&amp;(MATCH("TV-S0290",Forrásszöveg!$A$6:$A$2497,0)+5),"8. § (4) eleje")</f>
        <v>8. § (4) eleje</v>
      </c>
      <c r="F295" s="16" t="str">
        <f aca="false">HYPERLINK("https://net.jogtar.hu/jogszabaly?docid=a2400069.tv#pr290id","Jogtár megnyitása")</f>
        <v>Jogtár megnyitása</v>
      </c>
    </row>
    <row r="296" customFormat="false" ht="38" hidden="false" customHeight="true" outlineLevel="0" collapsed="false">
      <c r="A296" s="15" t="s">
        <v>2400</v>
      </c>
      <c r="B296" s="15" t="s">
        <v>1299</v>
      </c>
      <c r="C296" s="15" t="s">
        <v>2401</v>
      </c>
      <c r="D296" s="15" t="s">
        <v>2402</v>
      </c>
      <c r="E296" s="16" t="str">
        <f aca="false">HYPERLINK("#'Forrásszöveg'!A"&amp;(MATCH("TV-S0290",Forrásszöveg!$A$6:$A$2497,0)+5),"8. § (4) eleje")</f>
        <v>8. § (4) eleje</v>
      </c>
      <c r="F296" s="16" t="str">
        <f aca="false">HYPERLINK("https://net.jogtar.hu/jogszabaly?docid=a2400069.tv#pr291id","Jogtár megnyitása")</f>
        <v>Jogtár megnyitása</v>
      </c>
    </row>
    <row r="297" customFormat="false" ht="38" hidden="false" customHeight="true" outlineLevel="0" collapsed="false">
      <c r="A297" s="15" t="s">
        <v>2403</v>
      </c>
      <c r="B297" s="15" t="s">
        <v>1299</v>
      </c>
      <c r="C297" s="15" t="s">
        <v>2404</v>
      </c>
      <c r="D297" s="15" t="s">
        <v>2405</v>
      </c>
      <c r="E297" s="16" t="str">
        <f aca="false">HYPERLINK("#'Forrásszöveg'!A"&amp;(MATCH("TV-S0290",Forrásszöveg!$A$6:$A$2497,0)+5),"8. § (4) eleje")</f>
        <v>8. § (4) eleje</v>
      </c>
      <c r="F297" s="16" t="str">
        <f aca="false">HYPERLINK("https://net.jogtar.hu/jogszabaly?docid=a2400069.tv#pr292id","Jogtár megnyitása")</f>
        <v>Jogtár megnyitása</v>
      </c>
    </row>
    <row r="298" customFormat="false" ht="38" hidden="false" customHeight="true" outlineLevel="0" collapsed="false">
      <c r="A298" s="15" t="s">
        <v>2406</v>
      </c>
      <c r="B298" s="15" t="s">
        <v>1299</v>
      </c>
      <c r="C298" s="15" t="s">
        <v>2407</v>
      </c>
      <c r="D298" s="15" t="s">
        <v>2408</v>
      </c>
      <c r="E298" s="16" t="str">
        <f aca="false">HYPERLINK("#'Forrásszöveg'!A"&amp;(MATCH("TV-S0290",Forrásszöveg!$A$6:$A$2497,0)+5),"8. § (4) eleje")</f>
        <v>8. § (4) eleje</v>
      </c>
      <c r="F298" s="16" t="str">
        <f aca="false">HYPERLINK("https://net.jogtar.hu/jogszabaly?docid=a2400069.tv#pr293id","Jogtár megnyitása")</f>
        <v>Jogtár megnyitása</v>
      </c>
    </row>
    <row r="299" customFormat="false" ht="34" hidden="false" customHeight="true" outlineLevel="0" collapsed="false">
      <c r="A299" s="15" t="s">
        <v>2409</v>
      </c>
      <c r="B299" s="15" t="s">
        <v>1299</v>
      </c>
      <c r="C299" s="15" t="s">
        <v>2410</v>
      </c>
      <c r="D299" s="15" t="s">
        <v>2411</v>
      </c>
      <c r="E299" s="16" t="str">
        <f aca="false">HYPERLINK("#'Forrásszöveg'!A"&amp;(MATCH("TV-S0290",Forrásszöveg!$A$6:$A$2497,0)+5),"8. § (4) eleje")</f>
        <v>8. § (4) eleje</v>
      </c>
      <c r="F299" s="16" t="str">
        <f aca="false">HYPERLINK("https://net.jogtar.hu/jogszabaly?docid=a2400069.tv#pr294id","Jogtár megnyitása")</f>
        <v>Jogtár megnyitása</v>
      </c>
    </row>
    <row r="300" customFormat="false" ht="38" hidden="false" customHeight="true" outlineLevel="0" collapsed="false">
      <c r="A300" s="15" t="s">
        <v>2412</v>
      </c>
      <c r="B300" s="15" t="s">
        <v>1299</v>
      </c>
      <c r="C300" s="15" t="s">
        <v>2413</v>
      </c>
      <c r="D300" s="15" t="s">
        <v>2414</v>
      </c>
      <c r="E300" s="16" t="str">
        <f aca="false">HYPERLINK("#'Forrásszöveg'!A"&amp;(MATCH("TV-S0290",Forrásszöveg!$A$6:$A$2497,0)+5),"8. § (4) eleje")</f>
        <v>8. § (4) eleje</v>
      </c>
      <c r="F300" s="16" t="str">
        <f aca="false">HYPERLINK("https://net.jogtar.hu/jogszabaly?docid=a2400069.tv#pr295id","Jogtár megnyitása")</f>
        <v>Jogtár megnyitása</v>
      </c>
    </row>
    <row r="301" customFormat="false" ht="80" hidden="false" customHeight="true" outlineLevel="0" collapsed="false">
      <c r="A301" s="15" t="s">
        <v>2415</v>
      </c>
      <c r="B301" s="15" t="s">
        <v>1299</v>
      </c>
      <c r="C301" s="15" t="s">
        <v>2416</v>
      </c>
      <c r="D301" s="15" t="s">
        <v>2417</v>
      </c>
      <c r="E301" s="16" t="str">
        <f aca="false">HYPERLINK("#'Forrásszöveg'!A"&amp;(MATCH("TV-S0290",Forrásszöveg!$A$6:$A$2497,0)+5),"8. § (4) eleje")</f>
        <v>8. § (4) eleje</v>
      </c>
      <c r="F301" s="16" t="str">
        <f aca="false">HYPERLINK("https://net.jogtar.hu/jogszabaly?docid=a2400069.tv#pr296id","Jogtár megnyitása")</f>
        <v>Jogtár megnyitása</v>
      </c>
    </row>
    <row r="302" customFormat="false" ht="80" hidden="false" customHeight="true" outlineLevel="0" collapsed="false">
      <c r="A302" s="15" t="s">
        <v>2418</v>
      </c>
      <c r="B302" s="15" t="s">
        <v>1299</v>
      </c>
      <c r="C302" s="15" t="s">
        <v>2419</v>
      </c>
      <c r="D302" s="15" t="s">
        <v>2420</v>
      </c>
      <c r="E302" s="16" t="str">
        <f aca="false">HYPERLINK("#'Forrásszöveg'!A"&amp;(MATCH("TV-S0297",Forrásszöveg!$A$6:$A$2497,0)+5),"8. § (5) eleje")</f>
        <v>8. § (5) eleje</v>
      </c>
      <c r="F302" s="16" t="str">
        <f aca="false">HYPERLINK("https://net.jogtar.hu/jogszabaly?docid=a2400069.tv#pr297id","Jogtár megnyitása")</f>
        <v>Jogtár megnyitása</v>
      </c>
    </row>
    <row r="303" customFormat="false" ht="34" hidden="false" customHeight="true" outlineLevel="0" collapsed="false">
      <c r="A303" s="15" t="s">
        <v>2421</v>
      </c>
      <c r="B303" s="15" t="s">
        <v>1299</v>
      </c>
      <c r="C303" s="15" t="s">
        <v>2422</v>
      </c>
      <c r="D303" s="15" t="s">
        <v>2423</v>
      </c>
      <c r="E303" s="16" t="str">
        <f aca="false">HYPERLINK("#'Forrásszöveg'!A"&amp;(MATCH("TV-S0298",Forrásszöveg!$A$6:$A$2497,0)+5),"8. § (6) eleje")</f>
        <v>8. § (6) eleje</v>
      </c>
      <c r="F303" s="16" t="str">
        <f aca="false">HYPERLINK("https://net.jogtar.hu/jogszabaly?docid=a2400069.tv#pr298id","Jogtár megnyitása")</f>
        <v>Jogtár megnyitása</v>
      </c>
    </row>
    <row r="304" customFormat="false" ht="34" hidden="false" customHeight="true" outlineLevel="0" collapsed="false">
      <c r="A304" s="15" t="s">
        <v>2424</v>
      </c>
      <c r="B304" s="15" t="s">
        <v>1299</v>
      </c>
      <c r="C304" s="15" t="s">
        <v>2425</v>
      </c>
      <c r="D304" s="15" t="s">
        <v>2426</v>
      </c>
      <c r="E304" s="16" t="str">
        <f aca="false">HYPERLINK("#'Forrásszöveg'!A"&amp;(MATCH("TV-S0298",Forrásszöveg!$A$6:$A$2497,0)+5),"8. § (6) eleje")</f>
        <v>8. § (6) eleje</v>
      </c>
      <c r="F304" s="16" t="str">
        <f aca="false">HYPERLINK("https://net.jogtar.hu/jogszabaly?docid=a2400069.tv#pr299id","Jogtár megnyitása")</f>
        <v>Jogtár megnyitása</v>
      </c>
    </row>
    <row r="305" customFormat="false" ht="34" hidden="false" customHeight="true" outlineLevel="0" collapsed="false">
      <c r="A305" s="15" t="s">
        <v>2427</v>
      </c>
      <c r="B305" s="15" t="s">
        <v>1299</v>
      </c>
      <c r="C305" s="15" t="s">
        <v>2428</v>
      </c>
      <c r="D305" s="15" t="s">
        <v>2429</v>
      </c>
      <c r="E305" s="16" t="str">
        <f aca="false">HYPERLINK("#'Forrásszöveg'!A"&amp;(MATCH("TV-S0298",Forrásszöveg!$A$6:$A$2497,0)+5),"8. § (6) eleje")</f>
        <v>8. § (6) eleje</v>
      </c>
      <c r="F305" s="16" t="str">
        <f aca="false">HYPERLINK("https://net.jogtar.hu/jogszabaly?docid=a2400069.tv#pr300id","Jogtár megnyitása")</f>
        <v>Jogtár megnyitása</v>
      </c>
    </row>
    <row r="306" customFormat="false" ht="34" hidden="false" customHeight="true" outlineLevel="0" collapsed="false">
      <c r="A306" s="15" t="s">
        <v>2430</v>
      </c>
      <c r="B306" s="15" t="s">
        <v>1299</v>
      </c>
      <c r="C306" s="15" t="s">
        <v>2431</v>
      </c>
      <c r="D306" s="15" t="s">
        <v>2432</v>
      </c>
      <c r="E306" s="16" t="str">
        <f aca="false">HYPERLINK("#'Forrásszöveg'!A"&amp;(MATCH("TV-S0298",Forrásszöveg!$A$6:$A$2497,0)+5),"8. § (6) eleje")</f>
        <v>8. § (6) eleje</v>
      </c>
      <c r="F306" s="16" t="str">
        <f aca="false">HYPERLINK("https://net.jogtar.hu/jogszabaly?docid=a2400069.tv#pr301id","Jogtár megnyitása")</f>
        <v>Jogtár megnyitása</v>
      </c>
    </row>
    <row r="307" customFormat="false" ht="38" hidden="false" customHeight="true" outlineLevel="0" collapsed="false">
      <c r="A307" s="15" t="s">
        <v>2433</v>
      </c>
      <c r="B307" s="15" t="s">
        <v>1299</v>
      </c>
      <c r="C307" s="15" t="s">
        <v>2434</v>
      </c>
      <c r="D307" s="15" t="s">
        <v>2435</v>
      </c>
      <c r="E307" s="16" t="str">
        <f aca="false">HYPERLINK("#'Forrásszöveg'!A"&amp;(MATCH("TV-S0298",Forrásszöveg!$A$6:$A$2497,0)+5),"8. § (6) eleje")</f>
        <v>8. § (6) eleje</v>
      </c>
      <c r="F307" s="16" t="str">
        <f aca="false">HYPERLINK("https://net.jogtar.hu/jogszabaly?docid=a2400069.tv#pr302id","Jogtár megnyitása")</f>
        <v>Jogtár megnyitása</v>
      </c>
    </row>
    <row r="308" customFormat="false" ht="34" hidden="false" customHeight="true" outlineLevel="0" collapsed="false">
      <c r="A308" s="15" t="s">
        <v>2436</v>
      </c>
      <c r="B308" s="15" t="s">
        <v>1299</v>
      </c>
      <c r="C308" s="15" t="s">
        <v>2437</v>
      </c>
      <c r="D308" s="15" t="s">
        <v>2438</v>
      </c>
      <c r="E308" s="16" t="str">
        <f aca="false">HYPERLINK("#'Forrásszöveg'!A"&amp;(MATCH("TV-S0298",Forrásszöveg!$A$6:$A$2497,0)+5),"8. § (6) eleje")</f>
        <v>8. § (6) eleje</v>
      </c>
      <c r="F308" s="16" t="str">
        <f aca="false">HYPERLINK("https://net.jogtar.hu/jogszabaly?docid=a2400069.tv#pr303id","Jogtár megnyitása")</f>
        <v>Jogtár megnyitása</v>
      </c>
    </row>
    <row r="309" customFormat="false" ht="34" hidden="false" customHeight="true" outlineLevel="0" collapsed="false">
      <c r="A309" s="15" t="s">
        <v>2439</v>
      </c>
      <c r="B309" s="15" t="s">
        <v>1299</v>
      </c>
      <c r="C309" s="15" t="s">
        <v>2422</v>
      </c>
      <c r="D309" s="15" t="s">
        <v>2440</v>
      </c>
      <c r="E309" s="16" t="str">
        <f aca="false">HYPERLINK("#'Forrásszöveg'!A"&amp;(MATCH("TV-S0298",Forrásszöveg!$A$6:$A$2497,0)+5),"8. § (6) eleje")</f>
        <v>8. § (6) eleje</v>
      </c>
      <c r="F309" s="16" t="str">
        <f aca="false">HYPERLINK("https://net.jogtar.hu/jogszabaly?docid=a2400069.tv#pr304id","Jogtár megnyitása")</f>
        <v>Jogtár megnyitása</v>
      </c>
    </row>
    <row r="310" customFormat="false" ht="66" hidden="false" customHeight="true" outlineLevel="0" collapsed="false">
      <c r="A310" s="15" t="s">
        <v>2441</v>
      </c>
      <c r="B310" s="15" t="s">
        <v>1299</v>
      </c>
      <c r="C310" s="15" t="s">
        <v>2442</v>
      </c>
      <c r="D310" s="15" t="s">
        <v>91</v>
      </c>
      <c r="E310" s="16" t="str">
        <f aca="false">HYPERLINK("#'Forrásszöveg'!A"&amp;(MATCH("TV-S0305",Forrásszöveg!$A$6:$A$2497,0)+5),"8. § (6a) eleje")</f>
        <v>8. § (6a) eleje</v>
      </c>
      <c r="F310" s="16" t="str">
        <f aca="false">HYPERLINK("https://net.jogtar.hu/jogszabaly?docid=a2400069.tv#pr305id","Jogtár megnyitása")</f>
        <v>Jogtár megnyitása</v>
      </c>
    </row>
    <row r="311" customFormat="false" ht="80" hidden="false" customHeight="true" outlineLevel="0" collapsed="false">
      <c r="A311" s="15" t="s">
        <v>2443</v>
      </c>
      <c r="B311" s="15" t="s">
        <v>1299</v>
      </c>
      <c r="C311" s="15" t="s">
        <v>2444</v>
      </c>
      <c r="D311" s="15" t="s">
        <v>2445</v>
      </c>
      <c r="E311" s="16" t="str">
        <f aca="false">HYPERLINK("#'Forrásszöveg'!A"&amp;(MATCH("TV-S0306",Forrásszöveg!$A$6:$A$2497,0)+5),"8. § (7) eleje")</f>
        <v>8. § (7) eleje</v>
      </c>
      <c r="F311" s="16" t="str">
        <f aca="false">HYPERLINK("https://net.jogtar.hu/jogszabaly?docid=a2400069.tv#pr306id","Jogtár megnyitása")</f>
        <v>Jogtár megnyitása</v>
      </c>
    </row>
    <row r="312" customFormat="false" ht="34" hidden="false" customHeight="true" outlineLevel="0" collapsed="false">
      <c r="A312" s="15" t="s">
        <v>2446</v>
      </c>
      <c r="B312" s="15" t="s">
        <v>1299</v>
      </c>
      <c r="C312" s="15" t="s">
        <v>1317</v>
      </c>
      <c r="D312" s="15" t="s">
        <v>1317</v>
      </c>
      <c r="E312" s="16" t="str">
        <f aca="false">HYPERLINK("#'Forrásszöveg'!A"&amp;(MATCH("TV-S0285",Forrásszöveg!$A$6:$A$2497,0)+5),"8. § eleje")</f>
        <v>8. § eleje</v>
      </c>
      <c r="F312" s="16" t="str">
        <f aca="false">HYPERLINK("https://net.jogtar.hu/jogszabaly?docid=a2400069.tv#pr307id","Jogtár megnyitása")</f>
        <v>Jogtár megnyitása</v>
      </c>
    </row>
    <row r="313" customFormat="false" ht="66" hidden="false" customHeight="true" outlineLevel="0" collapsed="false">
      <c r="A313" s="15" t="s">
        <v>2447</v>
      </c>
      <c r="B313" s="15" t="s">
        <v>1299</v>
      </c>
      <c r="C313" s="15" t="s">
        <v>2448</v>
      </c>
      <c r="D313" s="15" t="s">
        <v>2449</v>
      </c>
      <c r="E313" s="16" t="str">
        <f aca="false">HYPERLINK("#'Forrásszöveg'!A"&amp;(MATCH("TV-S0308",Forrásszöveg!$A$6:$A$2497,0)+5),"9. § (1) eleje")</f>
        <v>9. § (1) eleje</v>
      </c>
      <c r="F313" s="16" t="str">
        <f aca="false">HYPERLINK("https://net.jogtar.hu/jogszabaly?docid=a2400069.tv#pr308id","Jogtár megnyitása")</f>
        <v>Jogtár megnyitása</v>
      </c>
    </row>
    <row r="314" customFormat="false" ht="66" hidden="false" customHeight="true" outlineLevel="0" collapsed="false">
      <c r="A314" s="15" t="s">
        <v>2450</v>
      </c>
      <c r="B314" s="15" t="s">
        <v>1299</v>
      </c>
      <c r="C314" s="15" t="s">
        <v>2451</v>
      </c>
      <c r="D314" s="15" t="s">
        <v>2452</v>
      </c>
      <c r="E314" s="16" t="str">
        <f aca="false">HYPERLINK("#'Forrásszöveg'!A"&amp;(MATCH("TV-S0309",Forrásszöveg!$A$6:$A$2497,0)+5),"9. § (2) eleje")</f>
        <v>9. § (2) eleje</v>
      </c>
      <c r="F314" s="16" t="str">
        <f aca="false">HYPERLINK("https://net.jogtar.hu/jogszabaly?docid=a2400069.tv#pr309id","Jogtár megnyitása")</f>
        <v>Jogtár megnyitása</v>
      </c>
    </row>
    <row r="315" customFormat="false" ht="38" hidden="false" customHeight="true" outlineLevel="0" collapsed="false">
      <c r="A315" s="15" t="s">
        <v>2453</v>
      </c>
      <c r="B315" s="15" t="s">
        <v>1299</v>
      </c>
      <c r="C315" s="15" t="s">
        <v>2454</v>
      </c>
      <c r="D315" s="15" t="s">
        <v>2455</v>
      </c>
      <c r="E315" s="16" t="str">
        <f aca="false">HYPERLINK("#'Forrásszöveg'!A"&amp;(MATCH("TV-S0310",Forrásszöveg!$A$6:$A$2497,0)+5),"9. § (3) eleje")</f>
        <v>9. § (3) eleje</v>
      </c>
      <c r="F315" s="16" t="str">
        <f aca="false">HYPERLINK("https://net.jogtar.hu/jogszabaly?docid=a2400069.tv#pr310id","Jogtár megnyitása")</f>
        <v>Jogtár megnyitása</v>
      </c>
    </row>
    <row r="316" customFormat="false" ht="66" hidden="false" customHeight="true" outlineLevel="0" collapsed="false">
      <c r="A316" s="15" t="s">
        <v>2456</v>
      </c>
      <c r="B316" s="15" t="s">
        <v>1299</v>
      </c>
      <c r="C316" s="15" t="s">
        <v>2457</v>
      </c>
      <c r="D316" s="15" t="s">
        <v>2458</v>
      </c>
      <c r="E316" s="16" t="str">
        <f aca="false">HYPERLINK("#'Forrásszöveg'!A"&amp;(MATCH("TV-S0311",Forrásszöveg!$A$6:$A$2497,0)+5),"9. § (4) eleje")</f>
        <v>9. § (4) eleje</v>
      </c>
      <c r="F316" s="16" t="str">
        <f aca="false">HYPERLINK("https://net.jogtar.hu/jogszabaly?docid=a2400069.tv#pr311id","Jogtár megnyitása")</f>
        <v>Jogtár megnyitása</v>
      </c>
    </row>
    <row r="317" customFormat="false" ht="38" hidden="false" customHeight="true" outlineLevel="0" collapsed="false">
      <c r="A317" s="15" t="s">
        <v>2459</v>
      </c>
      <c r="B317" s="15" t="s">
        <v>1299</v>
      </c>
      <c r="C317" s="15" t="s">
        <v>2460</v>
      </c>
      <c r="D317" s="15" t="s">
        <v>2461</v>
      </c>
      <c r="E317" s="16" t="str">
        <f aca="false">HYPERLINK("#'Forrásszöveg'!A"&amp;(MATCH("TV-S0312",Forrásszöveg!$A$6:$A$2497,0)+5),"9. § (5) eleje")</f>
        <v>9. § (5) eleje</v>
      </c>
      <c r="F317" s="16" t="str">
        <f aca="false">HYPERLINK("https://net.jogtar.hu/jogszabaly?docid=a2400069.tv#pr312id","Jogtár megnyitása")</f>
        <v>Jogtár megnyitása</v>
      </c>
    </row>
    <row r="318" customFormat="false" ht="38" hidden="false" customHeight="true" outlineLevel="0" collapsed="false">
      <c r="A318" s="15" t="s">
        <v>2462</v>
      </c>
      <c r="B318" s="15" t="s">
        <v>1299</v>
      </c>
      <c r="C318" s="15" t="s">
        <v>1319</v>
      </c>
      <c r="D318" s="15" t="s">
        <v>1319</v>
      </c>
      <c r="E318" s="16" t="str">
        <f aca="false">HYPERLINK("#'Forrásszöveg'!A"&amp;(MATCH("TV-S0308",Forrásszöveg!$A$6:$A$2497,0)+5),"9. § eleje")</f>
        <v>9. § eleje</v>
      </c>
      <c r="F318" s="16" t="str">
        <f aca="false">HYPERLINK("https://net.jogtar.hu/jogszabaly?docid=a2400069.tv#pr313id","Jogtár megnyitása")</f>
        <v>Jogtár megnyitása</v>
      </c>
    </row>
    <row r="319" customFormat="false" ht="80" hidden="false" customHeight="true" outlineLevel="0" collapsed="false">
      <c r="A319" s="15" t="s">
        <v>2463</v>
      </c>
      <c r="B319" s="15" t="s">
        <v>1299</v>
      </c>
      <c r="C319" s="15" t="s">
        <v>2464</v>
      </c>
      <c r="D319" s="15" t="s">
        <v>2465</v>
      </c>
      <c r="E319" s="16" t="str">
        <f aca="false">HYPERLINK("#'Forrásszöveg'!A"&amp;(MATCH("TV-S0314",Forrásszöveg!$A$6:$A$2497,0)+5),"10. § (1) eleje")</f>
        <v>10. § (1) eleje</v>
      </c>
      <c r="F319" s="16" t="str">
        <f aca="false">HYPERLINK("https://net.jogtar.hu/jogszabaly?docid=a2400069.tv#pr314id","Jogtár megnyitása")</f>
        <v>Jogtár megnyitása</v>
      </c>
    </row>
    <row r="320" customFormat="false" ht="52" hidden="false" customHeight="true" outlineLevel="0" collapsed="false">
      <c r="A320" s="15" t="s">
        <v>2466</v>
      </c>
      <c r="B320" s="15" t="s">
        <v>1299</v>
      </c>
      <c r="C320" s="15" t="s">
        <v>2467</v>
      </c>
      <c r="D320" s="15" t="s">
        <v>2468</v>
      </c>
      <c r="E320" s="16" t="str">
        <f aca="false">HYPERLINK("#'Forrásszöveg'!A"&amp;(MATCH("TV-S0315",Forrásszöveg!$A$6:$A$2497,0)+5),"10. § (2) eleje")</f>
        <v>10. § (2) eleje</v>
      </c>
      <c r="F320" s="16" t="str">
        <f aca="false">HYPERLINK("https://net.jogtar.hu/jogszabaly?docid=a2400069.tv#pr315id","Jogtár megnyitása")</f>
        <v>Jogtár megnyitása</v>
      </c>
    </row>
    <row r="321" customFormat="false" ht="38" hidden="false" customHeight="true" outlineLevel="0" collapsed="false">
      <c r="A321" s="15" t="s">
        <v>2469</v>
      </c>
      <c r="B321" s="15" t="s">
        <v>1299</v>
      </c>
      <c r="C321" s="15" t="s">
        <v>2470</v>
      </c>
      <c r="D321" s="15" t="s">
        <v>2471</v>
      </c>
      <c r="E321" s="16" t="str">
        <f aca="false">HYPERLINK("#'Forrásszöveg'!A"&amp;(MATCH("TV-S0316",Forrásszöveg!$A$6:$A$2497,0)+5),"10. § (3) eleje")</f>
        <v>10. § (3) eleje</v>
      </c>
      <c r="F321" s="16" t="str">
        <f aca="false">HYPERLINK("https://net.jogtar.hu/jogszabaly?docid=a2400069.tv#pr316id","Jogtár megnyitása")</f>
        <v>Jogtár megnyitása</v>
      </c>
    </row>
    <row r="322" customFormat="false" ht="52" hidden="false" customHeight="true" outlineLevel="0" collapsed="false">
      <c r="A322" s="15" t="s">
        <v>2472</v>
      </c>
      <c r="B322" s="15" t="s">
        <v>1299</v>
      </c>
      <c r="C322" s="15" t="s">
        <v>2473</v>
      </c>
      <c r="D322" s="15" t="s">
        <v>2474</v>
      </c>
      <c r="E322" s="16" t="str">
        <f aca="false">HYPERLINK("#'Forrásszöveg'!A"&amp;(MATCH("TV-S0317",Forrásszöveg!$A$6:$A$2497,0)+5),"10. § (4) eleje")</f>
        <v>10. § (4) eleje</v>
      </c>
      <c r="F322" s="16" t="str">
        <f aca="false">HYPERLINK("https://net.jogtar.hu/jogszabaly?docid=a2400069.tv#pr317id","Jogtár megnyitása")</f>
        <v>Jogtár megnyitása</v>
      </c>
    </row>
    <row r="323" customFormat="false" ht="80" hidden="false" customHeight="true" outlineLevel="0" collapsed="false">
      <c r="A323" s="15" t="s">
        <v>2475</v>
      </c>
      <c r="B323" s="15" t="s">
        <v>1299</v>
      </c>
      <c r="C323" s="15" t="s">
        <v>2476</v>
      </c>
      <c r="D323" s="15" t="s">
        <v>2477</v>
      </c>
      <c r="E323" s="16" t="str">
        <f aca="false">HYPERLINK("#'Forrásszöveg'!A"&amp;(MATCH("TV-S0318",Forrásszöveg!$A$6:$A$2497,0)+5),"10. § (5) eleje")</f>
        <v>10. § (5) eleje</v>
      </c>
      <c r="F323" s="16" t="str">
        <f aca="false">HYPERLINK("https://net.jogtar.hu/jogszabaly?docid=a2400069.tv#pr318id","Jogtár megnyitása")</f>
        <v>Jogtár megnyitása</v>
      </c>
    </row>
    <row r="324" customFormat="false" ht="66" hidden="false" customHeight="true" outlineLevel="0" collapsed="false">
      <c r="A324" s="15" t="s">
        <v>2478</v>
      </c>
      <c r="B324" s="15" t="s">
        <v>1299</v>
      </c>
      <c r="C324" s="15" t="s">
        <v>2479</v>
      </c>
      <c r="D324" s="15" t="s">
        <v>2480</v>
      </c>
      <c r="E324" s="16" t="str">
        <f aca="false">HYPERLINK("#'Forrásszöveg'!A"&amp;(MATCH("TV-S0319",Forrásszöveg!$A$6:$A$2497,0)+5),"10. § (6) eleje")</f>
        <v>10. § (6) eleje</v>
      </c>
      <c r="F324" s="16" t="str">
        <f aca="false">HYPERLINK("https://net.jogtar.hu/jogszabaly?docid=a2400069.tv#pr319id","Jogtár megnyitása")</f>
        <v>Jogtár megnyitása</v>
      </c>
    </row>
    <row r="325" customFormat="false" ht="38" hidden="false" customHeight="true" outlineLevel="0" collapsed="false">
      <c r="A325" s="15" t="s">
        <v>2481</v>
      </c>
      <c r="B325" s="15" t="s">
        <v>1299</v>
      </c>
      <c r="C325" s="15" t="s">
        <v>2482</v>
      </c>
      <c r="D325" s="15" t="s">
        <v>2483</v>
      </c>
      <c r="E325" s="16" t="str">
        <f aca="false">HYPERLINK("#'Forrásszöveg'!A"&amp;(MATCH("TV-S0320",Forrásszöveg!$A$6:$A$2497,0)+5),"10. § (7) eleje")</f>
        <v>10. § (7) eleje</v>
      </c>
      <c r="F325" s="16" t="str">
        <f aca="false">HYPERLINK("https://net.jogtar.hu/jogszabaly?docid=a2400069.tv#pr320id","Jogtár megnyitása")</f>
        <v>Jogtár megnyitása</v>
      </c>
    </row>
    <row r="326" customFormat="false" ht="52" hidden="false" customHeight="true" outlineLevel="0" collapsed="false">
      <c r="A326" s="15" t="s">
        <v>2484</v>
      </c>
      <c r="B326" s="15" t="s">
        <v>1299</v>
      </c>
      <c r="C326" s="15" t="s">
        <v>1321</v>
      </c>
      <c r="D326" s="15" t="s">
        <v>1321</v>
      </c>
      <c r="E326" s="16" t="str">
        <f aca="false">HYPERLINK("#'Forrásszöveg'!A"&amp;(MATCH("TV-S0314",Forrásszöveg!$A$6:$A$2497,0)+5),"10. § eleje")</f>
        <v>10. § eleje</v>
      </c>
      <c r="F326" s="16" t="str">
        <f aca="false">HYPERLINK("https://net.jogtar.hu/jogszabaly?docid=a2400069.tv#pr321id","Jogtár megnyitása")</f>
        <v>Jogtár megnyitása</v>
      </c>
    </row>
    <row r="327" customFormat="false" ht="66" hidden="false" customHeight="true" outlineLevel="0" collapsed="false">
      <c r="A327" s="15" t="s">
        <v>2485</v>
      </c>
      <c r="B327" s="15" t="s">
        <v>1299</v>
      </c>
      <c r="C327" s="15" t="s">
        <v>2486</v>
      </c>
      <c r="D327" s="15" t="s">
        <v>2487</v>
      </c>
      <c r="E327" s="16" t="str">
        <f aca="false">HYPERLINK("#'Forrásszöveg'!A"&amp;(MATCH("TV-S0322",Forrásszöveg!$A$6:$A$2497,0)+5),"11. § (1) eleje")</f>
        <v>11. § (1) eleje</v>
      </c>
      <c r="F327" s="16" t="str">
        <f aca="false">HYPERLINK("https://net.jogtar.hu/jogszabaly?docid=a2400069.tv#pr322id","Jogtár megnyitása")</f>
        <v>Jogtár megnyitása</v>
      </c>
    </row>
    <row r="328" customFormat="false" ht="52" hidden="false" customHeight="true" outlineLevel="0" collapsed="false">
      <c r="A328" s="15" t="s">
        <v>2488</v>
      </c>
      <c r="B328" s="15" t="s">
        <v>1299</v>
      </c>
      <c r="C328" s="15" t="s">
        <v>2489</v>
      </c>
      <c r="D328" s="15" t="s">
        <v>2490</v>
      </c>
      <c r="E328" s="16" t="str">
        <f aca="false">HYPERLINK("#'Forrásszöveg'!A"&amp;(MATCH("TV-S0323",Forrásszöveg!$A$6:$A$2497,0)+5),"11. § (2) eleje")</f>
        <v>11. § (2) eleje</v>
      </c>
      <c r="F328" s="16" t="str">
        <f aca="false">HYPERLINK("https://net.jogtar.hu/jogszabaly?docid=a2400069.tv#pr323id","Jogtár megnyitása")</f>
        <v>Jogtár megnyitása</v>
      </c>
    </row>
    <row r="329" customFormat="false" ht="34" hidden="false" customHeight="true" outlineLevel="0" collapsed="false">
      <c r="A329" s="15" t="s">
        <v>2491</v>
      </c>
      <c r="B329" s="15" t="s">
        <v>1299</v>
      </c>
      <c r="C329" s="15" t="s">
        <v>2492</v>
      </c>
      <c r="D329" s="15" t="s">
        <v>2493</v>
      </c>
      <c r="E329" s="16" t="str">
        <f aca="false">HYPERLINK("#'Forrásszöveg'!A"&amp;(MATCH("TV-S0324",Forrásszöveg!$A$6:$A$2497,0)+5),"11. § (3) eleje")</f>
        <v>11. § (3) eleje</v>
      </c>
      <c r="F329" s="16" t="str">
        <f aca="false">HYPERLINK("https://net.jogtar.hu/jogszabaly?docid=a2400069.tv#pr324id","Jogtár megnyitása")</f>
        <v>Jogtár megnyitása</v>
      </c>
    </row>
    <row r="330" customFormat="false" ht="34" hidden="false" customHeight="true" outlineLevel="0" collapsed="false">
      <c r="A330" s="15" t="s">
        <v>2494</v>
      </c>
      <c r="B330" s="15" t="s">
        <v>1299</v>
      </c>
      <c r="C330" s="15" t="s">
        <v>2495</v>
      </c>
      <c r="D330" s="15" t="s">
        <v>2496</v>
      </c>
      <c r="E330" s="16" t="str">
        <f aca="false">HYPERLINK("#'Forrásszöveg'!A"&amp;(MATCH("TV-S0324",Forrásszöveg!$A$6:$A$2497,0)+5),"11. § (3) eleje")</f>
        <v>11. § (3) eleje</v>
      </c>
      <c r="F330" s="16" t="str">
        <f aca="false">HYPERLINK("https://net.jogtar.hu/jogszabaly?docid=a2400069.tv#pr325id","Jogtár megnyitása")</f>
        <v>Jogtár megnyitása</v>
      </c>
    </row>
    <row r="331" customFormat="false" ht="66" hidden="false" customHeight="true" outlineLevel="0" collapsed="false">
      <c r="A331" s="15" t="s">
        <v>2497</v>
      </c>
      <c r="B331" s="15" t="s">
        <v>1299</v>
      </c>
      <c r="C331" s="15" t="s">
        <v>2498</v>
      </c>
      <c r="D331" s="15" t="s">
        <v>2499</v>
      </c>
      <c r="E331" s="16" t="str">
        <f aca="false">HYPERLINK("#'Forrásszöveg'!A"&amp;(MATCH("TV-S0324",Forrásszöveg!$A$6:$A$2497,0)+5),"11. § (3) eleje")</f>
        <v>11. § (3) eleje</v>
      </c>
      <c r="F331" s="16" t="str">
        <f aca="false">HYPERLINK("https://net.jogtar.hu/jogszabaly?docid=a2400069.tv#pr326id","Jogtár megnyitása")</f>
        <v>Jogtár megnyitása</v>
      </c>
    </row>
    <row r="332" customFormat="false" ht="52" hidden="false" customHeight="true" outlineLevel="0" collapsed="false">
      <c r="A332" s="15" t="s">
        <v>2500</v>
      </c>
      <c r="B332" s="15" t="s">
        <v>1299</v>
      </c>
      <c r="C332" s="15" t="s">
        <v>2501</v>
      </c>
      <c r="D332" s="15" t="s">
        <v>2502</v>
      </c>
      <c r="E332" s="16" t="str">
        <f aca="false">HYPERLINK("#'Forrásszöveg'!A"&amp;(MATCH("TV-S0324",Forrásszöveg!$A$6:$A$2497,0)+5),"11. § (3) eleje")</f>
        <v>11. § (3) eleje</v>
      </c>
      <c r="F332" s="16" t="str">
        <f aca="false">HYPERLINK("https://net.jogtar.hu/jogszabaly?docid=a2400069.tv#pr327id","Jogtár megnyitása")</f>
        <v>Jogtár megnyitása</v>
      </c>
    </row>
    <row r="333" customFormat="false" ht="34" hidden="false" customHeight="true" outlineLevel="0" collapsed="false">
      <c r="A333" s="15" t="s">
        <v>2503</v>
      </c>
      <c r="B333" s="15" t="s">
        <v>1299</v>
      </c>
      <c r="C333" s="15" t="s">
        <v>2504</v>
      </c>
      <c r="D333" s="15" t="s">
        <v>2505</v>
      </c>
      <c r="E333" s="16" t="str">
        <f aca="false">HYPERLINK("#'Forrásszöveg'!A"&amp;(MATCH("TV-S0324",Forrásszöveg!$A$6:$A$2497,0)+5),"11. § (3) eleje")</f>
        <v>11. § (3) eleje</v>
      </c>
      <c r="F333" s="16" t="str">
        <f aca="false">HYPERLINK("https://net.jogtar.hu/jogszabaly?docid=a2400069.tv#pr328id","Jogtár megnyitása")</f>
        <v>Jogtár megnyitása</v>
      </c>
    </row>
    <row r="334" customFormat="false" ht="66" hidden="false" customHeight="true" outlineLevel="0" collapsed="false">
      <c r="A334" s="15" t="s">
        <v>2506</v>
      </c>
      <c r="B334" s="15" t="s">
        <v>1299</v>
      </c>
      <c r="C334" s="15" t="s">
        <v>2507</v>
      </c>
      <c r="D334" s="15" t="s">
        <v>97</v>
      </c>
      <c r="E334" s="16" t="str">
        <f aca="false">HYPERLINK("#'Forrásszöveg'!A"&amp;(MATCH("TV-S0329",Forrásszöveg!$A$6:$A$2497,0)+5),"11. § (4) eleje")</f>
        <v>11. § (4) eleje</v>
      </c>
      <c r="F334" s="16" t="str">
        <f aca="false">HYPERLINK("https://net.jogtar.hu/jogszabaly?docid=a2400069.tv#pr329id","Jogtár megnyitása")</f>
        <v>Jogtár megnyitása</v>
      </c>
    </row>
    <row r="335" customFormat="false" ht="34" hidden="false" customHeight="true" outlineLevel="0" collapsed="false">
      <c r="A335" s="15" t="s">
        <v>2508</v>
      </c>
      <c r="B335" s="15" t="s">
        <v>1299</v>
      </c>
      <c r="C335" s="15" t="s">
        <v>2509</v>
      </c>
      <c r="D335" s="15" t="s">
        <v>2510</v>
      </c>
      <c r="E335" s="16" t="str">
        <f aca="false">HYPERLINK("#'Forrásszöveg'!A"&amp;(MATCH("TV-S0330",Forrásszöveg!$A$6:$A$2497,0)+5),"11. § (5) eleje")</f>
        <v>11. § (5) eleje</v>
      </c>
      <c r="F335" s="16" t="str">
        <f aca="false">HYPERLINK("https://net.jogtar.hu/jogszabaly?docid=a2400069.tv#pr330id","Jogtár megnyitása")</f>
        <v>Jogtár megnyitása</v>
      </c>
    </row>
    <row r="336" customFormat="false" ht="34" hidden="false" customHeight="true" outlineLevel="0" collapsed="false">
      <c r="A336" s="15" t="s">
        <v>2511</v>
      </c>
      <c r="B336" s="15" t="s">
        <v>1299</v>
      </c>
      <c r="C336" s="15" t="s">
        <v>2512</v>
      </c>
      <c r="D336" s="15" t="s">
        <v>2513</v>
      </c>
      <c r="E336" s="16" t="str">
        <f aca="false">HYPERLINK("#'Forrásszöveg'!A"&amp;(MATCH("TV-S0330",Forrásszöveg!$A$6:$A$2497,0)+5),"11. § (5) eleje")</f>
        <v>11. § (5) eleje</v>
      </c>
      <c r="F336" s="16" t="str">
        <f aca="false">HYPERLINK("https://net.jogtar.hu/jogszabaly?docid=a2400069.tv#pr331id","Jogtár megnyitása")</f>
        <v>Jogtár megnyitása</v>
      </c>
    </row>
    <row r="337" customFormat="false" ht="34" hidden="false" customHeight="true" outlineLevel="0" collapsed="false">
      <c r="A337" s="15" t="s">
        <v>2514</v>
      </c>
      <c r="B337" s="15" t="s">
        <v>1299</v>
      </c>
      <c r="C337" s="15" t="s">
        <v>2515</v>
      </c>
      <c r="D337" s="15" t="s">
        <v>2516</v>
      </c>
      <c r="E337" s="16" t="str">
        <f aca="false">HYPERLINK("#'Forrásszöveg'!A"&amp;(MATCH("TV-S0330",Forrásszöveg!$A$6:$A$2497,0)+5),"11. § (5) eleje")</f>
        <v>11. § (5) eleje</v>
      </c>
      <c r="F337" s="16" t="str">
        <f aca="false">HYPERLINK("https://net.jogtar.hu/jogszabaly?docid=a2400069.tv#pr332id","Jogtár megnyitása")</f>
        <v>Jogtár megnyitása</v>
      </c>
    </row>
    <row r="338" customFormat="false" ht="34" hidden="false" customHeight="true" outlineLevel="0" collapsed="false">
      <c r="A338" s="15" t="s">
        <v>2517</v>
      </c>
      <c r="B338" s="15" t="s">
        <v>1299</v>
      </c>
      <c r="C338" s="15" t="s">
        <v>2518</v>
      </c>
      <c r="D338" s="15" t="s">
        <v>2519</v>
      </c>
      <c r="E338" s="16" t="str">
        <f aca="false">HYPERLINK("#'Forrásszöveg'!A"&amp;(MATCH("TV-S0333",Forrásszöveg!$A$6:$A$2497,0)+5),"11. § (6) eleje")</f>
        <v>11. § (6) eleje</v>
      </c>
      <c r="F338" s="16" t="str">
        <f aca="false">HYPERLINK("https://net.jogtar.hu/jogszabaly?docid=a2400069.tv#pr333id","Jogtár megnyitása")</f>
        <v>Jogtár megnyitása</v>
      </c>
    </row>
    <row r="339" customFormat="false" ht="34" hidden="false" customHeight="true" outlineLevel="0" collapsed="false">
      <c r="A339" s="15" t="s">
        <v>2520</v>
      </c>
      <c r="B339" s="15" t="s">
        <v>1299</v>
      </c>
      <c r="C339" s="15" t="s">
        <v>2521</v>
      </c>
      <c r="D339" s="15" t="s">
        <v>2522</v>
      </c>
      <c r="E339" s="16" t="str">
        <f aca="false">HYPERLINK("#'Forrásszöveg'!A"&amp;(MATCH("TV-S0333",Forrásszöveg!$A$6:$A$2497,0)+5),"11. § (6) eleje")</f>
        <v>11. § (6) eleje</v>
      </c>
      <c r="F339" s="16" t="str">
        <f aca="false">HYPERLINK("https://net.jogtar.hu/jogszabaly?docid=a2400069.tv#pr334id","Jogtár megnyitása")</f>
        <v>Jogtár megnyitása</v>
      </c>
    </row>
    <row r="340" customFormat="false" ht="38" hidden="false" customHeight="true" outlineLevel="0" collapsed="false">
      <c r="A340" s="15" t="s">
        <v>2523</v>
      </c>
      <c r="B340" s="15" t="s">
        <v>1299</v>
      </c>
      <c r="C340" s="15" t="s">
        <v>2524</v>
      </c>
      <c r="D340" s="15" t="s">
        <v>2525</v>
      </c>
      <c r="E340" s="16" t="str">
        <f aca="false">HYPERLINK("#'Forrásszöveg'!A"&amp;(MATCH("TV-S0333",Forrásszöveg!$A$6:$A$2497,0)+5),"11. § (6) eleje")</f>
        <v>11. § (6) eleje</v>
      </c>
      <c r="F340" s="16" t="str">
        <f aca="false">HYPERLINK("https://net.jogtar.hu/jogszabaly?docid=a2400069.tv#pr335id","Jogtár megnyitása")</f>
        <v>Jogtár megnyitása</v>
      </c>
    </row>
    <row r="341" customFormat="false" ht="38" hidden="false" customHeight="true" outlineLevel="0" collapsed="false">
      <c r="A341" s="15" t="s">
        <v>2526</v>
      </c>
      <c r="B341" s="15" t="s">
        <v>1299</v>
      </c>
      <c r="C341" s="15" t="s">
        <v>2527</v>
      </c>
      <c r="D341" s="15" t="s">
        <v>2528</v>
      </c>
      <c r="E341" s="16" t="str">
        <f aca="false">HYPERLINK("#'Forrásszöveg'!A"&amp;(MATCH("TV-S0333",Forrásszöveg!$A$6:$A$2497,0)+5),"11. § (6) eleje")</f>
        <v>11. § (6) eleje</v>
      </c>
      <c r="F341" s="16" t="str">
        <f aca="false">HYPERLINK("https://net.jogtar.hu/jogszabaly?docid=a2400069.tv#pr336id","Jogtár megnyitása")</f>
        <v>Jogtár megnyitása</v>
      </c>
    </row>
    <row r="342" customFormat="false" ht="38" hidden="false" customHeight="true" outlineLevel="0" collapsed="false">
      <c r="A342" s="15" t="s">
        <v>2529</v>
      </c>
      <c r="B342" s="15" t="s">
        <v>1299</v>
      </c>
      <c r="C342" s="15" t="s">
        <v>2530</v>
      </c>
      <c r="D342" s="15" t="s">
        <v>2531</v>
      </c>
      <c r="E342" s="16" t="str">
        <f aca="false">HYPERLINK("#'Forrásszöveg'!A"&amp;(MATCH("TV-S0333",Forrásszöveg!$A$6:$A$2497,0)+5),"11. § (6) eleje")</f>
        <v>11. § (6) eleje</v>
      </c>
      <c r="F342" s="16" t="str">
        <f aca="false">HYPERLINK("https://net.jogtar.hu/jogszabaly?docid=a2400069.tv#pr337id","Jogtár megnyitása")</f>
        <v>Jogtár megnyitása</v>
      </c>
    </row>
    <row r="343" customFormat="false" ht="52" hidden="false" customHeight="true" outlineLevel="0" collapsed="false">
      <c r="A343" s="15" t="s">
        <v>2532</v>
      </c>
      <c r="B343" s="15" t="s">
        <v>1299</v>
      </c>
      <c r="C343" s="15" t="s">
        <v>2533</v>
      </c>
      <c r="D343" s="15" t="s">
        <v>2534</v>
      </c>
      <c r="E343" s="16" t="str">
        <f aca="false">HYPERLINK("#'Forrásszöveg'!A"&amp;(MATCH("TV-S0338",Forrásszöveg!$A$6:$A$2497,0)+5),"11. § (7) eleje")</f>
        <v>11. § (7) eleje</v>
      </c>
      <c r="F343" s="16" t="str">
        <f aca="false">HYPERLINK("https://net.jogtar.hu/jogszabaly?docid=a2400069.tv#pr338id","Jogtár megnyitása")</f>
        <v>Jogtár megnyitása</v>
      </c>
    </row>
    <row r="344" customFormat="false" ht="38" hidden="false" customHeight="true" outlineLevel="0" collapsed="false">
      <c r="A344" s="15" t="s">
        <v>2535</v>
      </c>
      <c r="B344" s="15" t="s">
        <v>1299</v>
      </c>
      <c r="C344" s="15" t="s">
        <v>2536</v>
      </c>
      <c r="D344" s="15" t="s">
        <v>2537</v>
      </c>
      <c r="E344" s="16" t="str">
        <f aca="false">HYPERLINK("#'Forrásszöveg'!A"&amp;(MATCH("TV-S0339",Forrásszöveg!$A$6:$A$2497,0)+5),"11. § (8) eleje")</f>
        <v>11. § (8) eleje</v>
      </c>
      <c r="F344" s="16" t="str">
        <f aca="false">HYPERLINK("https://net.jogtar.hu/jogszabaly?docid=a2400069.tv#pr339id","Jogtár megnyitása")</f>
        <v>Jogtár megnyitása</v>
      </c>
    </row>
    <row r="345" customFormat="false" ht="80" hidden="false" customHeight="true" outlineLevel="0" collapsed="false">
      <c r="A345" s="15" t="s">
        <v>2538</v>
      </c>
      <c r="B345" s="15" t="s">
        <v>1299</v>
      </c>
      <c r="C345" s="15" t="s">
        <v>2539</v>
      </c>
      <c r="D345" s="15" t="s">
        <v>2540</v>
      </c>
      <c r="E345" s="16" t="str">
        <f aca="false">HYPERLINK("#'Forrásszöveg'!A"&amp;(MATCH("TV-S0340",Forrásszöveg!$A$6:$A$2497,0)+5),"11. § (9) eleje")</f>
        <v>11. § (9) eleje</v>
      </c>
      <c r="F345" s="16" t="str">
        <f aca="false">HYPERLINK("https://net.jogtar.hu/jogszabaly?docid=a2400069.tv#pr340id","Jogtár megnyitása")</f>
        <v>Jogtár megnyitása</v>
      </c>
    </row>
    <row r="346" customFormat="false" ht="94" hidden="false" customHeight="true" outlineLevel="0" collapsed="false">
      <c r="A346" s="15" t="s">
        <v>2541</v>
      </c>
      <c r="B346" s="15" t="s">
        <v>1299</v>
      </c>
      <c r="C346" s="15" t="s">
        <v>2542</v>
      </c>
      <c r="D346" s="15" t="s">
        <v>2543</v>
      </c>
      <c r="E346" s="16" t="str">
        <f aca="false">HYPERLINK("#'Forrásszöveg'!A"&amp;(MATCH("TV-S0341",Forrásszöveg!$A$6:$A$2497,0)+5),"11. § (10) eleje")</f>
        <v>11. § (10) eleje</v>
      </c>
      <c r="F346" s="16" t="str">
        <f aca="false">HYPERLINK("https://net.jogtar.hu/jogszabaly?docid=a2400069.tv#pr341id","Jogtár megnyitása")</f>
        <v>Jogtár megnyitása</v>
      </c>
    </row>
    <row r="347" customFormat="false" ht="52" hidden="false" customHeight="true" outlineLevel="0" collapsed="false">
      <c r="A347" s="15" t="s">
        <v>2544</v>
      </c>
      <c r="B347" s="15" t="s">
        <v>1299</v>
      </c>
      <c r="C347" s="15" t="s">
        <v>2545</v>
      </c>
      <c r="D347" s="15" t="s">
        <v>2546</v>
      </c>
      <c r="E347" s="16" t="str">
        <f aca="false">HYPERLINK("#'Forrásszöveg'!A"&amp;(MATCH("TV-S0342",Forrásszöveg!$A$6:$A$2497,0)+5),"11. § (11) eleje")</f>
        <v>11. § (11) eleje</v>
      </c>
      <c r="F347" s="16" t="str">
        <f aca="false">HYPERLINK("https://net.jogtar.hu/jogszabaly?docid=a2400069.tv#pr342id","Jogtár megnyitása")</f>
        <v>Jogtár megnyitása</v>
      </c>
    </row>
    <row r="348" customFormat="false" ht="66" hidden="false" customHeight="true" outlineLevel="0" collapsed="false">
      <c r="A348" s="15" t="s">
        <v>2547</v>
      </c>
      <c r="B348" s="15" t="s">
        <v>1299</v>
      </c>
      <c r="C348" s="15" t="s">
        <v>2548</v>
      </c>
      <c r="D348" s="15" t="s">
        <v>2549</v>
      </c>
      <c r="E348" s="16" t="str">
        <f aca="false">HYPERLINK("#'Forrásszöveg'!A"&amp;(MATCH("TV-S0343",Forrásszöveg!$A$6:$A$2497,0)+5),"11. § (12) eleje")</f>
        <v>11. § (12) eleje</v>
      </c>
      <c r="F348" s="16" t="str">
        <f aca="false">HYPERLINK("https://net.jogtar.hu/jogszabaly?docid=a2400069.tv#pr343id","Jogtár megnyitása")</f>
        <v>Jogtár megnyitása</v>
      </c>
    </row>
    <row r="349" customFormat="false" ht="38" hidden="false" customHeight="true" outlineLevel="0" collapsed="false">
      <c r="A349" s="15" t="s">
        <v>2550</v>
      </c>
      <c r="B349" s="15" t="s">
        <v>1299</v>
      </c>
      <c r="C349" s="15" t="s">
        <v>2551</v>
      </c>
      <c r="D349" s="15" t="s">
        <v>2552</v>
      </c>
      <c r="E349" s="16" t="str">
        <f aca="false">HYPERLINK("#'Forrásszöveg'!A"&amp;(MATCH("TV-S0344",Forrásszöveg!$A$6:$A$2497,0)+5),"11. § (13) eleje")</f>
        <v>11. § (13) eleje</v>
      </c>
      <c r="F349" s="16" t="str">
        <f aca="false">HYPERLINK("https://net.jogtar.hu/jogszabaly?docid=a2400069.tv#pr344id","Jogtár megnyitása")</f>
        <v>Jogtár megnyitása</v>
      </c>
    </row>
    <row r="350" customFormat="false" ht="52" hidden="false" customHeight="true" outlineLevel="0" collapsed="false">
      <c r="A350" s="15" t="s">
        <v>2553</v>
      </c>
      <c r="B350" s="15" t="s">
        <v>1299</v>
      </c>
      <c r="C350" s="15" t="s">
        <v>2554</v>
      </c>
      <c r="D350" s="15" t="s">
        <v>2555</v>
      </c>
      <c r="E350" s="16" t="str">
        <f aca="false">HYPERLINK("#'Forrásszöveg'!A"&amp;(MATCH("TV-S0345",Forrásszöveg!$A$6:$A$2497,0)+5),"11. § (14) eleje")</f>
        <v>11. § (14) eleje</v>
      </c>
      <c r="F350" s="16" t="str">
        <f aca="false">HYPERLINK("https://net.jogtar.hu/jogszabaly?docid=a2400069.tv#pr345id","Jogtár megnyitása")</f>
        <v>Jogtár megnyitása</v>
      </c>
    </row>
    <row r="351" customFormat="false" ht="38" hidden="false" customHeight="true" outlineLevel="0" collapsed="false">
      <c r="A351" s="15" t="s">
        <v>2556</v>
      </c>
      <c r="B351" s="15" t="s">
        <v>1299</v>
      </c>
      <c r="C351" s="15" t="s">
        <v>2557</v>
      </c>
      <c r="D351" s="15" t="s">
        <v>2558</v>
      </c>
      <c r="E351" s="16" t="str">
        <f aca="false">HYPERLINK("#'Forrásszöveg'!A"&amp;(MATCH("TV-S0346",Forrásszöveg!$A$6:$A$2497,0)+5),"11. § (15) eleje")</f>
        <v>11. § (15) eleje</v>
      </c>
      <c r="F351" s="16" t="str">
        <f aca="false">HYPERLINK("https://net.jogtar.hu/jogszabaly?docid=a2400069.tv#pr346id","Jogtár megnyitása")</f>
        <v>Jogtár megnyitása</v>
      </c>
    </row>
    <row r="352" customFormat="false" ht="52" hidden="false" customHeight="true" outlineLevel="0" collapsed="false">
      <c r="A352" s="15" t="s">
        <v>2559</v>
      </c>
      <c r="B352" s="15" t="s">
        <v>1299</v>
      </c>
      <c r="C352" s="15" t="s">
        <v>2560</v>
      </c>
      <c r="D352" s="15" t="s">
        <v>2561</v>
      </c>
      <c r="E352" s="16" t="str">
        <f aca="false">HYPERLINK("#'Forrásszöveg'!A"&amp;(MATCH("TV-S0347",Forrásszöveg!$A$6:$A$2497,0)+5),"11. § (16) eleje")</f>
        <v>11. § (16) eleje</v>
      </c>
      <c r="F352" s="16" t="str">
        <f aca="false">HYPERLINK("https://net.jogtar.hu/jogszabaly?docid=a2400069.tv#pr347id","Jogtár megnyitása")</f>
        <v>Jogtár megnyitása</v>
      </c>
    </row>
    <row r="353" customFormat="false" ht="52" hidden="false" customHeight="true" outlineLevel="0" collapsed="false">
      <c r="A353" s="15" t="s">
        <v>2562</v>
      </c>
      <c r="B353" s="15" t="s">
        <v>1299</v>
      </c>
      <c r="C353" s="15" t="s">
        <v>1323</v>
      </c>
      <c r="D353" s="15" t="s">
        <v>1323</v>
      </c>
      <c r="E353" s="16" t="str">
        <f aca="false">HYPERLINK("#'Forrásszöveg'!A"&amp;(MATCH("TV-S0322",Forrásszöveg!$A$6:$A$2497,0)+5),"11. § eleje")</f>
        <v>11. § eleje</v>
      </c>
      <c r="F353" s="16" t="str">
        <f aca="false">HYPERLINK("https://net.jogtar.hu/jogszabaly?docid=a2400069.tv#pr348id","Jogtár megnyitása")</f>
        <v>Jogtár megnyitása</v>
      </c>
    </row>
    <row r="354" customFormat="false" ht="38" hidden="false" customHeight="true" outlineLevel="0" collapsed="false">
      <c r="A354" s="15" t="s">
        <v>2563</v>
      </c>
      <c r="B354" s="15" t="s">
        <v>1299</v>
      </c>
      <c r="C354" s="15" t="s">
        <v>2564</v>
      </c>
      <c r="D354" s="15" t="s">
        <v>2565</v>
      </c>
      <c r="E354" s="16" t="str">
        <f aca="false">HYPERLINK("#'Forrásszöveg'!A"&amp;(MATCH("TV-S0349",Forrásszöveg!$A$6:$A$2497,0)+5),"12. § (1) eleje")</f>
        <v>12. § (1) eleje</v>
      </c>
      <c r="F354" s="16" t="str">
        <f aca="false">HYPERLINK("https://net.jogtar.hu/jogszabaly?docid=a2400069.tv#pr349id","Jogtár megnyitása")</f>
        <v>Jogtár megnyitása</v>
      </c>
    </row>
    <row r="355" customFormat="false" ht="34" hidden="false" customHeight="true" outlineLevel="0" collapsed="false">
      <c r="A355" s="15" t="s">
        <v>2566</v>
      </c>
      <c r="B355" s="15" t="s">
        <v>1299</v>
      </c>
      <c r="C355" s="15" t="s">
        <v>2564</v>
      </c>
      <c r="D355" s="15" t="s">
        <v>2567</v>
      </c>
      <c r="E355" s="16" t="str">
        <f aca="false">HYPERLINK("#'Forrásszöveg'!A"&amp;(MATCH("TV-S0349",Forrásszöveg!$A$6:$A$2497,0)+5),"12. § (1) eleje")</f>
        <v>12. § (1) eleje</v>
      </c>
      <c r="F355" s="16" t="str">
        <f aca="false">HYPERLINK("https://net.jogtar.hu/jogszabaly?docid=a2400069.tv#pr350id","Jogtár megnyitása")</f>
        <v>Jogtár megnyitása</v>
      </c>
    </row>
    <row r="356" customFormat="false" ht="38" hidden="false" customHeight="true" outlineLevel="0" collapsed="false">
      <c r="A356" s="15" t="s">
        <v>2568</v>
      </c>
      <c r="B356" s="15" t="s">
        <v>1299</v>
      </c>
      <c r="C356" s="15" t="s">
        <v>2569</v>
      </c>
      <c r="D356" s="15" t="s">
        <v>2570</v>
      </c>
      <c r="E356" s="16" t="str">
        <f aca="false">HYPERLINK("#'Forrásszöveg'!A"&amp;(MATCH("TV-S0349",Forrásszöveg!$A$6:$A$2497,0)+5),"12. § (1) eleje")</f>
        <v>12. § (1) eleje</v>
      </c>
      <c r="F356" s="16" t="str">
        <f aca="false">HYPERLINK("https://net.jogtar.hu/jogszabaly?docid=a2400069.tv#pr351id","Jogtár megnyitása")</f>
        <v>Jogtár megnyitása</v>
      </c>
    </row>
    <row r="357" customFormat="false" ht="34" hidden="false" customHeight="true" outlineLevel="0" collapsed="false">
      <c r="A357" s="15" t="s">
        <v>2571</v>
      </c>
      <c r="B357" s="15" t="s">
        <v>1299</v>
      </c>
      <c r="C357" s="15" t="s">
        <v>2572</v>
      </c>
      <c r="D357" s="15" t="s">
        <v>2573</v>
      </c>
      <c r="E357" s="16" t="str">
        <f aca="false">HYPERLINK("#'Forrásszöveg'!A"&amp;(MATCH("TV-S0352",Forrásszöveg!$A$6:$A$2497,0)+5),"12. § (2) eleje")</f>
        <v>12. § (2) eleje</v>
      </c>
      <c r="F357" s="16" t="str">
        <f aca="false">HYPERLINK("https://net.jogtar.hu/jogszabaly?docid=a2400069.tv#pr352id","Jogtár megnyitása")</f>
        <v>Jogtár megnyitása</v>
      </c>
    </row>
    <row r="358" customFormat="false" ht="38" hidden="false" customHeight="true" outlineLevel="0" collapsed="false">
      <c r="A358" s="15" t="s">
        <v>2574</v>
      </c>
      <c r="B358" s="15" t="s">
        <v>1299</v>
      </c>
      <c r="C358" s="15" t="s">
        <v>2575</v>
      </c>
      <c r="D358" s="15" t="s">
        <v>2576</v>
      </c>
      <c r="E358" s="16" t="str">
        <f aca="false">HYPERLINK("#'Forrásszöveg'!A"&amp;(MATCH("TV-S0352",Forrásszöveg!$A$6:$A$2497,0)+5),"12. § (2) eleje")</f>
        <v>12. § (2) eleje</v>
      </c>
      <c r="F358" s="16" t="str">
        <f aca="false">HYPERLINK("https://net.jogtar.hu/jogszabaly?docid=a2400069.tv#pr353id","Jogtár megnyitása")</f>
        <v>Jogtár megnyitása</v>
      </c>
    </row>
    <row r="359" customFormat="false" ht="52" hidden="false" customHeight="true" outlineLevel="0" collapsed="false">
      <c r="A359" s="15" t="s">
        <v>2577</v>
      </c>
      <c r="B359" s="15" t="s">
        <v>1299</v>
      </c>
      <c r="C359" s="15" t="s">
        <v>2578</v>
      </c>
      <c r="D359" s="15" t="s">
        <v>2579</v>
      </c>
      <c r="E359" s="16" t="str">
        <f aca="false">HYPERLINK("#'Forrásszöveg'!A"&amp;(MATCH("TV-S0352",Forrásszöveg!$A$6:$A$2497,0)+5),"12. § (2) eleje")</f>
        <v>12. § (2) eleje</v>
      </c>
      <c r="F359" s="16" t="str">
        <f aca="false">HYPERLINK("https://net.jogtar.hu/jogszabaly?docid=a2400069.tv#pr354id","Jogtár megnyitása")</f>
        <v>Jogtár megnyitása</v>
      </c>
    </row>
    <row r="360" customFormat="false" ht="34" hidden="false" customHeight="true" outlineLevel="0" collapsed="false">
      <c r="A360" s="15" t="s">
        <v>2580</v>
      </c>
      <c r="B360" s="15" t="s">
        <v>1299</v>
      </c>
      <c r="C360" s="15" t="s">
        <v>2572</v>
      </c>
      <c r="D360" s="15" t="s">
        <v>2581</v>
      </c>
      <c r="E360" s="16" t="str">
        <f aca="false">HYPERLINK("#'Forrásszöveg'!A"&amp;(MATCH("TV-S0352",Forrásszöveg!$A$6:$A$2497,0)+5),"12. § (2) eleje")</f>
        <v>12. § (2) eleje</v>
      </c>
      <c r="F360" s="16" t="str">
        <f aca="false">HYPERLINK("https://net.jogtar.hu/jogszabaly?docid=a2400069.tv#pr355id","Jogtár megnyitása")</f>
        <v>Jogtár megnyitása</v>
      </c>
    </row>
    <row r="361" customFormat="false" ht="52" hidden="false" customHeight="true" outlineLevel="0" collapsed="false">
      <c r="A361" s="15" t="s">
        <v>2582</v>
      </c>
      <c r="B361" s="15" t="s">
        <v>1299</v>
      </c>
      <c r="C361" s="15" t="s">
        <v>1325</v>
      </c>
      <c r="D361" s="15" t="s">
        <v>1325</v>
      </c>
      <c r="E361" s="16" t="str">
        <f aca="false">HYPERLINK("#'Forrásszöveg'!A"&amp;(MATCH("TV-S0349",Forrásszöveg!$A$6:$A$2497,0)+5),"12. § eleje")</f>
        <v>12. § eleje</v>
      </c>
      <c r="F361" s="16" t="str">
        <f aca="false">HYPERLINK("https://net.jogtar.hu/jogszabaly?docid=a2400069.tv#pr356id","Jogtár megnyitása")</f>
        <v>Jogtár megnyitása</v>
      </c>
    </row>
    <row r="362" customFormat="false" ht="52" hidden="false" customHeight="true" outlineLevel="0" collapsed="false">
      <c r="A362" s="15" t="s">
        <v>2583</v>
      </c>
      <c r="B362" s="15" t="s">
        <v>1299</v>
      </c>
      <c r="C362" s="15" t="s">
        <v>2584</v>
      </c>
      <c r="D362" s="15" t="s">
        <v>2585</v>
      </c>
      <c r="E362" s="16" t="str">
        <f aca="false">HYPERLINK("#'Forrásszöveg'!A"&amp;(MATCH("TV-S0357",Forrásszöveg!$A$6:$A$2497,0)+5),"13. § (1) eleje")</f>
        <v>13. § (1) eleje</v>
      </c>
      <c r="F362" s="16" t="str">
        <f aca="false">HYPERLINK("https://net.jogtar.hu/jogszabaly?docid=a2400069.tv#pr357id","Jogtár megnyitása")</f>
        <v>Jogtár megnyitása</v>
      </c>
    </row>
    <row r="363" customFormat="false" ht="34" hidden="false" customHeight="true" outlineLevel="0" collapsed="false">
      <c r="A363" s="15" t="s">
        <v>2586</v>
      </c>
      <c r="B363" s="15" t="s">
        <v>1299</v>
      </c>
      <c r="C363" s="15" t="s">
        <v>2587</v>
      </c>
      <c r="D363" s="15" t="s">
        <v>2588</v>
      </c>
      <c r="E363" s="16" t="str">
        <f aca="false">HYPERLINK("#'Forrásszöveg'!A"&amp;(MATCH("TV-S0357",Forrásszöveg!$A$6:$A$2497,0)+5),"13. § (1) eleje")</f>
        <v>13. § (1) eleje</v>
      </c>
      <c r="F363" s="16" t="str">
        <f aca="false">HYPERLINK("https://net.jogtar.hu/jogszabaly?docid=a2400069.tv#pr358id","Jogtár megnyitása")</f>
        <v>Jogtár megnyitása</v>
      </c>
    </row>
    <row r="364" customFormat="false" ht="34" hidden="false" customHeight="true" outlineLevel="0" collapsed="false">
      <c r="A364" s="15" t="s">
        <v>2589</v>
      </c>
      <c r="B364" s="15" t="s">
        <v>1299</v>
      </c>
      <c r="C364" s="15" t="s">
        <v>2590</v>
      </c>
      <c r="D364" s="15" t="s">
        <v>2591</v>
      </c>
      <c r="E364" s="16" t="str">
        <f aca="false">HYPERLINK("#'Forrásszöveg'!A"&amp;(MATCH("TV-S0357",Forrásszöveg!$A$6:$A$2497,0)+5),"13. § (1) eleje")</f>
        <v>13. § (1) eleje</v>
      </c>
      <c r="F364" s="16" t="str">
        <f aca="false">HYPERLINK("https://net.jogtar.hu/jogszabaly?docid=a2400069.tv#pr359id","Jogtár megnyitása")</f>
        <v>Jogtár megnyitása</v>
      </c>
    </row>
    <row r="365" customFormat="false" ht="52" hidden="false" customHeight="true" outlineLevel="0" collapsed="false">
      <c r="A365" s="15" t="s">
        <v>2592</v>
      </c>
      <c r="B365" s="15" t="s">
        <v>1299</v>
      </c>
      <c r="C365" s="15" t="s">
        <v>2593</v>
      </c>
      <c r="D365" s="15" t="s">
        <v>2594</v>
      </c>
      <c r="E365" s="16" t="str">
        <f aca="false">HYPERLINK("#'Forrásszöveg'!A"&amp;(MATCH("TV-S0360",Forrásszöveg!$A$6:$A$2497,0)+5),"13. § (2) eleje")</f>
        <v>13. § (2) eleje</v>
      </c>
      <c r="F365" s="16" t="str">
        <f aca="false">HYPERLINK("https://net.jogtar.hu/jogszabaly?docid=a2400069.tv#pr360id","Jogtár megnyitása")</f>
        <v>Jogtár megnyitása</v>
      </c>
    </row>
    <row r="366" customFormat="false" ht="66" hidden="false" customHeight="true" outlineLevel="0" collapsed="false">
      <c r="A366" s="15" t="s">
        <v>2595</v>
      </c>
      <c r="B366" s="15" t="s">
        <v>1299</v>
      </c>
      <c r="C366" s="15" t="s">
        <v>2596</v>
      </c>
      <c r="D366" s="15" t="s">
        <v>2597</v>
      </c>
      <c r="E366" s="16" t="str">
        <f aca="false">HYPERLINK("#'Forrásszöveg'!A"&amp;(MATCH("TV-S0361",Forrásszöveg!$A$6:$A$2497,0)+5),"13. § (3) eleje")</f>
        <v>13. § (3) eleje</v>
      </c>
      <c r="F366" s="16" t="str">
        <f aca="false">HYPERLINK("https://net.jogtar.hu/jogszabaly?docid=a2400069.tv#pr361id","Jogtár megnyitása")</f>
        <v>Jogtár megnyitása</v>
      </c>
    </row>
    <row r="367" customFormat="false" ht="34" hidden="false" customHeight="true" outlineLevel="0" collapsed="false">
      <c r="A367" s="15" t="s">
        <v>2598</v>
      </c>
      <c r="B367" s="15" t="s">
        <v>1299</v>
      </c>
      <c r="C367" s="15" t="s">
        <v>2599</v>
      </c>
      <c r="D367" s="15" t="s">
        <v>2600</v>
      </c>
      <c r="E367" s="16" t="str">
        <f aca="false">HYPERLINK("#'Forrásszöveg'!A"&amp;(MATCH("TV-S0361",Forrásszöveg!$A$6:$A$2497,0)+5),"13. § (3) eleje")</f>
        <v>13. § (3) eleje</v>
      </c>
      <c r="F367" s="16" t="str">
        <f aca="false">HYPERLINK("https://net.jogtar.hu/jogszabaly?docid=a2400069.tv#pr362id","Jogtár megnyitása")</f>
        <v>Jogtár megnyitása</v>
      </c>
    </row>
    <row r="368" customFormat="false" ht="52" hidden="false" customHeight="true" outlineLevel="0" collapsed="false">
      <c r="A368" s="15" t="s">
        <v>2601</v>
      </c>
      <c r="B368" s="15" t="s">
        <v>1299</v>
      </c>
      <c r="C368" s="15" t="s">
        <v>2602</v>
      </c>
      <c r="D368" s="15" t="s">
        <v>2603</v>
      </c>
      <c r="E368" s="16" t="str">
        <f aca="false">HYPERLINK("#'Forrásszöveg'!A"&amp;(MATCH("TV-S0361",Forrásszöveg!$A$6:$A$2497,0)+5),"13. § (3) eleje")</f>
        <v>13. § (3) eleje</v>
      </c>
      <c r="F368" s="16" t="str">
        <f aca="false">HYPERLINK("https://net.jogtar.hu/jogszabaly?docid=a2400069.tv#pr363id","Jogtár megnyitása")</f>
        <v>Jogtár megnyitása</v>
      </c>
    </row>
    <row r="369" customFormat="false" ht="52" hidden="false" customHeight="true" outlineLevel="0" collapsed="false">
      <c r="A369" s="15" t="s">
        <v>2604</v>
      </c>
      <c r="B369" s="15" t="s">
        <v>1299</v>
      </c>
      <c r="C369" s="15" t="s">
        <v>2605</v>
      </c>
      <c r="D369" s="15" t="s">
        <v>2606</v>
      </c>
      <c r="E369" s="16" t="str">
        <f aca="false">HYPERLINK("#'Forrásszöveg'!A"&amp;(MATCH("TV-S0364",Forrásszöveg!$A$6:$A$2497,0)+5),"13. § (4) eleje")</f>
        <v>13. § (4) eleje</v>
      </c>
      <c r="F369" s="16" t="str">
        <f aca="false">HYPERLINK("https://net.jogtar.hu/jogszabaly?docid=a2400069.tv#pr364id","Jogtár megnyitása")</f>
        <v>Jogtár megnyitása</v>
      </c>
    </row>
    <row r="370" customFormat="false" ht="38" hidden="false" customHeight="true" outlineLevel="0" collapsed="false">
      <c r="A370" s="15" t="s">
        <v>2607</v>
      </c>
      <c r="B370" s="15" t="s">
        <v>1299</v>
      </c>
      <c r="C370" s="15" t="s">
        <v>2608</v>
      </c>
      <c r="D370" s="15" t="s">
        <v>2609</v>
      </c>
      <c r="E370" s="16" t="str">
        <f aca="false">HYPERLINK("#'Forrásszöveg'!A"&amp;(MATCH("TV-S0365",Forrásszöveg!$A$6:$A$2497,0)+5),"13. § (5) eleje")</f>
        <v>13. § (5) eleje</v>
      </c>
      <c r="F370" s="16" t="str">
        <f aca="false">HYPERLINK("https://net.jogtar.hu/jogszabaly?docid=a2400069.tv#pr365id","Jogtár megnyitása")</f>
        <v>Jogtár megnyitása</v>
      </c>
    </row>
    <row r="371" customFormat="false" ht="38" hidden="false" customHeight="true" outlineLevel="0" collapsed="false">
      <c r="A371" s="15" t="s">
        <v>2610</v>
      </c>
      <c r="B371" s="15" t="s">
        <v>1299</v>
      </c>
      <c r="C371" s="15" t="s">
        <v>2611</v>
      </c>
      <c r="D371" s="15" t="s">
        <v>2612</v>
      </c>
      <c r="E371" s="16" t="str">
        <f aca="false">HYPERLINK("#'Forrásszöveg'!A"&amp;(MATCH("TV-S0366",Forrásszöveg!$A$6:$A$2497,0)+5),"13. § (6) eleje")</f>
        <v>13. § (6) eleje</v>
      </c>
      <c r="F371" s="16" t="str">
        <f aca="false">HYPERLINK("https://net.jogtar.hu/jogszabaly?docid=a2400069.tv#pr366id","Jogtár megnyitása")</f>
        <v>Jogtár megnyitása</v>
      </c>
    </row>
    <row r="372" customFormat="false" ht="34" hidden="false" customHeight="true" outlineLevel="0" collapsed="false">
      <c r="A372" s="15" t="s">
        <v>2613</v>
      </c>
      <c r="B372" s="15" t="s">
        <v>1299</v>
      </c>
      <c r="C372" s="15" t="s">
        <v>2614</v>
      </c>
      <c r="D372" s="15" t="s">
        <v>2615</v>
      </c>
      <c r="E372" s="16" t="str">
        <f aca="false">HYPERLINK("#'Forrásszöveg'!A"&amp;(MATCH("TV-S0367",Forrásszöveg!$A$6:$A$2497,0)+5),"13. § (7) eleje")</f>
        <v>13. § (7) eleje</v>
      </c>
      <c r="F372" s="16" t="str">
        <f aca="false">HYPERLINK("https://net.jogtar.hu/jogszabaly?docid=a2400069.tv#pr367id","Jogtár megnyitása")</f>
        <v>Jogtár megnyitása</v>
      </c>
    </row>
    <row r="373" customFormat="false" ht="52" hidden="false" customHeight="true" outlineLevel="0" collapsed="false">
      <c r="A373" s="15" t="s">
        <v>2616</v>
      </c>
      <c r="B373" s="15" t="s">
        <v>1299</v>
      </c>
      <c r="C373" s="15" t="s">
        <v>2617</v>
      </c>
      <c r="D373" s="15" t="s">
        <v>2618</v>
      </c>
      <c r="E373" s="16" t="str">
        <f aca="false">HYPERLINK("#'Forrásszöveg'!A"&amp;(MATCH("TV-S0368",Forrásszöveg!$A$6:$A$2497,0)+5),"13. § (8) eleje")</f>
        <v>13. § (8) eleje</v>
      </c>
      <c r="F373" s="16" t="str">
        <f aca="false">HYPERLINK("https://net.jogtar.hu/jogszabaly?docid=a2400069.tv#pr368id","Jogtár megnyitása")</f>
        <v>Jogtár megnyitása</v>
      </c>
    </row>
    <row r="374" customFormat="false" ht="66" hidden="false" customHeight="true" outlineLevel="0" collapsed="false">
      <c r="A374" s="15" t="s">
        <v>2619</v>
      </c>
      <c r="B374" s="15" t="s">
        <v>1299</v>
      </c>
      <c r="C374" s="15" t="s">
        <v>2620</v>
      </c>
      <c r="D374" s="15" t="s">
        <v>2621</v>
      </c>
      <c r="E374" s="16" t="str">
        <f aca="false">HYPERLINK("#'Forrásszöveg'!A"&amp;(MATCH("TV-S0369",Forrásszöveg!$A$6:$A$2497,0)+5),"13. § (9) eleje")</f>
        <v>13. § (9) eleje</v>
      </c>
      <c r="F374" s="16" t="str">
        <f aca="false">HYPERLINK("https://net.jogtar.hu/jogszabaly?docid=a2400069.tv#pr369id","Jogtár megnyitása")</f>
        <v>Jogtár megnyitása</v>
      </c>
    </row>
    <row r="375" customFormat="false" ht="38" hidden="false" customHeight="true" outlineLevel="0" collapsed="false">
      <c r="A375" s="15" t="s">
        <v>2622</v>
      </c>
      <c r="B375" s="15" t="s">
        <v>1299</v>
      </c>
      <c r="C375" s="15" t="s">
        <v>2623</v>
      </c>
      <c r="D375" s="15" t="s">
        <v>2624</v>
      </c>
      <c r="E375" s="16" t="str">
        <f aca="false">HYPERLINK("#'Forrásszöveg'!A"&amp;(MATCH("TV-S0370",Forrásszöveg!$A$6:$A$2497,0)+5),"13. § (10) eleje")</f>
        <v>13. § (10) eleje</v>
      </c>
      <c r="F375" s="16" t="str">
        <f aca="false">HYPERLINK("https://net.jogtar.hu/jogszabaly?docid=a2400069.tv#pr370id","Jogtár megnyitása")</f>
        <v>Jogtár megnyitása</v>
      </c>
    </row>
    <row r="376" customFormat="false" ht="66" hidden="false" customHeight="true" outlineLevel="0" collapsed="false">
      <c r="A376" s="15" t="s">
        <v>2625</v>
      </c>
      <c r="B376" s="15" t="s">
        <v>1299</v>
      </c>
      <c r="C376" s="15" t="s">
        <v>2626</v>
      </c>
      <c r="D376" s="15" t="s">
        <v>2627</v>
      </c>
      <c r="E376" s="16" t="str">
        <f aca="false">HYPERLINK("#'Forrásszöveg'!A"&amp;(MATCH("TV-S0371",Forrásszöveg!$A$6:$A$2497,0)+5),"13. § (11) eleje")</f>
        <v>13. § (11) eleje</v>
      </c>
      <c r="F376" s="16" t="str">
        <f aca="false">HYPERLINK("https://net.jogtar.hu/jogszabaly?docid=a2400069.tv#pr371id","Jogtár megnyitása")</f>
        <v>Jogtár megnyitása</v>
      </c>
    </row>
    <row r="377" customFormat="false" ht="38" hidden="false" customHeight="true" outlineLevel="0" collapsed="false">
      <c r="A377" s="15" t="s">
        <v>2628</v>
      </c>
      <c r="B377" s="15" t="s">
        <v>1299</v>
      </c>
      <c r="C377" s="15" t="s">
        <v>1326</v>
      </c>
      <c r="D377" s="15" t="s">
        <v>106</v>
      </c>
      <c r="E377" s="16" t="str">
        <f aca="false">HYPERLINK("#'Forrásszöveg'!A"&amp;(MATCH("TV-S0372",Forrásszöveg!$A$6:$A$2497,0)+5),"13/A. § eleje")</f>
        <v>13/A. § eleje</v>
      </c>
      <c r="F377" s="16" t="str">
        <f aca="false">HYPERLINK("https://net.jogtar.hu/jogszabaly?docid=a2400069.tv#pr372id","Jogtár megnyitása")</f>
        <v>Jogtár megnyitása</v>
      </c>
    </row>
    <row r="378" customFormat="false" ht="34" hidden="false" customHeight="true" outlineLevel="0" collapsed="false">
      <c r="A378" s="15" t="s">
        <v>2629</v>
      </c>
      <c r="B378" s="15" t="s">
        <v>1299</v>
      </c>
      <c r="C378" s="15" t="s">
        <v>2630</v>
      </c>
      <c r="D378" s="15" t="s">
        <v>2631</v>
      </c>
      <c r="E378" s="16" t="str">
        <f aca="false">HYPERLINK("#'Forrásszöveg'!A"&amp;(MATCH("TV-S0373",Forrásszöveg!$A$6:$A$2497,0)+5),"14. § (1) eleje")</f>
        <v>14. § (1) eleje</v>
      </c>
      <c r="F378" s="16" t="str">
        <f aca="false">HYPERLINK("https://net.jogtar.hu/jogszabaly?docid=a2400069.tv#pr373id","Jogtár megnyitása")</f>
        <v>Jogtár megnyitása</v>
      </c>
    </row>
    <row r="379" customFormat="false" ht="38" hidden="false" customHeight="true" outlineLevel="0" collapsed="false">
      <c r="A379" s="15" t="s">
        <v>2632</v>
      </c>
      <c r="B379" s="15" t="s">
        <v>1299</v>
      </c>
      <c r="C379" s="15" t="s">
        <v>2633</v>
      </c>
      <c r="D379" s="15" t="s">
        <v>2634</v>
      </c>
      <c r="E379" s="16" t="str">
        <f aca="false">HYPERLINK("#'Forrásszöveg'!A"&amp;(MATCH("TV-S0373",Forrásszöveg!$A$6:$A$2497,0)+5),"14. § (1) eleje")</f>
        <v>14. § (1) eleje</v>
      </c>
      <c r="F379" s="16" t="str">
        <f aca="false">HYPERLINK("https://net.jogtar.hu/jogszabaly?docid=a2400069.tv#pr374id","Jogtár megnyitása")</f>
        <v>Jogtár megnyitása</v>
      </c>
    </row>
    <row r="380" customFormat="false" ht="34" hidden="false" customHeight="true" outlineLevel="0" collapsed="false">
      <c r="A380" s="15" t="s">
        <v>2635</v>
      </c>
      <c r="B380" s="15" t="s">
        <v>1299</v>
      </c>
      <c r="C380" s="15" t="s">
        <v>2636</v>
      </c>
      <c r="D380" s="15" t="s">
        <v>2637</v>
      </c>
      <c r="E380" s="16" t="str">
        <f aca="false">HYPERLINK("#'Forrásszöveg'!A"&amp;(MATCH("TV-S0373",Forrásszöveg!$A$6:$A$2497,0)+5),"14. § (1) eleje")</f>
        <v>14. § (1) eleje</v>
      </c>
      <c r="F380" s="16" t="str">
        <f aca="false">HYPERLINK("https://net.jogtar.hu/jogszabaly?docid=a2400069.tv#pr375id","Jogtár megnyitása")</f>
        <v>Jogtár megnyitása</v>
      </c>
    </row>
    <row r="381" customFormat="false" ht="34" hidden="false" customHeight="true" outlineLevel="0" collapsed="false">
      <c r="A381" s="15" t="s">
        <v>2638</v>
      </c>
      <c r="B381" s="15" t="s">
        <v>1299</v>
      </c>
      <c r="C381" s="15" t="s">
        <v>2630</v>
      </c>
      <c r="D381" s="15" t="s">
        <v>2639</v>
      </c>
      <c r="E381" s="16" t="str">
        <f aca="false">HYPERLINK("#'Forrásszöveg'!A"&amp;(MATCH("TV-S0373",Forrásszöveg!$A$6:$A$2497,0)+5),"14. § (1) eleje")</f>
        <v>14. § (1) eleje</v>
      </c>
      <c r="F381" s="16" t="str">
        <f aca="false">HYPERLINK("https://net.jogtar.hu/jogszabaly?docid=a2400069.tv#pr376id","Jogtár megnyitása")</f>
        <v>Jogtár megnyitása</v>
      </c>
    </row>
    <row r="382" customFormat="false" ht="38" hidden="false" customHeight="true" outlineLevel="0" collapsed="false">
      <c r="A382" s="15" t="s">
        <v>2640</v>
      </c>
      <c r="B382" s="15" t="s">
        <v>1299</v>
      </c>
      <c r="C382" s="15" t="s">
        <v>2641</v>
      </c>
      <c r="D382" s="15" t="s">
        <v>2642</v>
      </c>
      <c r="E382" s="16" t="str">
        <f aca="false">HYPERLINK("#'Forrásszöveg'!A"&amp;(MATCH("TV-S0377",Forrásszöveg!$A$6:$A$2497,0)+5),"14. § (2) eleje")</f>
        <v>14. § (2) eleje</v>
      </c>
      <c r="F382" s="16" t="str">
        <f aca="false">HYPERLINK("https://net.jogtar.hu/jogszabaly?docid=a2400069.tv#pr377id","Jogtár megnyitása")</f>
        <v>Jogtár megnyitása</v>
      </c>
    </row>
    <row r="383" customFormat="false" ht="34" hidden="false" customHeight="true" outlineLevel="0" collapsed="false">
      <c r="A383" s="15" t="s">
        <v>2643</v>
      </c>
      <c r="B383" s="15" t="s">
        <v>1299</v>
      </c>
      <c r="C383" s="15" t="s">
        <v>2644</v>
      </c>
      <c r="D383" s="15" t="s">
        <v>2645</v>
      </c>
      <c r="E383" s="16" t="str">
        <f aca="false">HYPERLINK("#'Forrásszöveg'!A"&amp;(MATCH("TV-S0378",Forrásszöveg!$A$6:$A$2497,0)+5),"14. § (3) eleje")</f>
        <v>14. § (3) eleje</v>
      </c>
      <c r="F383" s="16" t="str">
        <f aca="false">HYPERLINK("https://net.jogtar.hu/jogszabaly?docid=a2400069.tv#pr378id","Jogtár megnyitása")</f>
        <v>Jogtár megnyitása</v>
      </c>
    </row>
    <row r="384" customFormat="false" ht="34" hidden="false" customHeight="true" outlineLevel="0" collapsed="false">
      <c r="A384" s="15" t="s">
        <v>2646</v>
      </c>
      <c r="B384" s="15" t="s">
        <v>1299</v>
      </c>
      <c r="C384" s="15" t="s">
        <v>2647</v>
      </c>
      <c r="D384" s="15" t="s">
        <v>2648</v>
      </c>
      <c r="E384" s="16" t="str">
        <f aca="false">HYPERLINK("#'Forrásszöveg'!A"&amp;(MATCH("TV-S0378",Forrásszöveg!$A$6:$A$2497,0)+5),"14. § (3) eleje")</f>
        <v>14. § (3) eleje</v>
      </c>
      <c r="F384" s="16" t="str">
        <f aca="false">HYPERLINK("https://net.jogtar.hu/jogszabaly?docid=a2400069.tv#pr379id","Jogtár megnyitása")</f>
        <v>Jogtár megnyitása</v>
      </c>
    </row>
    <row r="385" customFormat="false" ht="38" hidden="false" customHeight="true" outlineLevel="0" collapsed="false">
      <c r="A385" s="15" t="s">
        <v>2649</v>
      </c>
      <c r="B385" s="15" t="s">
        <v>1299</v>
      </c>
      <c r="C385" s="15" t="s">
        <v>2650</v>
      </c>
      <c r="D385" s="15" t="s">
        <v>2651</v>
      </c>
      <c r="E385" s="16" t="str">
        <f aca="false">HYPERLINK("#'Forrásszöveg'!A"&amp;(MATCH("TV-S0378",Forrásszöveg!$A$6:$A$2497,0)+5),"14. § (3) eleje")</f>
        <v>14. § (3) eleje</v>
      </c>
      <c r="F385" s="16" t="str">
        <f aca="false">HYPERLINK("https://net.jogtar.hu/jogszabaly?docid=a2400069.tv#pr380id","Jogtár megnyitása")</f>
        <v>Jogtár megnyitása</v>
      </c>
    </row>
    <row r="386" customFormat="false" ht="34" hidden="false" customHeight="true" outlineLevel="0" collapsed="false">
      <c r="A386" s="15" t="s">
        <v>2652</v>
      </c>
      <c r="B386" s="15" t="s">
        <v>1299</v>
      </c>
      <c r="C386" s="15" t="s">
        <v>2653</v>
      </c>
      <c r="D386" s="15" t="s">
        <v>2654</v>
      </c>
      <c r="E386" s="16" t="str">
        <f aca="false">HYPERLINK("#'Forrásszöveg'!A"&amp;(MATCH("TV-S0381",Forrásszöveg!$A$6:$A$2497,0)+5),"14. § (4) eleje")</f>
        <v>14. § (4) eleje</v>
      </c>
      <c r="F386" s="16" t="str">
        <f aca="false">HYPERLINK("https://net.jogtar.hu/jogszabaly?docid=a2400069.tv#pr381id","Jogtár megnyitása")</f>
        <v>Jogtár megnyitása</v>
      </c>
    </row>
    <row r="387" customFormat="false" ht="52" hidden="false" customHeight="true" outlineLevel="0" collapsed="false">
      <c r="A387" s="15" t="s">
        <v>2655</v>
      </c>
      <c r="B387" s="15" t="s">
        <v>1299</v>
      </c>
      <c r="C387" s="15" t="s">
        <v>2656</v>
      </c>
      <c r="D387" s="15" t="s">
        <v>2657</v>
      </c>
      <c r="E387" s="16" t="str">
        <f aca="false">HYPERLINK("#'Forrásszöveg'!A"&amp;(MATCH("TV-S0382",Forrásszöveg!$A$6:$A$2497,0)+5),"14. § (5) eleje")</f>
        <v>14. § (5) eleje</v>
      </c>
      <c r="F387" s="16" t="str">
        <f aca="false">HYPERLINK("https://net.jogtar.hu/jogszabaly?docid=a2400069.tv#pr382id","Jogtár megnyitása")</f>
        <v>Jogtár megnyitása</v>
      </c>
    </row>
    <row r="388" customFormat="false" ht="66" hidden="false" customHeight="true" outlineLevel="0" collapsed="false">
      <c r="A388" s="15" t="s">
        <v>2658</v>
      </c>
      <c r="B388" s="15" t="s">
        <v>1299</v>
      </c>
      <c r="C388" s="15" t="s">
        <v>2659</v>
      </c>
      <c r="D388" s="15" t="s">
        <v>2660</v>
      </c>
      <c r="E388" s="16" t="str">
        <f aca="false">HYPERLINK("#'Forrásszöveg'!A"&amp;(MATCH("TV-S0383",Forrásszöveg!$A$6:$A$2497,0)+5),"15. § (1) eleje")</f>
        <v>15. § (1) eleje</v>
      </c>
      <c r="F388" s="16" t="str">
        <f aca="false">HYPERLINK("https://net.jogtar.hu/jogszabaly?docid=a2400069.tv#pr383id","Jogtár megnyitása")</f>
        <v>Jogtár megnyitása</v>
      </c>
    </row>
    <row r="389" customFormat="false" ht="66" hidden="false" customHeight="true" outlineLevel="0" collapsed="false">
      <c r="A389" s="15" t="s">
        <v>2661</v>
      </c>
      <c r="B389" s="15" t="s">
        <v>1299</v>
      </c>
      <c r="C389" s="15" t="s">
        <v>2662</v>
      </c>
      <c r="D389" s="15" t="s">
        <v>2663</v>
      </c>
      <c r="E389" s="16" t="str">
        <f aca="false">HYPERLINK("#'Forrásszöveg'!A"&amp;(MATCH("TV-S0384",Forrásszöveg!$A$6:$A$2497,0)+5),"15. § (2) eleje")</f>
        <v>15. § (2) eleje</v>
      </c>
      <c r="F389" s="16" t="str">
        <f aca="false">HYPERLINK("https://net.jogtar.hu/jogszabaly?docid=a2400069.tv#pr384id","Jogtár megnyitása")</f>
        <v>Jogtár megnyitása</v>
      </c>
    </row>
    <row r="390" customFormat="false" ht="38" hidden="false" customHeight="true" outlineLevel="0" collapsed="false">
      <c r="A390" s="15" t="s">
        <v>2664</v>
      </c>
      <c r="B390" s="15" t="s">
        <v>1299</v>
      </c>
      <c r="C390" s="15" t="s">
        <v>2665</v>
      </c>
      <c r="D390" s="15" t="s">
        <v>2666</v>
      </c>
      <c r="E390" s="16" t="str">
        <f aca="false">HYPERLINK("#'Forrásszöveg'!A"&amp;(MATCH("TV-S0385",Forrásszöveg!$A$6:$A$2497,0)+5),"15. § (3) eleje")</f>
        <v>15. § (3) eleje</v>
      </c>
      <c r="F390" s="16" t="str">
        <f aca="false">HYPERLINK("https://net.jogtar.hu/jogszabaly?docid=a2400069.tv#pr385id","Jogtár megnyitása")</f>
        <v>Jogtár megnyitása</v>
      </c>
    </row>
    <row r="391" customFormat="false" ht="34" hidden="false" customHeight="true" outlineLevel="0" collapsed="false">
      <c r="A391" s="15" t="s">
        <v>2667</v>
      </c>
      <c r="B391" s="15" t="s">
        <v>1299</v>
      </c>
      <c r="C391" s="15" t="s">
        <v>1330</v>
      </c>
      <c r="D391" s="15" t="s">
        <v>1330</v>
      </c>
      <c r="E391" s="16" t="str">
        <f aca="false">HYPERLINK("#'Forrásszöveg'!A"&amp;(MATCH("TV-S0383",Forrásszöveg!$A$6:$A$2497,0)+5),"15. § eleje")</f>
        <v>15. § eleje</v>
      </c>
      <c r="F391" s="16" t="str">
        <f aca="false">HYPERLINK("https://net.jogtar.hu/jogszabaly?docid=a2400069.tv#pr386id","Jogtár megnyitása")</f>
        <v>Jogtár megnyitása</v>
      </c>
    </row>
    <row r="392" customFormat="false" ht="80" hidden="false" customHeight="true" outlineLevel="0" collapsed="false">
      <c r="A392" s="15" t="s">
        <v>2668</v>
      </c>
      <c r="B392" s="15" t="s">
        <v>1299</v>
      </c>
      <c r="C392" s="15" t="s">
        <v>2669</v>
      </c>
      <c r="D392" s="15" t="s">
        <v>112</v>
      </c>
      <c r="E392" s="16" t="str">
        <f aca="false">HYPERLINK("#'Forrásszöveg'!A"&amp;(MATCH("TV-S0387",Forrásszöveg!$A$6:$A$2497,0)+5),"16. § (1) eleje")</f>
        <v>16. § (1) eleje</v>
      </c>
      <c r="F392" s="16" t="str">
        <f aca="false">HYPERLINK("https://net.jogtar.hu/jogszabaly?docid=a2400069.tv#pr387id","Jogtár megnyitása")</f>
        <v>Jogtár megnyitása</v>
      </c>
    </row>
    <row r="393" customFormat="false" ht="34" hidden="false" customHeight="true" outlineLevel="0" collapsed="false">
      <c r="A393" s="15" t="s">
        <v>2670</v>
      </c>
      <c r="B393" s="15" t="s">
        <v>1299</v>
      </c>
      <c r="C393" s="15" t="s">
        <v>2671</v>
      </c>
      <c r="D393" s="15" t="s">
        <v>2672</v>
      </c>
      <c r="E393" s="16" t="str">
        <f aca="false">HYPERLINK("#'Forrásszöveg'!A"&amp;(MATCH("TV-S0388",Forrásszöveg!$A$6:$A$2497,0)+5),"16. § (2) eleje")</f>
        <v>16. § (2) eleje</v>
      </c>
      <c r="F393" s="16" t="str">
        <f aca="false">HYPERLINK("https://net.jogtar.hu/jogszabaly?docid=a2400069.tv#pr388id","Jogtár megnyitása")</f>
        <v>Jogtár megnyitása</v>
      </c>
    </row>
    <row r="394" customFormat="false" ht="38" hidden="false" customHeight="true" outlineLevel="0" collapsed="false">
      <c r="A394" s="15" t="s">
        <v>2673</v>
      </c>
      <c r="B394" s="15" t="s">
        <v>1299</v>
      </c>
      <c r="C394" s="15" t="s">
        <v>2674</v>
      </c>
      <c r="D394" s="15" t="s">
        <v>2675</v>
      </c>
      <c r="E394" s="16" t="str">
        <f aca="false">HYPERLINK("#'Forrásszöveg'!A"&amp;(MATCH("TV-S0388",Forrásszöveg!$A$6:$A$2497,0)+5),"16. § (2) eleje")</f>
        <v>16. § (2) eleje</v>
      </c>
      <c r="F394" s="16" t="str">
        <f aca="false">HYPERLINK("https://net.jogtar.hu/jogszabaly?docid=a2400069.tv#pr389id","Jogtár megnyitása")</f>
        <v>Jogtár megnyitása</v>
      </c>
    </row>
    <row r="395" customFormat="false" ht="34" hidden="false" customHeight="true" outlineLevel="0" collapsed="false">
      <c r="A395" s="15" t="s">
        <v>2676</v>
      </c>
      <c r="B395" s="15" t="s">
        <v>1299</v>
      </c>
      <c r="C395" s="15" t="s">
        <v>2677</v>
      </c>
      <c r="D395" s="15" t="s">
        <v>2678</v>
      </c>
      <c r="E395" s="16" t="str">
        <f aca="false">HYPERLINK("#'Forrásszöveg'!A"&amp;(MATCH("TV-S0388",Forrásszöveg!$A$6:$A$2497,0)+5),"16. § (2) eleje")</f>
        <v>16. § (2) eleje</v>
      </c>
      <c r="F395" s="16" t="str">
        <f aca="false">HYPERLINK("https://net.jogtar.hu/jogszabaly?docid=a2400069.tv#pr390id","Jogtár megnyitása")</f>
        <v>Jogtár megnyitása</v>
      </c>
    </row>
    <row r="396" customFormat="false" ht="34" hidden="false" customHeight="true" outlineLevel="0" collapsed="false">
      <c r="A396" s="15" t="s">
        <v>2679</v>
      </c>
      <c r="B396" s="15" t="s">
        <v>1299</v>
      </c>
      <c r="C396" s="15" t="s">
        <v>2680</v>
      </c>
      <c r="D396" s="15" t="s">
        <v>115</v>
      </c>
      <c r="E396" s="16" t="str">
        <f aca="false">HYPERLINK("#'Forrásszöveg'!A"&amp;(MATCH("TV-S0391",Forrásszöveg!$A$6:$A$2497,0)+5),"16. § (3) eleje")</f>
        <v>16. § (3) eleje</v>
      </c>
      <c r="F396" s="16" t="str">
        <f aca="false">HYPERLINK("https://net.jogtar.hu/jogszabaly?docid=a2400069.tv#pr391id","Jogtár megnyitása")</f>
        <v>Jogtár megnyitása</v>
      </c>
    </row>
    <row r="397" customFormat="false" ht="38" hidden="false" customHeight="true" outlineLevel="0" collapsed="false">
      <c r="A397" s="15" t="s">
        <v>2681</v>
      </c>
      <c r="B397" s="15" t="s">
        <v>1299</v>
      </c>
      <c r="C397" s="15" t="s">
        <v>2682</v>
      </c>
      <c r="D397" s="15" t="s">
        <v>2683</v>
      </c>
      <c r="E397" s="16" t="str">
        <f aca="false">HYPERLINK("#'Forrásszöveg'!A"&amp;(MATCH("TV-S0392",Forrásszöveg!$A$6:$A$2497,0)+5),"16. § (4) eleje")</f>
        <v>16. § (4) eleje</v>
      </c>
      <c r="F397" s="16" t="str">
        <f aca="false">HYPERLINK("https://net.jogtar.hu/jogszabaly?docid=a2400069.tv#pr392id","Jogtár megnyitása")</f>
        <v>Jogtár megnyitása</v>
      </c>
    </row>
    <row r="398" customFormat="false" ht="66" hidden="false" customHeight="true" outlineLevel="0" collapsed="false">
      <c r="A398" s="15" t="s">
        <v>2684</v>
      </c>
      <c r="B398" s="15" t="s">
        <v>1299</v>
      </c>
      <c r="C398" s="15" t="s">
        <v>2685</v>
      </c>
      <c r="D398" s="15" t="s">
        <v>2686</v>
      </c>
      <c r="E398" s="16" t="str">
        <f aca="false">HYPERLINK("#'Forrásszöveg'!A"&amp;(MATCH("TV-S0393",Forrásszöveg!$A$6:$A$2497,0)+5),"16. § (5) eleje")</f>
        <v>16. § (5) eleje</v>
      </c>
      <c r="F398" s="16" t="str">
        <f aca="false">HYPERLINK("https://net.jogtar.hu/jogszabaly?docid=a2400069.tv#pr393id","Jogtár megnyitása")</f>
        <v>Jogtár megnyitása</v>
      </c>
    </row>
    <row r="399" customFormat="false" ht="38" hidden="false" customHeight="true" outlineLevel="0" collapsed="false">
      <c r="A399" s="15" t="s">
        <v>2687</v>
      </c>
      <c r="B399" s="15" t="s">
        <v>1299</v>
      </c>
      <c r="C399" s="15" t="s">
        <v>1332</v>
      </c>
      <c r="D399" s="15" t="s">
        <v>1332</v>
      </c>
      <c r="E399" s="16" t="str">
        <f aca="false">HYPERLINK("#'Forrásszöveg'!A"&amp;(MATCH("TV-S0387",Forrásszöveg!$A$6:$A$2497,0)+5),"16. § eleje")</f>
        <v>16. § eleje</v>
      </c>
      <c r="F399" s="16" t="str">
        <f aca="false">HYPERLINK("https://net.jogtar.hu/jogszabaly?docid=a2400069.tv#pr394id","Jogtár megnyitása")</f>
        <v>Jogtár megnyitása</v>
      </c>
    </row>
    <row r="400" customFormat="false" ht="66" hidden="false" customHeight="true" outlineLevel="0" collapsed="false">
      <c r="A400" s="15" t="s">
        <v>2688</v>
      </c>
      <c r="B400" s="15" t="s">
        <v>1299</v>
      </c>
      <c r="C400" s="15" t="s">
        <v>2689</v>
      </c>
      <c r="D400" s="15" t="s">
        <v>2690</v>
      </c>
      <c r="E400" s="16" t="str">
        <f aca="false">HYPERLINK("#'Forrásszöveg'!A"&amp;(MATCH("TV-S0395",Forrásszöveg!$A$6:$A$2497,0)+5),"17. § (1) eleje")</f>
        <v>17. § (1) eleje</v>
      </c>
      <c r="F400" s="16" t="str">
        <f aca="false">HYPERLINK("https://net.jogtar.hu/jogszabaly?docid=a2400069.tv#pr395id","Jogtár megnyitása")</f>
        <v>Jogtár megnyitása</v>
      </c>
    </row>
    <row r="401" customFormat="false" ht="38" hidden="false" customHeight="true" outlineLevel="0" collapsed="false">
      <c r="A401" s="15" t="s">
        <v>2691</v>
      </c>
      <c r="B401" s="15" t="s">
        <v>1299</v>
      </c>
      <c r="C401" s="15" t="s">
        <v>2692</v>
      </c>
      <c r="D401" s="15" t="s">
        <v>2693</v>
      </c>
      <c r="E401" s="16" t="str">
        <f aca="false">HYPERLINK("#'Forrásszöveg'!A"&amp;(MATCH("TV-S0396",Forrásszöveg!$A$6:$A$2497,0)+5),"17. § (2) eleje")</f>
        <v>17. § (2) eleje</v>
      </c>
      <c r="F401" s="16" t="str">
        <f aca="false">HYPERLINK("https://net.jogtar.hu/jogszabaly?docid=a2400069.tv#pr396id","Jogtár megnyitása")</f>
        <v>Jogtár megnyitása</v>
      </c>
    </row>
    <row r="402" customFormat="false" ht="38" hidden="false" customHeight="true" outlineLevel="0" collapsed="false">
      <c r="A402" s="15" t="s">
        <v>2694</v>
      </c>
      <c r="B402" s="15" t="s">
        <v>1299</v>
      </c>
      <c r="C402" s="15" t="s">
        <v>2695</v>
      </c>
      <c r="D402" s="15" t="s">
        <v>2696</v>
      </c>
      <c r="E402" s="16" t="str">
        <f aca="false">HYPERLINK("#'Forrásszöveg'!A"&amp;(MATCH("TV-S0397",Forrásszöveg!$A$6:$A$2497,0)+5),"17. § (3) eleje")</f>
        <v>17. § (3) eleje</v>
      </c>
      <c r="F402" s="16" t="str">
        <f aca="false">HYPERLINK("https://net.jogtar.hu/jogszabaly?docid=a2400069.tv#pr397id","Jogtár megnyitása")</f>
        <v>Jogtár megnyitása</v>
      </c>
    </row>
    <row r="403" customFormat="false" ht="38" hidden="false" customHeight="true" outlineLevel="0" collapsed="false">
      <c r="A403" s="15" t="s">
        <v>2697</v>
      </c>
      <c r="B403" s="15" t="s">
        <v>1299</v>
      </c>
      <c r="C403" s="15" t="s">
        <v>1334</v>
      </c>
      <c r="D403" s="15" t="s">
        <v>1334</v>
      </c>
      <c r="E403" s="16" t="str">
        <f aca="false">HYPERLINK("#'Forrásszöveg'!A"&amp;(MATCH("TV-S0395",Forrásszöveg!$A$6:$A$2497,0)+5),"17. § eleje")</f>
        <v>17. § eleje</v>
      </c>
      <c r="F403" s="16" t="str">
        <f aca="false">HYPERLINK("https://net.jogtar.hu/jogszabaly?docid=a2400069.tv#pr398id","Jogtár megnyitása")</f>
        <v>Jogtár megnyitása</v>
      </c>
    </row>
    <row r="404" customFormat="false" ht="38" hidden="false" customHeight="true" outlineLevel="0" collapsed="false">
      <c r="A404" s="15" t="s">
        <v>2698</v>
      </c>
      <c r="B404" s="15" t="s">
        <v>1299</v>
      </c>
      <c r="C404" s="15" t="s">
        <v>2699</v>
      </c>
      <c r="D404" s="15" t="s">
        <v>2700</v>
      </c>
      <c r="E404" s="16" t="str">
        <f aca="false">HYPERLINK("#'Forrásszöveg'!A"&amp;(MATCH("TV-S0399",Forrásszöveg!$A$6:$A$2497,0)+5),"18. § (1) eleje")</f>
        <v>18. § (1) eleje</v>
      </c>
      <c r="F404" s="16" t="str">
        <f aca="false">HYPERLINK("https://net.jogtar.hu/jogszabaly?docid=a2400069.tv#pr399id","Jogtár megnyitása")</f>
        <v>Jogtár megnyitása</v>
      </c>
    </row>
    <row r="405" customFormat="false" ht="34" hidden="false" customHeight="true" outlineLevel="0" collapsed="false">
      <c r="A405" s="15" t="s">
        <v>2701</v>
      </c>
      <c r="B405" s="15" t="s">
        <v>1299</v>
      </c>
      <c r="C405" s="15" t="s">
        <v>2702</v>
      </c>
      <c r="D405" s="15" t="s">
        <v>2703</v>
      </c>
      <c r="E405" s="16" t="str">
        <f aca="false">HYPERLINK("#'Forrásszöveg'!A"&amp;(MATCH("TV-S0399",Forrásszöveg!$A$6:$A$2497,0)+5),"18. § (1) eleje")</f>
        <v>18. § (1) eleje</v>
      </c>
      <c r="F405" s="16" t="str">
        <f aca="false">HYPERLINK("https://net.jogtar.hu/jogszabaly?docid=a2400069.tv#pr400id","Jogtár megnyitása")</f>
        <v>Jogtár megnyitása</v>
      </c>
    </row>
    <row r="406" customFormat="false" ht="38" hidden="false" customHeight="true" outlineLevel="0" collapsed="false">
      <c r="A406" s="15" t="s">
        <v>2704</v>
      </c>
      <c r="B406" s="15" t="s">
        <v>1299</v>
      </c>
      <c r="C406" s="15" t="s">
        <v>2705</v>
      </c>
      <c r="D406" s="15" t="s">
        <v>2706</v>
      </c>
      <c r="E406" s="16" t="str">
        <f aca="false">HYPERLINK("#'Forrásszöveg'!A"&amp;(MATCH("TV-S0399",Forrásszöveg!$A$6:$A$2497,0)+5),"18. § (1) eleje")</f>
        <v>18. § (1) eleje</v>
      </c>
      <c r="F406" s="16" t="str">
        <f aca="false">HYPERLINK("https://net.jogtar.hu/jogszabaly?docid=a2400069.tv#pr401id","Jogtár megnyitása")</f>
        <v>Jogtár megnyitása</v>
      </c>
    </row>
    <row r="407" customFormat="false" ht="52" hidden="false" customHeight="true" outlineLevel="0" collapsed="false">
      <c r="A407" s="15" t="s">
        <v>2707</v>
      </c>
      <c r="B407" s="15" t="s">
        <v>1299</v>
      </c>
      <c r="C407" s="15" t="s">
        <v>2708</v>
      </c>
      <c r="D407" s="15" t="s">
        <v>2709</v>
      </c>
      <c r="E407" s="16" t="str">
        <f aca="false">HYPERLINK("#'Forrásszöveg'!A"&amp;(MATCH("TV-S0399",Forrásszöveg!$A$6:$A$2497,0)+5),"18. § (1) eleje")</f>
        <v>18. § (1) eleje</v>
      </c>
      <c r="F407" s="16" t="str">
        <f aca="false">HYPERLINK("https://net.jogtar.hu/jogszabaly?docid=a2400069.tv#pr402id","Jogtár megnyitása")</f>
        <v>Jogtár megnyitása</v>
      </c>
    </row>
    <row r="408" customFormat="false" ht="34" hidden="false" customHeight="true" outlineLevel="0" collapsed="false">
      <c r="A408" s="15" t="s">
        <v>2710</v>
      </c>
      <c r="B408" s="15" t="s">
        <v>1299</v>
      </c>
      <c r="C408" s="15" t="s">
        <v>2711</v>
      </c>
      <c r="D408" s="15" t="s">
        <v>2712</v>
      </c>
      <c r="E408" s="16" t="str">
        <f aca="false">HYPERLINK("#'Forrásszöveg'!A"&amp;(MATCH("TV-S0399",Forrásszöveg!$A$6:$A$2497,0)+5),"18. § (1) eleje")</f>
        <v>18. § (1) eleje</v>
      </c>
      <c r="F408" s="16" t="str">
        <f aca="false">HYPERLINK("https://net.jogtar.hu/jogszabaly?docid=a2400069.tv#pr403id","Jogtár megnyitása")</f>
        <v>Jogtár megnyitása</v>
      </c>
    </row>
    <row r="409" customFormat="false" ht="52" hidden="false" customHeight="true" outlineLevel="0" collapsed="false">
      <c r="A409" s="15" t="s">
        <v>2713</v>
      </c>
      <c r="B409" s="15" t="s">
        <v>1299</v>
      </c>
      <c r="C409" s="15" t="s">
        <v>2714</v>
      </c>
      <c r="D409" s="15" t="s">
        <v>2715</v>
      </c>
      <c r="E409" s="16" t="str">
        <f aca="false">HYPERLINK("#'Forrásszöveg'!A"&amp;(MATCH("TV-S0399",Forrásszöveg!$A$6:$A$2497,0)+5),"18. § (1) eleje")</f>
        <v>18. § (1) eleje</v>
      </c>
      <c r="F409" s="16" t="str">
        <f aca="false">HYPERLINK("https://net.jogtar.hu/jogszabaly?docid=a2400069.tv#pr404id","Jogtár megnyitása")</f>
        <v>Jogtár megnyitása</v>
      </c>
    </row>
    <row r="410" customFormat="false" ht="34" hidden="false" customHeight="true" outlineLevel="0" collapsed="false">
      <c r="A410" s="15" t="s">
        <v>2716</v>
      </c>
      <c r="B410" s="15" t="s">
        <v>1299</v>
      </c>
      <c r="C410" s="15" t="s">
        <v>2717</v>
      </c>
      <c r="D410" s="15" t="s">
        <v>2718</v>
      </c>
      <c r="E410" s="16" t="str">
        <f aca="false">HYPERLINK("#'Forrásszöveg'!A"&amp;(MATCH("TV-S0399",Forrásszöveg!$A$6:$A$2497,0)+5),"18. § (1) eleje")</f>
        <v>18. § (1) eleje</v>
      </c>
      <c r="F410" s="16" t="str">
        <f aca="false">HYPERLINK("https://net.jogtar.hu/jogszabaly?docid=a2400069.tv#pr405id","Jogtár megnyitása")</f>
        <v>Jogtár megnyitása</v>
      </c>
    </row>
    <row r="411" customFormat="false" ht="38" hidden="false" customHeight="true" outlineLevel="0" collapsed="false">
      <c r="A411" s="15" t="s">
        <v>2719</v>
      </c>
      <c r="B411" s="15" t="s">
        <v>1299</v>
      </c>
      <c r="C411" s="15" t="s">
        <v>2720</v>
      </c>
      <c r="D411" s="15" t="s">
        <v>2721</v>
      </c>
      <c r="E411" s="16" t="str">
        <f aca="false">HYPERLINK("#'Forrásszöveg'!A"&amp;(MATCH("TV-S0399",Forrásszöveg!$A$6:$A$2497,0)+5),"18. § (1) eleje")</f>
        <v>18. § (1) eleje</v>
      </c>
      <c r="F411" s="16" t="str">
        <f aca="false">HYPERLINK("https://net.jogtar.hu/jogszabaly?docid=a2400069.tv#pr406id","Jogtár megnyitása")</f>
        <v>Jogtár megnyitása</v>
      </c>
    </row>
    <row r="412" customFormat="false" ht="34" hidden="false" customHeight="true" outlineLevel="0" collapsed="false">
      <c r="A412" s="15" t="s">
        <v>2722</v>
      </c>
      <c r="B412" s="15" t="s">
        <v>1299</v>
      </c>
      <c r="C412" s="15" t="s">
        <v>2723</v>
      </c>
      <c r="D412" s="15" t="s">
        <v>2724</v>
      </c>
      <c r="E412" s="16" t="str">
        <f aca="false">HYPERLINK("#'Forrásszöveg'!A"&amp;(MATCH("TV-S0399",Forrásszöveg!$A$6:$A$2497,0)+5),"18. § (1) eleje")</f>
        <v>18. § (1) eleje</v>
      </c>
      <c r="F412" s="16" t="str">
        <f aca="false">HYPERLINK("https://net.jogtar.hu/jogszabaly?docid=a2400069.tv#pr407id","Jogtár megnyitása")</f>
        <v>Jogtár megnyitása</v>
      </c>
    </row>
    <row r="413" customFormat="false" ht="52" hidden="false" customHeight="true" outlineLevel="0" collapsed="false">
      <c r="A413" s="15" t="s">
        <v>2725</v>
      </c>
      <c r="B413" s="15" t="s">
        <v>1299</v>
      </c>
      <c r="C413" s="15" t="s">
        <v>2726</v>
      </c>
      <c r="D413" s="15" t="s">
        <v>2727</v>
      </c>
      <c r="E413" s="16" t="str">
        <f aca="false">HYPERLINK("#'Forrásszöveg'!A"&amp;(MATCH("TV-S0399",Forrásszöveg!$A$6:$A$2497,0)+5),"18. § (1) eleje")</f>
        <v>18. § (1) eleje</v>
      </c>
      <c r="F413" s="16" t="str">
        <f aca="false">HYPERLINK("https://net.jogtar.hu/jogszabaly?docid=a2400069.tv#pr408id","Jogtár megnyitása")</f>
        <v>Jogtár megnyitása</v>
      </c>
    </row>
    <row r="414" customFormat="false" ht="38" hidden="false" customHeight="true" outlineLevel="0" collapsed="false">
      <c r="A414" s="15" t="s">
        <v>2728</v>
      </c>
      <c r="B414" s="15" t="s">
        <v>1299</v>
      </c>
      <c r="C414" s="15" t="s">
        <v>2729</v>
      </c>
      <c r="D414" s="15" t="s">
        <v>2730</v>
      </c>
      <c r="E414" s="16" t="str">
        <f aca="false">HYPERLINK("#'Forrásszöveg'!A"&amp;(MATCH("TV-S0399",Forrásszöveg!$A$6:$A$2497,0)+5),"18. § (1) eleje")</f>
        <v>18. § (1) eleje</v>
      </c>
      <c r="F414" s="16" t="str">
        <f aca="false">HYPERLINK("https://net.jogtar.hu/jogszabaly?docid=a2400069.tv#pr409id","Jogtár megnyitása")</f>
        <v>Jogtár megnyitása</v>
      </c>
    </row>
    <row r="415" customFormat="false" ht="38" hidden="false" customHeight="true" outlineLevel="0" collapsed="false">
      <c r="A415" s="15" t="s">
        <v>2731</v>
      </c>
      <c r="B415" s="15" t="s">
        <v>1299</v>
      </c>
      <c r="C415" s="15" t="s">
        <v>2732</v>
      </c>
      <c r="D415" s="15" t="s">
        <v>2733</v>
      </c>
      <c r="E415" s="16" t="str">
        <f aca="false">HYPERLINK("#'Forrásszöveg'!A"&amp;(MATCH("TV-S0399",Forrásszöveg!$A$6:$A$2497,0)+5),"18. § (1) eleje")</f>
        <v>18. § (1) eleje</v>
      </c>
      <c r="F415" s="16" t="str">
        <f aca="false">HYPERLINK("https://net.jogtar.hu/jogszabaly?docid=a2400069.tv#pr410id","Jogtár megnyitása")</f>
        <v>Jogtár megnyitása</v>
      </c>
    </row>
    <row r="416" customFormat="false" ht="66" hidden="false" customHeight="true" outlineLevel="0" collapsed="false">
      <c r="A416" s="15" t="s">
        <v>2734</v>
      </c>
      <c r="B416" s="15" t="s">
        <v>1299</v>
      </c>
      <c r="C416" s="15" t="s">
        <v>2735</v>
      </c>
      <c r="D416" s="15" t="s">
        <v>2736</v>
      </c>
      <c r="E416" s="16" t="str">
        <f aca="false">HYPERLINK("#'Forrásszöveg'!A"&amp;(MATCH("TV-S0399",Forrásszöveg!$A$6:$A$2497,0)+5),"18. § (1) eleje")</f>
        <v>18. § (1) eleje</v>
      </c>
      <c r="F416" s="16" t="str">
        <f aca="false">HYPERLINK("https://net.jogtar.hu/jogszabaly?docid=a2400069.tv#pr411id","Jogtár megnyitása")</f>
        <v>Jogtár megnyitása</v>
      </c>
    </row>
    <row r="417" customFormat="false" ht="34" hidden="false" customHeight="true" outlineLevel="0" collapsed="false">
      <c r="A417" s="15" t="s">
        <v>2737</v>
      </c>
      <c r="B417" s="15" t="s">
        <v>1299</v>
      </c>
      <c r="C417" s="15" t="s">
        <v>2738</v>
      </c>
      <c r="D417" s="15" t="s">
        <v>2739</v>
      </c>
      <c r="E417" s="16" t="str">
        <f aca="false">HYPERLINK("#'Forrásszöveg'!A"&amp;(MATCH("TV-S0412",Forrásszöveg!$A$6:$A$2497,0)+5),"18. § (2) eleje")</f>
        <v>18. § (2) eleje</v>
      </c>
      <c r="F417" s="16" t="str">
        <f aca="false">HYPERLINK("https://net.jogtar.hu/jogszabaly?docid=a2400069.tv#pr412id","Jogtár megnyitása")</f>
        <v>Jogtár megnyitása</v>
      </c>
    </row>
    <row r="418" customFormat="false" ht="52" hidden="false" customHeight="true" outlineLevel="0" collapsed="false">
      <c r="A418" s="15" t="s">
        <v>2740</v>
      </c>
      <c r="B418" s="15" t="s">
        <v>1299</v>
      </c>
      <c r="C418" s="15" t="s">
        <v>2741</v>
      </c>
      <c r="D418" s="15" t="s">
        <v>2742</v>
      </c>
      <c r="E418" s="16" t="str">
        <f aca="false">HYPERLINK("#'Forrásszöveg'!A"&amp;(MATCH("TV-S0412",Forrásszöveg!$A$6:$A$2497,0)+5),"18. § (2) eleje")</f>
        <v>18. § (2) eleje</v>
      </c>
      <c r="F418" s="16" t="str">
        <f aca="false">HYPERLINK("https://net.jogtar.hu/jogszabaly?docid=a2400069.tv#pr413id","Jogtár megnyitása")</f>
        <v>Jogtár megnyitása</v>
      </c>
    </row>
    <row r="419" customFormat="false" ht="38" hidden="false" customHeight="true" outlineLevel="0" collapsed="false">
      <c r="A419" s="15" t="s">
        <v>2743</v>
      </c>
      <c r="B419" s="15" t="s">
        <v>1299</v>
      </c>
      <c r="C419" s="15" t="s">
        <v>2744</v>
      </c>
      <c r="D419" s="15" t="s">
        <v>2745</v>
      </c>
      <c r="E419" s="16" t="str">
        <f aca="false">HYPERLINK("#'Forrásszöveg'!A"&amp;(MATCH("TV-S0412",Forrásszöveg!$A$6:$A$2497,0)+5),"18. § (2) eleje")</f>
        <v>18. § (2) eleje</v>
      </c>
      <c r="F419" s="16" t="str">
        <f aca="false">HYPERLINK("https://net.jogtar.hu/jogszabaly?docid=a2400069.tv#pr414id","Jogtár megnyitása")</f>
        <v>Jogtár megnyitása</v>
      </c>
    </row>
    <row r="420" customFormat="false" ht="38" hidden="false" customHeight="true" outlineLevel="0" collapsed="false">
      <c r="A420" s="15" t="s">
        <v>2746</v>
      </c>
      <c r="B420" s="15" t="s">
        <v>1299</v>
      </c>
      <c r="C420" s="15" t="s">
        <v>2747</v>
      </c>
      <c r="D420" s="15" t="s">
        <v>2748</v>
      </c>
      <c r="E420" s="16" t="str">
        <f aca="false">HYPERLINK("#'Forrásszöveg'!A"&amp;(MATCH("TV-S0412",Forrásszöveg!$A$6:$A$2497,0)+5),"18. § (2) eleje")</f>
        <v>18. § (2) eleje</v>
      </c>
      <c r="F420" s="16" t="str">
        <f aca="false">HYPERLINK("https://net.jogtar.hu/jogszabaly?docid=a2400069.tv#pr415id","Jogtár megnyitása")</f>
        <v>Jogtár megnyitása</v>
      </c>
    </row>
    <row r="421" customFormat="false" ht="80" hidden="false" customHeight="true" outlineLevel="0" collapsed="false">
      <c r="A421" s="15" t="s">
        <v>2749</v>
      </c>
      <c r="B421" s="15" t="s">
        <v>1299</v>
      </c>
      <c r="C421" s="15" t="s">
        <v>2750</v>
      </c>
      <c r="D421" s="15" t="s">
        <v>2751</v>
      </c>
      <c r="E421" s="16" t="str">
        <f aca="false">HYPERLINK("#'Forrásszöveg'!A"&amp;(MATCH("TV-S0416",Forrásszöveg!$A$6:$A$2497,0)+5),"18. § (3) eleje")</f>
        <v>18. § (3) eleje</v>
      </c>
      <c r="F421" s="16" t="str">
        <f aca="false">HYPERLINK("https://net.jogtar.hu/jogszabaly?docid=a2400069.tv#pr416id","Jogtár megnyitása")</f>
        <v>Jogtár megnyitása</v>
      </c>
    </row>
    <row r="422" customFormat="false" ht="34" hidden="false" customHeight="true" outlineLevel="0" collapsed="false">
      <c r="A422" s="15" t="s">
        <v>2752</v>
      </c>
      <c r="B422" s="15" t="s">
        <v>1299</v>
      </c>
      <c r="C422" s="15" t="s">
        <v>2753</v>
      </c>
      <c r="D422" s="15" t="s">
        <v>2754</v>
      </c>
      <c r="E422" s="16" t="str">
        <f aca="false">HYPERLINK("#'Forrásszöveg'!A"&amp;(MATCH("TV-S0417",Forrásszöveg!$A$6:$A$2497,0)+5),"18. § (4) eleje")</f>
        <v>18. § (4) eleje</v>
      </c>
      <c r="F422" s="16" t="str">
        <f aca="false">HYPERLINK("https://net.jogtar.hu/jogszabaly?docid=a2400069.tv#pr417id","Jogtár megnyitása")</f>
        <v>Jogtár megnyitása</v>
      </c>
    </row>
    <row r="423" customFormat="false" ht="52" hidden="false" customHeight="true" outlineLevel="0" collapsed="false">
      <c r="A423" s="15" t="s">
        <v>2755</v>
      </c>
      <c r="B423" s="15" t="s">
        <v>1299</v>
      </c>
      <c r="C423" s="15" t="s">
        <v>2756</v>
      </c>
      <c r="D423" s="15" t="s">
        <v>2757</v>
      </c>
      <c r="E423" s="16" t="str">
        <f aca="false">HYPERLINK("#'Forrásszöveg'!A"&amp;(MATCH("TV-S0418",Forrásszöveg!$A$6:$A$2497,0)+5),"18. § (5) eleje")</f>
        <v>18. § (5) eleje</v>
      </c>
      <c r="F423" s="16" t="str">
        <f aca="false">HYPERLINK("https://net.jogtar.hu/jogszabaly?docid=a2400069.tv#pr418id","Jogtár megnyitása")</f>
        <v>Jogtár megnyitása</v>
      </c>
    </row>
    <row r="424" customFormat="false" ht="52" hidden="false" customHeight="true" outlineLevel="0" collapsed="false">
      <c r="A424" s="15" t="s">
        <v>2758</v>
      </c>
      <c r="B424" s="15" t="s">
        <v>1299</v>
      </c>
      <c r="C424" s="15" t="s">
        <v>1336</v>
      </c>
      <c r="D424" s="15" t="s">
        <v>1336</v>
      </c>
      <c r="E424" s="16" t="str">
        <f aca="false">HYPERLINK("#'Forrásszöveg'!A"&amp;(MATCH("TV-S0399",Forrásszöveg!$A$6:$A$2497,0)+5),"18. § eleje")</f>
        <v>18. § eleje</v>
      </c>
      <c r="F424" s="16" t="str">
        <f aca="false">HYPERLINK("https://net.jogtar.hu/jogszabaly?docid=a2400069.tv#pr419id","Jogtár megnyitása")</f>
        <v>Jogtár megnyitása</v>
      </c>
    </row>
    <row r="425" customFormat="false" ht="122" hidden="false" customHeight="true" outlineLevel="0" collapsed="false">
      <c r="A425" s="15" t="s">
        <v>2759</v>
      </c>
      <c r="B425" s="15" t="s">
        <v>1299</v>
      </c>
      <c r="C425" s="15" t="s">
        <v>2760</v>
      </c>
      <c r="D425" s="15" t="s">
        <v>2761</v>
      </c>
      <c r="E425" s="16" t="str">
        <f aca="false">HYPERLINK("#'Forrásszöveg'!A"&amp;(MATCH("TV-S0420",Forrásszöveg!$A$6:$A$2497,0)+5),"19. § (1) eleje")</f>
        <v>19. § (1) eleje</v>
      </c>
      <c r="F425" s="16" t="str">
        <f aca="false">HYPERLINK("https://net.jogtar.hu/jogszabaly?docid=a2400069.tv#pr420id","Jogtár megnyitása")</f>
        <v>Jogtár megnyitása</v>
      </c>
    </row>
    <row r="426" customFormat="false" ht="34" hidden="false" customHeight="true" outlineLevel="0" collapsed="false">
      <c r="A426" s="15" t="s">
        <v>2762</v>
      </c>
      <c r="B426" s="15" t="s">
        <v>1299</v>
      </c>
      <c r="C426" s="15" t="s">
        <v>2763</v>
      </c>
      <c r="D426" s="15" t="s">
        <v>2764</v>
      </c>
      <c r="E426" s="16" t="str">
        <f aca="false">HYPERLINK("#'Forrásszöveg'!A"&amp;(MATCH("TV-S0421",Forrásszöveg!$A$6:$A$2497,0)+5),"19. § (2) eleje")</f>
        <v>19. § (2) eleje</v>
      </c>
      <c r="F426" s="16" t="str">
        <f aca="false">HYPERLINK("https://net.jogtar.hu/jogszabaly?docid=a2400069.tv#pr421id","Jogtár megnyitása")</f>
        <v>Jogtár megnyitása</v>
      </c>
    </row>
    <row r="427" customFormat="false" ht="34" hidden="false" customHeight="true" outlineLevel="0" collapsed="false">
      <c r="A427" s="15" t="s">
        <v>2765</v>
      </c>
      <c r="B427" s="15" t="s">
        <v>1299</v>
      </c>
      <c r="C427" s="15" t="s">
        <v>2766</v>
      </c>
      <c r="D427" s="15" t="s">
        <v>2767</v>
      </c>
      <c r="E427" s="16" t="str">
        <f aca="false">HYPERLINK("#'Forrásszöveg'!A"&amp;(MATCH("TV-S0421",Forrásszöveg!$A$6:$A$2497,0)+5),"19. § (2) eleje")</f>
        <v>19. § (2) eleje</v>
      </c>
      <c r="F427" s="16" t="str">
        <f aca="false">HYPERLINK("https://net.jogtar.hu/jogszabaly?docid=a2400069.tv#pr422id","Jogtár megnyitása")</f>
        <v>Jogtár megnyitása</v>
      </c>
    </row>
    <row r="428" customFormat="false" ht="38" hidden="false" customHeight="true" outlineLevel="0" collapsed="false">
      <c r="A428" s="15" t="s">
        <v>2768</v>
      </c>
      <c r="B428" s="15" t="s">
        <v>1299</v>
      </c>
      <c r="C428" s="15" t="s">
        <v>2769</v>
      </c>
      <c r="D428" s="15" t="s">
        <v>2770</v>
      </c>
      <c r="E428" s="16" t="str">
        <f aca="false">HYPERLINK("#'Forrásszöveg'!A"&amp;(MATCH("TV-S0421",Forrásszöveg!$A$6:$A$2497,0)+5),"19. § (2) eleje")</f>
        <v>19. § (2) eleje</v>
      </c>
      <c r="F428" s="16" t="str">
        <f aca="false">HYPERLINK("https://net.jogtar.hu/jogszabaly?docid=a2400069.tv#pr423id","Jogtár megnyitása")</f>
        <v>Jogtár megnyitása</v>
      </c>
    </row>
    <row r="429" customFormat="false" ht="38" hidden="false" customHeight="true" outlineLevel="0" collapsed="false">
      <c r="A429" s="15" t="s">
        <v>2771</v>
      </c>
      <c r="B429" s="15" t="s">
        <v>1299</v>
      </c>
      <c r="C429" s="15" t="s">
        <v>2772</v>
      </c>
      <c r="D429" s="15" t="s">
        <v>2773</v>
      </c>
      <c r="E429" s="16" t="str">
        <f aca="false">HYPERLINK("#'Forrásszöveg'!A"&amp;(MATCH("TV-S0421",Forrásszöveg!$A$6:$A$2497,0)+5),"19. § (2) eleje")</f>
        <v>19. § (2) eleje</v>
      </c>
      <c r="F429" s="16" t="str">
        <f aca="false">HYPERLINK("https://net.jogtar.hu/jogszabaly?docid=a2400069.tv#pr424id","Jogtár megnyitása")</f>
        <v>Jogtár megnyitása</v>
      </c>
    </row>
    <row r="430" customFormat="false" ht="52" hidden="false" customHeight="true" outlineLevel="0" collapsed="false">
      <c r="A430" s="15" t="s">
        <v>2774</v>
      </c>
      <c r="B430" s="15" t="s">
        <v>1299</v>
      </c>
      <c r="C430" s="15" t="s">
        <v>2775</v>
      </c>
      <c r="D430" s="15" t="s">
        <v>2776</v>
      </c>
      <c r="E430" s="16" t="str">
        <f aca="false">HYPERLINK("#'Forrásszöveg'!A"&amp;(MATCH("TV-S0421",Forrásszöveg!$A$6:$A$2497,0)+5),"19. § (2) eleje")</f>
        <v>19. § (2) eleje</v>
      </c>
      <c r="F430" s="16" t="str">
        <f aca="false">HYPERLINK("https://net.jogtar.hu/jogszabaly?docid=a2400069.tv#pr425id","Jogtár megnyitása")</f>
        <v>Jogtár megnyitása</v>
      </c>
    </row>
    <row r="431" customFormat="false" ht="34" hidden="false" customHeight="true" outlineLevel="0" collapsed="false">
      <c r="A431" s="15" t="s">
        <v>2777</v>
      </c>
      <c r="B431" s="15" t="s">
        <v>1299</v>
      </c>
      <c r="C431" s="15" t="s">
        <v>2778</v>
      </c>
      <c r="D431" s="15" t="s">
        <v>2779</v>
      </c>
      <c r="E431" s="16" t="str">
        <f aca="false">HYPERLINK("#'Forrásszöveg'!A"&amp;(MATCH("TV-S0421",Forrásszöveg!$A$6:$A$2497,0)+5),"19. § (2) eleje")</f>
        <v>19. § (2) eleje</v>
      </c>
      <c r="F431" s="16" t="str">
        <f aca="false">HYPERLINK("https://net.jogtar.hu/jogszabaly?docid=a2400069.tv#pr426id","Jogtár megnyitása")</f>
        <v>Jogtár megnyitása</v>
      </c>
    </row>
    <row r="432" customFormat="false" ht="38" hidden="false" customHeight="true" outlineLevel="0" collapsed="false">
      <c r="A432" s="15" t="s">
        <v>2780</v>
      </c>
      <c r="B432" s="15" t="s">
        <v>1299</v>
      </c>
      <c r="C432" s="15" t="s">
        <v>2781</v>
      </c>
      <c r="D432" s="15" t="s">
        <v>2782</v>
      </c>
      <c r="E432" s="16" t="str">
        <f aca="false">HYPERLINK("#'Forrásszöveg'!A"&amp;(MATCH("TV-S0421",Forrásszöveg!$A$6:$A$2497,0)+5),"19. § (2) eleje")</f>
        <v>19. § (2) eleje</v>
      </c>
      <c r="F432" s="16" t="str">
        <f aca="false">HYPERLINK("https://net.jogtar.hu/jogszabaly?docid=a2400069.tv#pr427id","Jogtár megnyitása")</f>
        <v>Jogtár megnyitása</v>
      </c>
    </row>
    <row r="433" customFormat="false" ht="38" hidden="false" customHeight="true" outlineLevel="0" collapsed="false">
      <c r="A433" s="15" t="s">
        <v>2783</v>
      </c>
      <c r="B433" s="15" t="s">
        <v>1299</v>
      </c>
      <c r="C433" s="15" t="s">
        <v>2784</v>
      </c>
      <c r="D433" s="15" t="s">
        <v>2785</v>
      </c>
      <c r="E433" s="16" t="str">
        <f aca="false">HYPERLINK("#'Forrásszöveg'!A"&amp;(MATCH("TV-S0421",Forrásszöveg!$A$6:$A$2497,0)+5),"19. § (2) eleje")</f>
        <v>19. § (2) eleje</v>
      </c>
      <c r="F433" s="16" t="str">
        <f aca="false">HYPERLINK("https://net.jogtar.hu/jogszabaly?docid=a2400069.tv#pr428id","Jogtár megnyitása")</f>
        <v>Jogtár megnyitása</v>
      </c>
    </row>
    <row r="434" customFormat="false" ht="38" hidden="false" customHeight="true" outlineLevel="0" collapsed="false">
      <c r="A434" s="15" t="s">
        <v>2786</v>
      </c>
      <c r="B434" s="15" t="s">
        <v>1299</v>
      </c>
      <c r="C434" s="15" t="s">
        <v>2787</v>
      </c>
      <c r="D434" s="15" t="s">
        <v>2788</v>
      </c>
      <c r="E434" s="16" t="str">
        <f aca="false">HYPERLINK("#'Forrásszöveg'!A"&amp;(MATCH("TV-S0421",Forrásszöveg!$A$6:$A$2497,0)+5),"19. § (2) eleje")</f>
        <v>19. § (2) eleje</v>
      </c>
      <c r="F434" s="16" t="str">
        <f aca="false">HYPERLINK("https://net.jogtar.hu/jogszabaly?docid=a2400069.tv#pr429id","Jogtár megnyitása")</f>
        <v>Jogtár megnyitása</v>
      </c>
    </row>
    <row r="435" customFormat="false" ht="52" hidden="false" customHeight="true" outlineLevel="0" collapsed="false">
      <c r="A435" s="15" t="s">
        <v>2789</v>
      </c>
      <c r="B435" s="15" t="s">
        <v>1299</v>
      </c>
      <c r="C435" s="15" t="s">
        <v>2790</v>
      </c>
      <c r="D435" s="15" t="s">
        <v>2791</v>
      </c>
      <c r="E435" s="16" t="str">
        <f aca="false">HYPERLINK("#'Forrásszöveg'!A"&amp;(MATCH("TV-S0421",Forrásszöveg!$A$6:$A$2497,0)+5),"19. § (2) eleje")</f>
        <v>19. § (2) eleje</v>
      </c>
      <c r="F435" s="16" t="str">
        <f aca="false">HYPERLINK("https://net.jogtar.hu/jogszabaly?docid=a2400069.tv#pr430id","Jogtár megnyitása")</f>
        <v>Jogtár megnyitása</v>
      </c>
    </row>
    <row r="436" customFormat="false" ht="38" hidden="false" customHeight="true" outlineLevel="0" collapsed="false">
      <c r="A436" s="15" t="s">
        <v>2792</v>
      </c>
      <c r="B436" s="15" t="s">
        <v>1299</v>
      </c>
      <c r="C436" s="15" t="s">
        <v>2793</v>
      </c>
      <c r="D436" s="15" t="s">
        <v>2794</v>
      </c>
      <c r="E436" s="16" t="str">
        <f aca="false">HYPERLINK("#'Forrásszöveg'!A"&amp;(MATCH("TV-S0421",Forrásszöveg!$A$6:$A$2497,0)+5),"19. § (2) eleje")</f>
        <v>19. § (2) eleje</v>
      </c>
      <c r="F436" s="16" t="str">
        <f aca="false">HYPERLINK("https://net.jogtar.hu/jogszabaly?docid=a2400069.tv#pr431id","Jogtár megnyitása")</f>
        <v>Jogtár megnyitása</v>
      </c>
    </row>
    <row r="437" customFormat="false" ht="80" hidden="false" customHeight="true" outlineLevel="0" collapsed="false">
      <c r="A437" s="15" t="s">
        <v>2795</v>
      </c>
      <c r="B437" s="15" t="s">
        <v>1299</v>
      </c>
      <c r="C437" s="15" t="s">
        <v>2796</v>
      </c>
      <c r="D437" s="15" t="s">
        <v>2797</v>
      </c>
      <c r="E437" s="16" t="str">
        <f aca="false">HYPERLINK("#'Forrásszöveg'!A"&amp;(MATCH("TV-S0421",Forrásszöveg!$A$6:$A$2497,0)+5),"19. § (2) eleje")</f>
        <v>19. § (2) eleje</v>
      </c>
      <c r="F437" s="16" t="str">
        <f aca="false">HYPERLINK("https://net.jogtar.hu/jogszabaly?docid=a2400069.tv#pr432id","Jogtár megnyitása")</f>
        <v>Jogtár megnyitása</v>
      </c>
    </row>
    <row r="438" customFormat="false" ht="38" hidden="false" customHeight="true" outlineLevel="0" collapsed="false">
      <c r="A438" s="15" t="s">
        <v>2798</v>
      </c>
      <c r="B438" s="15" t="s">
        <v>1299</v>
      </c>
      <c r="C438" s="15" t="s">
        <v>2799</v>
      </c>
      <c r="D438" s="15" t="s">
        <v>2800</v>
      </c>
      <c r="E438" s="16" t="str">
        <f aca="false">HYPERLINK("#'Forrásszöveg'!A"&amp;(MATCH("TV-S0433",Forrásszöveg!$A$6:$A$2497,0)+5),"19. § (3) eleje")</f>
        <v>19. § (3) eleje</v>
      </c>
      <c r="F438" s="16" t="str">
        <f aca="false">HYPERLINK("https://net.jogtar.hu/jogszabaly?docid=a2400069.tv#pr433id","Jogtár megnyitása")</f>
        <v>Jogtár megnyitása</v>
      </c>
    </row>
    <row r="439" customFormat="false" ht="38" hidden="false" customHeight="true" outlineLevel="0" collapsed="false">
      <c r="A439" s="15" t="s">
        <v>2801</v>
      </c>
      <c r="B439" s="15" t="s">
        <v>1299</v>
      </c>
      <c r="C439" s="15" t="s">
        <v>2802</v>
      </c>
      <c r="D439" s="15" t="s">
        <v>2803</v>
      </c>
      <c r="E439" s="16" t="str">
        <f aca="false">HYPERLINK("#'Forrásszöveg'!A"&amp;(MATCH("TV-S0433",Forrásszöveg!$A$6:$A$2497,0)+5),"19. § (3) eleje")</f>
        <v>19. § (3) eleje</v>
      </c>
      <c r="F439" s="16" t="str">
        <f aca="false">HYPERLINK("https://net.jogtar.hu/jogszabaly?docid=a2400069.tv#pr434id","Jogtár megnyitása")</f>
        <v>Jogtár megnyitása</v>
      </c>
    </row>
    <row r="440" customFormat="false" ht="38" hidden="false" customHeight="true" outlineLevel="0" collapsed="false">
      <c r="A440" s="15" t="s">
        <v>2804</v>
      </c>
      <c r="B440" s="15" t="s">
        <v>1299</v>
      </c>
      <c r="C440" s="15" t="s">
        <v>2805</v>
      </c>
      <c r="D440" s="15" t="s">
        <v>2806</v>
      </c>
      <c r="E440" s="16" t="str">
        <f aca="false">HYPERLINK("#'Forrásszöveg'!A"&amp;(MATCH("TV-S0433",Forrásszöveg!$A$6:$A$2497,0)+5),"19. § (3) eleje")</f>
        <v>19. § (3) eleje</v>
      </c>
      <c r="F440" s="16" t="str">
        <f aca="false">HYPERLINK("https://net.jogtar.hu/jogszabaly?docid=a2400069.tv#pr435id","Jogtár megnyitása")</f>
        <v>Jogtár megnyitása</v>
      </c>
    </row>
    <row r="441" customFormat="false" ht="38" hidden="false" customHeight="true" outlineLevel="0" collapsed="false">
      <c r="A441" s="15" t="s">
        <v>2807</v>
      </c>
      <c r="B441" s="15" t="s">
        <v>1299</v>
      </c>
      <c r="C441" s="15" t="s">
        <v>2808</v>
      </c>
      <c r="D441" s="15" t="s">
        <v>2809</v>
      </c>
      <c r="E441" s="16" t="str">
        <f aca="false">HYPERLINK("#'Forrásszöveg'!A"&amp;(MATCH("TV-S0433",Forrásszöveg!$A$6:$A$2497,0)+5),"19. § (3) eleje")</f>
        <v>19. § (3) eleje</v>
      </c>
      <c r="F441" s="16" t="str">
        <f aca="false">HYPERLINK("https://net.jogtar.hu/jogszabaly?docid=a2400069.tv#pr436id","Jogtár megnyitása")</f>
        <v>Jogtár megnyitása</v>
      </c>
    </row>
    <row r="442" customFormat="false" ht="80" hidden="false" customHeight="true" outlineLevel="0" collapsed="false">
      <c r="A442" s="15" t="s">
        <v>2810</v>
      </c>
      <c r="B442" s="15" t="s">
        <v>1299</v>
      </c>
      <c r="C442" s="15" t="s">
        <v>2811</v>
      </c>
      <c r="D442" s="15" t="s">
        <v>2812</v>
      </c>
      <c r="E442" s="16" t="str">
        <f aca="false">HYPERLINK("#'Forrásszöveg'!A"&amp;(MATCH("TV-S0437",Forrásszöveg!$A$6:$A$2497,0)+5),"19. § (4) eleje")</f>
        <v>19. § (4) eleje</v>
      </c>
      <c r="F442" s="16" t="str">
        <f aca="false">HYPERLINK("https://net.jogtar.hu/jogszabaly?docid=a2400069.tv#pr437id","Jogtár megnyitása")</f>
        <v>Jogtár megnyitása</v>
      </c>
    </row>
    <row r="443" customFormat="false" ht="52" hidden="false" customHeight="true" outlineLevel="0" collapsed="false">
      <c r="A443" s="15" t="s">
        <v>2813</v>
      </c>
      <c r="B443" s="15" t="s">
        <v>1299</v>
      </c>
      <c r="C443" s="15" t="s">
        <v>2814</v>
      </c>
      <c r="D443" s="15" t="s">
        <v>2815</v>
      </c>
      <c r="E443" s="16" t="str">
        <f aca="false">HYPERLINK("#'Forrásszöveg'!A"&amp;(MATCH("TV-S0438",Forrásszöveg!$A$6:$A$2497,0)+5),"19. § (5) eleje")</f>
        <v>19. § (5) eleje</v>
      </c>
      <c r="F443" s="16" t="str">
        <f aca="false">HYPERLINK("https://net.jogtar.hu/jogszabaly?docid=a2400069.tv#pr438id","Jogtár megnyitása")</f>
        <v>Jogtár megnyitása</v>
      </c>
    </row>
    <row r="444" customFormat="false" ht="38" hidden="false" customHeight="true" outlineLevel="0" collapsed="false">
      <c r="A444" s="15" t="s">
        <v>2816</v>
      </c>
      <c r="B444" s="15" t="s">
        <v>1299</v>
      </c>
      <c r="C444" s="15" t="s">
        <v>2817</v>
      </c>
      <c r="D444" s="15" t="s">
        <v>2818</v>
      </c>
      <c r="E444" s="16" t="str">
        <f aca="false">HYPERLINK("#'Forrásszöveg'!A"&amp;(MATCH("TV-S0439",Forrásszöveg!$A$6:$A$2497,0)+5),"19. § (6) eleje")</f>
        <v>19. § (6) eleje</v>
      </c>
      <c r="F444" s="16" t="str">
        <f aca="false">HYPERLINK("https://net.jogtar.hu/jogszabaly?docid=a2400069.tv#pr439id","Jogtár megnyitása")</f>
        <v>Jogtár megnyitása</v>
      </c>
    </row>
    <row r="445" customFormat="false" ht="38" hidden="false" customHeight="true" outlineLevel="0" collapsed="false">
      <c r="A445" s="15" t="s">
        <v>2819</v>
      </c>
      <c r="B445" s="15" t="s">
        <v>1299</v>
      </c>
      <c r="C445" s="15" t="s">
        <v>2820</v>
      </c>
      <c r="D445" s="15" t="s">
        <v>2821</v>
      </c>
      <c r="E445" s="16" t="str">
        <f aca="false">HYPERLINK("#'Forrásszöveg'!A"&amp;(MATCH("TV-S0440",Forrásszöveg!$A$6:$A$2497,0)+5),"19. § (7) eleje")</f>
        <v>19. § (7) eleje</v>
      </c>
      <c r="F445" s="16" t="str">
        <f aca="false">HYPERLINK("https://net.jogtar.hu/jogszabaly?docid=a2400069.tv#pr440id","Jogtár megnyitása")</f>
        <v>Jogtár megnyitása</v>
      </c>
    </row>
    <row r="446" customFormat="false" ht="38" hidden="false" customHeight="true" outlineLevel="0" collapsed="false">
      <c r="A446" s="15" t="s">
        <v>2822</v>
      </c>
      <c r="B446" s="15" t="s">
        <v>1299</v>
      </c>
      <c r="C446" s="15" t="s">
        <v>1338</v>
      </c>
      <c r="D446" s="15" t="s">
        <v>1338</v>
      </c>
      <c r="E446" s="16" t="str">
        <f aca="false">HYPERLINK("#'Forrásszöveg'!A"&amp;(MATCH("TV-S0420",Forrásszöveg!$A$6:$A$2497,0)+5),"19. § eleje")</f>
        <v>19. § eleje</v>
      </c>
      <c r="F446" s="16" t="str">
        <f aca="false">HYPERLINK("https://net.jogtar.hu/jogszabaly?docid=a2400069.tv#pr441id","Jogtár megnyitása")</f>
        <v>Jogtár megnyitása</v>
      </c>
    </row>
    <row r="447" customFormat="false" ht="38" hidden="false" customHeight="true" outlineLevel="0" collapsed="false">
      <c r="A447" s="15" t="s">
        <v>2823</v>
      </c>
      <c r="B447" s="15" t="s">
        <v>1299</v>
      </c>
      <c r="C447" s="15" t="s">
        <v>2824</v>
      </c>
      <c r="D447" s="15" t="s">
        <v>2825</v>
      </c>
      <c r="E447" s="16" t="str">
        <f aca="false">HYPERLINK("#'Forrásszöveg'!A"&amp;(MATCH("TV-S0442",Forrásszöveg!$A$6:$A$2497,0)+5),"20. § (1) eleje")</f>
        <v>20. § (1) eleje</v>
      </c>
      <c r="F447" s="16" t="str">
        <f aca="false">HYPERLINK("https://net.jogtar.hu/jogszabaly?docid=a2400069.tv#pr442id","Jogtár megnyitása")</f>
        <v>Jogtár megnyitása</v>
      </c>
    </row>
    <row r="448" customFormat="false" ht="34" hidden="false" customHeight="true" outlineLevel="0" collapsed="false">
      <c r="A448" s="15" t="s">
        <v>2826</v>
      </c>
      <c r="B448" s="15" t="s">
        <v>1299</v>
      </c>
      <c r="C448" s="15" t="s">
        <v>2827</v>
      </c>
      <c r="D448" s="15" t="s">
        <v>2828</v>
      </c>
      <c r="E448" s="16" t="str">
        <f aca="false">HYPERLINK("#'Forrásszöveg'!A"&amp;(MATCH("TV-S0443",Forrásszöveg!$A$6:$A$2497,0)+5),"20. § (2) eleje")</f>
        <v>20. § (2) eleje</v>
      </c>
      <c r="F448" s="16" t="str">
        <f aca="false">HYPERLINK("https://net.jogtar.hu/jogszabaly?docid=a2400069.tv#pr443id","Jogtár megnyitása")</f>
        <v>Jogtár megnyitása</v>
      </c>
    </row>
    <row r="449" customFormat="false" ht="34" hidden="false" customHeight="true" outlineLevel="0" collapsed="false">
      <c r="A449" s="15" t="s">
        <v>2829</v>
      </c>
      <c r="B449" s="15" t="s">
        <v>1299</v>
      </c>
      <c r="C449" s="15" t="s">
        <v>2830</v>
      </c>
      <c r="D449" s="15" t="s">
        <v>2831</v>
      </c>
      <c r="E449" s="16" t="str">
        <f aca="false">HYPERLINK("#'Forrásszöveg'!A"&amp;(MATCH("TV-S0443",Forrásszöveg!$A$6:$A$2497,0)+5),"20. § (2) eleje")</f>
        <v>20. § (2) eleje</v>
      </c>
      <c r="F449" s="16" t="str">
        <f aca="false">HYPERLINK("https://net.jogtar.hu/jogszabaly?docid=a2400069.tv#pr444id","Jogtár megnyitása")</f>
        <v>Jogtár megnyitása</v>
      </c>
    </row>
    <row r="450" customFormat="false" ht="34" hidden="false" customHeight="true" outlineLevel="0" collapsed="false">
      <c r="A450" s="15" t="s">
        <v>2832</v>
      </c>
      <c r="B450" s="15" t="s">
        <v>1299</v>
      </c>
      <c r="C450" s="15" t="s">
        <v>2833</v>
      </c>
      <c r="D450" s="15" t="s">
        <v>2834</v>
      </c>
      <c r="E450" s="16" t="str">
        <f aca="false">HYPERLINK("#'Forrásszöveg'!A"&amp;(MATCH("TV-S0443",Forrásszöveg!$A$6:$A$2497,0)+5),"20. § (2) eleje")</f>
        <v>20. § (2) eleje</v>
      </c>
      <c r="F450" s="16" t="str">
        <f aca="false">HYPERLINK("https://net.jogtar.hu/jogszabaly?docid=a2400069.tv#pr445id","Jogtár megnyitása")</f>
        <v>Jogtár megnyitása</v>
      </c>
    </row>
    <row r="451" customFormat="false" ht="34" hidden="false" customHeight="true" outlineLevel="0" collapsed="false">
      <c r="A451" s="15" t="s">
        <v>2835</v>
      </c>
      <c r="B451" s="15" t="s">
        <v>1299</v>
      </c>
      <c r="C451" s="15" t="s">
        <v>2836</v>
      </c>
      <c r="D451" s="15" t="s">
        <v>2837</v>
      </c>
      <c r="E451" s="16" t="str">
        <f aca="false">HYPERLINK("#'Forrásszöveg'!A"&amp;(MATCH("TV-S0443",Forrásszöveg!$A$6:$A$2497,0)+5),"20. § (2) eleje")</f>
        <v>20. § (2) eleje</v>
      </c>
      <c r="F451" s="16" t="str">
        <f aca="false">HYPERLINK("https://net.jogtar.hu/jogszabaly?docid=a2400069.tv#pr446id","Jogtár megnyitása")</f>
        <v>Jogtár megnyitása</v>
      </c>
    </row>
    <row r="452" customFormat="false" ht="38" hidden="false" customHeight="true" outlineLevel="0" collapsed="false">
      <c r="A452" s="15" t="s">
        <v>2838</v>
      </c>
      <c r="B452" s="15" t="s">
        <v>1299</v>
      </c>
      <c r="C452" s="15" t="s">
        <v>2839</v>
      </c>
      <c r="D452" s="15" t="s">
        <v>2840</v>
      </c>
      <c r="E452" s="16" t="str">
        <f aca="false">HYPERLINK("#'Forrásszöveg'!A"&amp;(MATCH("TV-S0443",Forrásszöveg!$A$6:$A$2497,0)+5),"20. § (2) eleje")</f>
        <v>20. § (2) eleje</v>
      </c>
      <c r="F452" s="16" t="str">
        <f aca="false">HYPERLINK("https://net.jogtar.hu/jogszabaly?docid=a2400069.tv#pr447id","Jogtár megnyitása")</f>
        <v>Jogtár megnyitása</v>
      </c>
    </row>
    <row r="453" customFormat="false" ht="38" hidden="false" customHeight="true" outlineLevel="0" collapsed="false">
      <c r="A453" s="15" t="s">
        <v>2841</v>
      </c>
      <c r="B453" s="15" t="s">
        <v>1299</v>
      </c>
      <c r="C453" s="15" t="s">
        <v>2842</v>
      </c>
      <c r="D453" s="15" t="s">
        <v>2843</v>
      </c>
      <c r="E453" s="16" t="str">
        <f aca="false">HYPERLINK("#'Forrásszöveg'!A"&amp;(MATCH("TV-S0448",Forrásszöveg!$A$6:$A$2497,0)+5),"20. § (3) eleje")</f>
        <v>20. § (3) eleje</v>
      </c>
      <c r="F453" s="16" t="str">
        <f aca="false">HYPERLINK("https://net.jogtar.hu/jogszabaly?docid=a2400069.tv#pr448id","Jogtár megnyitása")</f>
        <v>Jogtár megnyitása</v>
      </c>
    </row>
    <row r="454" customFormat="false" ht="52" hidden="false" customHeight="true" outlineLevel="0" collapsed="false">
      <c r="A454" s="15" t="s">
        <v>2844</v>
      </c>
      <c r="B454" s="15" t="s">
        <v>1299</v>
      </c>
      <c r="C454" s="15" t="s">
        <v>2845</v>
      </c>
      <c r="D454" s="15" t="s">
        <v>2846</v>
      </c>
      <c r="E454" s="16" t="str">
        <f aca="false">HYPERLINK("#'Forrásszöveg'!A"&amp;(MATCH("TV-S0449",Forrásszöveg!$A$6:$A$2497,0)+5),"20. § (4) eleje")</f>
        <v>20. § (4) eleje</v>
      </c>
      <c r="F454" s="16" t="str">
        <f aca="false">HYPERLINK("https://net.jogtar.hu/jogszabaly?docid=a2400069.tv#pr449id","Jogtár megnyitása")</f>
        <v>Jogtár megnyitása</v>
      </c>
    </row>
    <row r="455" customFormat="false" ht="38" hidden="false" customHeight="true" outlineLevel="0" collapsed="false">
      <c r="A455" s="15" t="s">
        <v>2847</v>
      </c>
      <c r="B455" s="15" t="s">
        <v>1299</v>
      </c>
      <c r="C455" s="15" t="s">
        <v>2848</v>
      </c>
      <c r="D455" s="15" t="s">
        <v>2849</v>
      </c>
      <c r="E455" s="16" t="str">
        <f aca="false">HYPERLINK("#'Forrásszöveg'!A"&amp;(MATCH("TV-S0450",Forrásszöveg!$A$6:$A$2497,0)+5),"20. § (5) eleje")</f>
        <v>20. § (5) eleje</v>
      </c>
      <c r="F455" s="16" t="str">
        <f aca="false">HYPERLINK("https://net.jogtar.hu/jogszabaly?docid=a2400069.tv#pr450id","Jogtár megnyitása")</f>
        <v>Jogtár megnyitása</v>
      </c>
    </row>
    <row r="456" customFormat="false" ht="66" hidden="false" customHeight="true" outlineLevel="0" collapsed="false">
      <c r="A456" s="15" t="s">
        <v>2850</v>
      </c>
      <c r="B456" s="15" t="s">
        <v>1299</v>
      </c>
      <c r="C456" s="15" t="s">
        <v>2851</v>
      </c>
      <c r="D456" s="15" t="s">
        <v>2852</v>
      </c>
      <c r="E456" s="16" t="str">
        <f aca="false">HYPERLINK("#'Forrásszöveg'!A"&amp;(MATCH("TV-S0451",Forrásszöveg!$A$6:$A$2497,0)+5),"20. § (6) eleje")</f>
        <v>20. § (6) eleje</v>
      </c>
      <c r="F456" s="16" t="str">
        <f aca="false">HYPERLINK("https://net.jogtar.hu/jogszabaly?docid=a2400069.tv#pr451id","Jogtár megnyitása")</f>
        <v>Jogtár megnyitása</v>
      </c>
    </row>
    <row r="457" customFormat="false" ht="34" hidden="false" customHeight="true" outlineLevel="0" collapsed="false">
      <c r="A457" s="15" t="s">
        <v>2853</v>
      </c>
      <c r="B457" s="15" t="s">
        <v>1299</v>
      </c>
      <c r="C457" s="15" t="s">
        <v>2854</v>
      </c>
      <c r="D457" s="15" t="s">
        <v>2854</v>
      </c>
      <c r="E457" s="16" t="str">
        <f aca="false">HYPERLINK("#'Forrásszöveg'!A"&amp;(MATCH("TV-S0442",Forrásszöveg!$A$6:$A$2497,0)+5),"20. § eleje")</f>
        <v>20. § eleje</v>
      </c>
      <c r="F457" s="16" t="str">
        <f aca="false">HYPERLINK("https://net.jogtar.hu/jogszabaly?docid=a2400069.tv#pr452id","Jogtár megnyitása")</f>
        <v>Jogtár megnyitása</v>
      </c>
    </row>
    <row r="458" customFormat="false" ht="34" hidden="false" customHeight="true" outlineLevel="0" collapsed="false">
      <c r="A458" s="15" t="s">
        <v>2855</v>
      </c>
      <c r="B458" s="15" t="s">
        <v>1299</v>
      </c>
      <c r="C458" s="15" t="s">
        <v>2856</v>
      </c>
      <c r="D458" s="15" t="s">
        <v>2856</v>
      </c>
      <c r="E458" s="16" t="str">
        <f aca="false">HYPERLINK("#'Forrásszöveg'!A"&amp;(MATCH("TV-S0442",Forrásszöveg!$A$6:$A$2497,0)+5),"20. § eleje")</f>
        <v>20. § eleje</v>
      </c>
      <c r="F458" s="16" t="str">
        <f aca="false">HYPERLINK("https://net.jogtar.hu/jogszabaly?docid=a2400069.tv#pr453id","Jogtár megnyitása")</f>
        <v>Jogtár megnyitása</v>
      </c>
    </row>
    <row r="459" customFormat="false" ht="38" hidden="false" customHeight="true" outlineLevel="0" collapsed="false">
      <c r="A459" s="15" t="s">
        <v>2857</v>
      </c>
      <c r="B459" s="15" t="s">
        <v>1299</v>
      </c>
      <c r="C459" s="15" t="s">
        <v>1340</v>
      </c>
      <c r="D459" s="15" t="s">
        <v>1340</v>
      </c>
      <c r="E459" s="16" t="str">
        <f aca="false">HYPERLINK("#'Forrásszöveg'!A"&amp;(MATCH("TV-S0442",Forrásszöveg!$A$6:$A$2497,0)+5),"20. § eleje")</f>
        <v>20. § eleje</v>
      </c>
      <c r="F459" s="16" t="str">
        <f aca="false">HYPERLINK("https://net.jogtar.hu/jogszabaly?docid=a2400069.tv#pr454id","Jogtár megnyitása")</f>
        <v>Jogtár megnyitása</v>
      </c>
    </row>
    <row r="460" customFormat="false" ht="38" hidden="false" customHeight="true" outlineLevel="0" collapsed="false">
      <c r="A460" s="15" t="s">
        <v>2858</v>
      </c>
      <c r="B460" s="15" t="s">
        <v>1299</v>
      </c>
      <c r="C460" s="15" t="s">
        <v>2859</v>
      </c>
      <c r="D460" s="15" t="s">
        <v>2860</v>
      </c>
      <c r="E460" s="16" t="str">
        <f aca="false">HYPERLINK("#'Forrásszöveg'!A"&amp;(MATCH("TV-S0455",Forrásszöveg!$A$6:$A$2497,0)+5),"21. § (1) eleje")</f>
        <v>21. § (1) eleje</v>
      </c>
      <c r="F460" s="16" t="str">
        <f aca="false">HYPERLINK("https://net.jogtar.hu/jogszabaly?docid=a2400069.tv#pr455id","Jogtár megnyitása")</f>
        <v>Jogtár megnyitása</v>
      </c>
    </row>
    <row r="461" customFormat="false" ht="66" hidden="false" customHeight="true" outlineLevel="0" collapsed="false">
      <c r="A461" s="15" t="s">
        <v>2861</v>
      </c>
      <c r="B461" s="15" t="s">
        <v>1299</v>
      </c>
      <c r="C461" s="15" t="s">
        <v>2862</v>
      </c>
      <c r="D461" s="15" t="s">
        <v>2863</v>
      </c>
      <c r="E461" s="16" t="str">
        <f aca="false">HYPERLINK("#'Forrásszöveg'!A"&amp;(MATCH("TV-S0456",Forrásszöveg!$A$6:$A$2497,0)+5),"21. § (2) eleje")</f>
        <v>21. § (2) eleje</v>
      </c>
      <c r="F461" s="16" t="str">
        <f aca="false">HYPERLINK("https://net.jogtar.hu/jogszabaly?docid=a2400069.tv#pr456id","Jogtár megnyitása")</f>
        <v>Jogtár megnyitása</v>
      </c>
    </row>
    <row r="462" customFormat="false" ht="38" hidden="false" customHeight="true" outlineLevel="0" collapsed="false">
      <c r="A462" s="15" t="s">
        <v>2864</v>
      </c>
      <c r="B462" s="15" t="s">
        <v>1299</v>
      </c>
      <c r="C462" s="15" t="s">
        <v>2865</v>
      </c>
      <c r="D462" s="15" t="s">
        <v>2866</v>
      </c>
      <c r="E462" s="16" t="str">
        <f aca="false">HYPERLINK("#'Forrásszöveg'!A"&amp;(MATCH("TV-S0457",Forrásszöveg!$A$6:$A$2497,0)+5),"21. § (3) eleje")</f>
        <v>21. § (3) eleje</v>
      </c>
      <c r="F462" s="16" t="str">
        <f aca="false">HYPERLINK("https://net.jogtar.hu/jogszabaly?docid=a2400069.tv#pr457id","Jogtár megnyitása")</f>
        <v>Jogtár megnyitása</v>
      </c>
    </row>
    <row r="463" customFormat="false" ht="34" hidden="false" customHeight="true" outlineLevel="0" collapsed="false">
      <c r="A463" s="15" t="s">
        <v>2867</v>
      </c>
      <c r="B463" s="15" t="s">
        <v>1299</v>
      </c>
      <c r="C463" s="15" t="s">
        <v>2868</v>
      </c>
      <c r="D463" s="15" t="s">
        <v>2869</v>
      </c>
      <c r="E463" s="16" t="str">
        <f aca="false">HYPERLINK("#'Forrásszöveg'!A"&amp;(MATCH("TV-S0458",Forrásszöveg!$A$6:$A$2497,0)+5),"21. § (4) eleje")</f>
        <v>21. § (4) eleje</v>
      </c>
      <c r="F463" s="16" t="str">
        <f aca="false">HYPERLINK("https://net.jogtar.hu/jogszabaly?docid=a2400069.tv#pr458id","Jogtár megnyitása")</f>
        <v>Jogtár megnyitása</v>
      </c>
    </row>
    <row r="464" customFormat="false" ht="38" hidden="false" customHeight="true" outlineLevel="0" collapsed="false">
      <c r="A464" s="15" t="s">
        <v>2870</v>
      </c>
      <c r="B464" s="15" t="s">
        <v>1299</v>
      </c>
      <c r="C464" s="15" t="s">
        <v>2871</v>
      </c>
      <c r="D464" s="15" t="s">
        <v>2872</v>
      </c>
      <c r="E464" s="16" t="str">
        <f aca="false">HYPERLINK("#'Forrásszöveg'!A"&amp;(MATCH("TV-S0458",Forrásszöveg!$A$6:$A$2497,0)+5),"21. § (4) eleje")</f>
        <v>21. § (4) eleje</v>
      </c>
      <c r="F464" s="16" t="str">
        <f aca="false">HYPERLINK("https://net.jogtar.hu/jogszabaly?docid=a2400069.tv#pr459id","Jogtár megnyitása")</f>
        <v>Jogtár megnyitása</v>
      </c>
    </row>
    <row r="465" customFormat="false" ht="34" hidden="false" customHeight="true" outlineLevel="0" collapsed="false">
      <c r="A465" s="15" t="s">
        <v>2873</v>
      </c>
      <c r="B465" s="15" t="s">
        <v>1299</v>
      </c>
      <c r="C465" s="15" t="s">
        <v>2874</v>
      </c>
      <c r="D465" s="15" t="s">
        <v>2875</v>
      </c>
      <c r="E465" s="16" t="str">
        <f aca="false">HYPERLINK("#'Forrásszöveg'!A"&amp;(MATCH("TV-S0458",Forrásszöveg!$A$6:$A$2497,0)+5),"21. § (4) eleje")</f>
        <v>21. § (4) eleje</v>
      </c>
      <c r="F465" s="16" t="str">
        <f aca="false">HYPERLINK("https://net.jogtar.hu/jogszabaly?docid=a2400069.tv#pr460id","Jogtár megnyitása")</f>
        <v>Jogtár megnyitása</v>
      </c>
    </row>
    <row r="466" customFormat="false" ht="38" hidden="false" customHeight="true" outlineLevel="0" collapsed="false">
      <c r="A466" s="15" t="s">
        <v>2876</v>
      </c>
      <c r="B466" s="15" t="s">
        <v>1299</v>
      </c>
      <c r="C466" s="15" t="s">
        <v>2877</v>
      </c>
      <c r="D466" s="15" t="s">
        <v>2878</v>
      </c>
      <c r="E466" s="16" t="str">
        <f aca="false">HYPERLINK("#'Forrásszöveg'!A"&amp;(MATCH("TV-S0458",Forrásszöveg!$A$6:$A$2497,0)+5),"21. § (4) eleje")</f>
        <v>21. § (4) eleje</v>
      </c>
      <c r="F466" s="16" t="str">
        <f aca="false">HYPERLINK("https://net.jogtar.hu/jogszabaly?docid=a2400069.tv#pr461id","Jogtár megnyitása")</f>
        <v>Jogtár megnyitása</v>
      </c>
    </row>
    <row r="467" customFormat="false" ht="34" hidden="false" customHeight="true" outlineLevel="0" collapsed="false">
      <c r="A467" s="15" t="s">
        <v>2879</v>
      </c>
      <c r="B467" s="15" t="s">
        <v>1299</v>
      </c>
      <c r="C467" s="15" t="s">
        <v>2880</v>
      </c>
      <c r="D467" s="15" t="s">
        <v>2881</v>
      </c>
      <c r="E467" s="16" t="str">
        <f aca="false">HYPERLINK("#'Forrásszöveg'!A"&amp;(MATCH("TV-S0458",Forrásszöveg!$A$6:$A$2497,0)+5),"21. § (4) eleje")</f>
        <v>21. § (4) eleje</v>
      </c>
      <c r="F467" s="16" t="str">
        <f aca="false">HYPERLINK("https://net.jogtar.hu/jogszabaly?docid=a2400069.tv#pr462id","Jogtár megnyitása")</f>
        <v>Jogtár megnyitása</v>
      </c>
    </row>
    <row r="468" customFormat="false" ht="38" hidden="false" customHeight="true" outlineLevel="0" collapsed="false">
      <c r="A468" s="15" t="s">
        <v>2882</v>
      </c>
      <c r="B468" s="15" t="s">
        <v>1299</v>
      </c>
      <c r="C468" s="15" t="s">
        <v>2883</v>
      </c>
      <c r="D468" s="15" t="s">
        <v>2884</v>
      </c>
      <c r="E468" s="16" t="str">
        <f aca="false">HYPERLINK("#'Forrásszöveg'!A"&amp;(MATCH("TV-S0463",Forrásszöveg!$A$6:$A$2497,0)+5),"21. § (4a) eleje")</f>
        <v>21. § (4a) eleje</v>
      </c>
      <c r="F468" s="16" t="str">
        <f aca="false">HYPERLINK("https://net.jogtar.hu/jogszabaly?docid=a2400069.tv#pr463id","Jogtár megnyitása")</f>
        <v>Jogtár megnyitása</v>
      </c>
    </row>
    <row r="469" customFormat="false" ht="80" hidden="false" customHeight="true" outlineLevel="0" collapsed="false">
      <c r="A469" s="15" t="s">
        <v>2885</v>
      </c>
      <c r="B469" s="15" t="s">
        <v>1299</v>
      </c>
      <c r="C469" s="15" t="s">
        <v>2886</v>
      </c>
      <c r="D469" s="15" t="s">
        <v>2887</v>
      </c>
      <c r="E469" s="16" t="str">
        <f aca="false">HYPERLINK("#'Forrásszöveg'!A"&amp;(MATCH("TV-S0464",Forrásszöveg!$A$6:$A$2497,0)+5),"21. § (5) eleje")</f>
        <v>21. § (5) eleje</v>
      </c>
      <c r="F469" s="16" t="str">
        <f aca="false">HYPERLINK("https://net.jogtar.hu/jogszabaly?docid=a2400069.tv#pr464id","Jogtár megnyitása")</f>
        <v>Jogtár megnyitása</v>
      </c>
    </row>
    <row r="470" customFormat="false" ht="38" hidden="false" customHeight="true" outlineLevel="0" collapsed="false">
      <c r="A470" s="15" t="s">
        <v>2888</v>
      </c>
      <c r="B470" s="15" t="s">
        <v>1299</v>
      </c>
      <c r="C470" s="15" t="s">
        <v>2889</v>
      </c>
      <c r="D470" s="15" t="s">
        <v>2890</v>
      </c>
      <c r="E470" s="16" t="str">
        <f aca="false">HYPERLINK("#'Forrásszöveg'!A"&amp;(MATCH("TV-S0465",Forrásszöveg!$A$6:$A$2497,0)+5),"21. § (6) eleje")</f>
        <v>21. § (6) eleje</v>
      </c>
      <c r="F470" s="16" t="str">
        <f aca="false">HYPERLINK("https://net.jogtar.hu/jogszabaly?docid=a2400069.tv#pr465id","Jogtár megnyitása")</f>
        <v>Jogtár megnyitása</v>
      </c>
    </row>
    <row r="471" customFormat="false" ht="38" hidden="false" customHeight="true" outlineLevel="0" collapsed="false">
      <c r="A471" s="15" t="s">
        <v>2891</v>
      </c>
      <c r="B471" s="15" t="s">
        <v>1299</v>
      </c>
      <c r="C471" s="15" t="s">
        <v>2892</v>
      </c>
      <c r="D471" s="15" t="s">
        <v>2893</v>
      </c>
      <c r="E471" s="16" t="str">
        <f aca="false">HYPERLINK("#'Forrásszöveg'!A"&amp;(MATCH("TV-S0466",Forrásszöveg!$A$6:$A$2497,0)+5),"21. § (7) eleje")</f>
        <v>21. § (7) eleje</v>
      </c>
      <c r="F471" s="16" t="str">
        <f aca="false">HYPERLINK("https://net.jogtar.hu/jogszabaly?docid=a2400069.tv#pr466id","Jogtár megnyitása")</f>
        <v>Jogtár megnyitása</v>
      </c>
    </row>
    <row r="472" customFormat="false" ht="38" hidden="false" customHeight="true" outlineLevel="0" collapsed="false">
      <c r="A472" s="15" t="s">
        <v>2894</v>
      </c>
      <c r="B472" s="15" t="s">
        <v>1299</v>
      </c>
      <c r="C472" s="15" t="s">
        <v>2895</v>
      </c>
      <c r="D472" s="15" t="s">
        <v>2896</v>
      </c>
      <c r="E472" s="16" t="str">
        <f aca="false">HYPERLINK("#'Forrásszöveg'!A"&amp;(MATCH("TV-S0467",Forrásszöveg!$A$6:$A$2497,0)+5),"21. § (8) eleje")</f>
        <v>21. § (8) eleje</v>
      </c>
      <c r="F472" s="16" t="str">
        <f aca="false">HYPERLINK("https://net.jogtar.hu/jogszabaly?docid=a2400069.tv#pr467id","Jogtár megnyitása")</f>
        <v>Jogtár megnyitása</v>
      </c>
    </row>
    <row r="473" customFormat="false" ht="38" hidden="false" customHeight="true" outlineLevel="0" collapsed="false">
      <c r="A473" s="15" t="s">
        <v>2897</v>
      </c>
      <c r="B473" s="15" t="s">
        <v>1299</v>
      </c>
      <c r="C473" s="15" t="s">
        <v>2898</v>
      </c>
      <c r="D473" s="15" t="s">
        <v>2899</v>
      </c>
      <c r="E473" s="16" t="str">
        <f aca="false">HYPERLINK("#'Forrásszöveg'!A"&amp;(MATCH("TV-S0468",Forrásszöveg!$A$6:$A$2497,0)+5),"21. § (9) eleje")</f>
        <v>21. § (9) eleje</v>
      </c>
      <c r="F473" s="16" t="str">
        <f aca="false">HYPERLINK("https://net.jogtar.hu/jogszabaly?docid=a2400069.tv#pr468id","Jogtár megnyitása")</f>
        <v>Jogtár megnyitása</v>
      </c>
    </row>
    <row r="474" customFormat="false" ht="38" hidden="false" customHeight="true" outlineLevel="0" collapsed="false">
      <c r="A474" s="15" t="s">
        <v>2900</v>
      </c>
      <c r="B474" s="15" t="s">
        <v>1299</v>
      </c>
      <c r="C474" s="15" t="s">
        <v>2901</v>
      </c>
      <c r="D474" s="15" t="s">
        <v>2902</v>
      </c>
      <c r="E474" s="16" t="str">
        <f aca="false">HYPERLINK("#'Forrásszöveg'!A"&amp;(MATCH("TV-S0469",Forrásszöveg!$A$6:$A$2497,0)+5),"22. § (1) eleje")</f>
        <v>22. § (1) eleje</v>
      </c>
      <c r="F474" s="16" t="str">
        <f aca="false">HYPERLINK("https://net.jogtar.hu/jogszabaly?docid=a2400069.tv#pr469id","Jogtár megnyitása")</f>
        <v>Jogtár megnyitása</v>
      </c>
    </row>
    <row r="475" customFormat="false" ht="38" hidden="false" customHeight="true" outlineLevel="0" collapsed="false">
      <c r="A475" s="15" t="s">
        <v>2903</v>
      </c>
      <c r="B475" s="15" t="s">
        <v>1299</v>
      </c>
      <c r="C475" s="15" t="s">
        <v>2904</v>
      </c>
      <c r="D475" s="15" t="s">
        <v>2905</v>
      </c>
      <c r="E475" s="16" t="str">
        <f aca="false">HYPERLINK("#'Forrásszöveg'!A"&amp;(MATCH("TV-S0469",Forrásszöveg!$A$6:$A$2497,0)+5),"22. § (1) eleje")</f>
        <v>22. § (1) eleje</v>
      </c>
      <c r="F475" s="16" t="str">
        <f aca="false">HYPERLINK("https://net.jogtar.hu/jogszabaly?docid=a2400069.tv#pr470id","Jogtár megnyitása")</f>
        <v>Jogtár megnyitása</v>
      </c>
    </row>
    <row r="476" customFormat="false" ht="34" hidden="false" customHeight="true" outlineLevel="0" collapsed="false">
      <c r="A476" s="15" t="s">
        <v>2906</v>
      </c>
      <c r="B476" s="15" t="s">
        <v>1299</v>
      </c>
      <c r="C476" s="15" t="s">
        <v>2907</v>
      </c>
      <c r="D476" s="15" t="s">
        <v>2908</v>
      </c>
      <c r="E476" s="16" t="str">
        <f aca="false">HYPERLINK("#'Forrásszöveg'!A"&amp;(MATCH("TV-S0469",Forrásszöveg!$A$6:$A$2497,0)+5),"22. § (1) eleje")</f>
        <v>22. § (1) eleje</v>
      </c>
      <c r="F476" s="16" t="str">
        <f aca="false">HYPERLINK("https://net.jogtar.hu/jogszabaly?docid=a2400069.tv#pr471id","Jogtár megnyitása")</f>
        <v>Jogtár megnyitása</v>
      </c>
    </row>
    <row r="477" customFormat="false" ht="38" hidden="false" customHeight="true" outlineLevel="0" collapsed="false">
      <c r="A477" s="15" t="s">
        <v>2909</v>
      </c>
      <c r="B477" s="15" t="s">
        <v>1299</v>
      </c>
      <c r="C477" s="15" t="s">
        <v>2910</v>
      </c>
      <c r="D477" s="15" t="s">
        <v>2911</v>
      </c>
      <c r="E477" s="16" t="str">
        <f aca="false">HYPERLINK("#'Forrásszöveg'!A"&amp;(MATCH("TV-S0469",Forrásszöveg!$A$6:$A$2497,0)+5),"22. § (1) eleje")</f>
        <v>22. § (1) eleje</v>
      </c>
      <c r="F477" s="16" t="str">
        <f aca="false">HYPERLINK("https://net.jogtar.hu/jogszabaly?docid=a2400069.tv#pr472id","Jogtár megnyitása")</f>
        <v>Jogtár megnyitása</v>
      </c>
    </row>
    <row r="478" customFormat="false" ht="38" hidden="false" customHeight="true" outlineLevel="0" collapsed="false">
      <c r="A478" s="15" t="s">
        <v>2912</v>
      </c>
      <c r="B478" s="15" t="s">
        <v>1299</v>
      </c>
      <c r="C478" s="15" t="s">
        <v>2913</v>
      </c>
      <c r="D478" s="15" t="s">
        <v>2914</v>
      </c>
      <c r="E478" s="16" t="str">
        <f aca="false">HYPERLINK("#'Forrásszöveg'!A"&amp;(MATCH("TV-S0473",Forrásszöveg!$A$6:$A$2497,0)+5),"22. § (2) eleje")</f>
        <v>22. § (2) eleje</v>
      </c>
      <c r="F478" s="16" t="str">
        <f aca="false">HYPERLINK("https://net.jogtar.hu/jogszabaly?docid=a2400069.tv#pr473id","Jogtár megnyitása")</f>
        <v>Jogtár megnyitása</v>
      </c>
    </row>
    <row r="479" customFormat="false" ht="38" hidden="false" customHeight="true" outlineLevel="0" collapsed="false">
      <c r="A479" s="15" t="s">
        <v>2915</v>
      </c>
      <c r="B479" s="15" t="s">
        <v>1299</v>
      </c>
      <c r="C479" s="15" t="s">
        <v>2916</v>
      </c>
      <c r="D479" s="15" t="s">
        <v>2917</v>
      </c>
      <c r="E479" s="16" t="str">
        <f aca="false">HYPERLINK("#'Forrásszöveg'!A"&amp;(MATCH("TV-S0474",Forrásszöveg!$A$6:$A$2497,0)+5),"22. § (3) eleje")</f>
        <v>22. § (3) eleje</v>
      </c>
      <c r="F479" s="16" t="str">
        <f aca="false">HYPERLINK("https://net.jogtar.hu/jogszabaly?docid=a2400069.tv#pr474id","Jogtár megnyitása")</f>
        <v>Jogtár megnyitása</v>
      </c>
    </row>
    <row r="480" customFormat="false" ht="34" hidden="false" customHeight="true" outlineLevel="0" collapsed="false">
      <c r="A480" s="15" t="s">
        <v>2918</v>
      </c>
      <c r="B480" s="15" t="s">
        <v>1299</v>
      </c>
      <c r="C480" s="15" t="s">
        <v>2919</v>
      </c>
      <c r="D480" s="15" t="s">
        <v>2920</v>
      </c>
      <c r="E480" s="16" t="str">
        <f aca="false">HYPERLINK("#'Forrásszöveg'!A"&amp;(MATCH("TV-S0474",Forrásszöveg!$A$6:$A$2497,0)+5),"22. § (3) eleje")</f>
        <v>22. § (3) eleje</v>
      </c>
      <c r="F480" s="16" t="str">
        <f aca="false">HYPERLINK("https://net.jogtar.hu/jogszabaly?docid=a2400069.tv#pr475id","Jogtár megnyitása")</f>
        <v>Jogtár megnyitása</v>
      </c>
    </row>
    <row r="481" customFormat="false" ht="38" hidden="false" customHeight="true" outlineLevel="0" collapsed="false">
      <c r="A481" s="15" t="s">
        <v>2921</v>
      </c>
      <c r="B481" s="15" t="s">
        <v>1299</v>
      </c>
      <c r="C481" s="15" t="s">
        <v>2922</v>
      </c>
      <c r="D481" s="15" t="s">
        <v>2923</v>
      </c>
      <c r="E481" s="16" t="str">
        <f aca="false">HYPERLINK("#'Forrásszöveg'!A"&amp;(MATCH("TV-S0474",Forrásszöveg!$A$6:$A$2497,0)+5),"22. § (3) eleje")</f>
        <v>22. § (3) eleje</v>
      </c>
      <c r="F481" s="16" t="str">
        <f aca="false">HYPERLINK("https://net.jogtar.hu/jogszabaly?docid=a2400069.tv#pr476id","Jogtár megnyitása")</f>
        <v>Jogtár megnyitása</v>
      </c>
    </row>
    <row r="482" customFormat="false" ht="34" hidden="false" customHeight="true" outlineLevel="0" collapsed="false">
      <c r="A482" s="15" t="s">
        <v>2924</v>
      </c>
      <c r="B482" s="15" t="s">
        <v>1299</v>
      </c>
      <c r="C482" s="15" t="s">
        <v>2925</v>
      </c>
      <c r="D482" s="15" t="s">
        <v>2926</v>
      </c>
      <c r="E482" s="16" t="str">
        <f aca="false">HYPERLINK("#'Forrásszöveg'!A"&amp;(MATCH("TV-S0477",Forrásszöveg!$A$6:$A$2497,0)+5),"22. § (4) eleje")</f>
        <v>22. § (4) eleje</v>
      </c>
      <c r="F482" s="16" t="str">
        <f aca="false">HYPERLINK("https://net.jogtar.hu/jogszabaly?docid=a2400069.tv#pr477id","Jogtár megnyitása")</f>
        <v>Jogtár megnyitása</v>
      </c>
    </row>
    <row r="483" customFormat="false" ht="34" hidden="false" customHeight="true" outlineLevel="0" collapsed="false">
      <c r="A483" s="15" t="s">
        <v>2927</v>
      </c>
      <c r="B483" s="15" t="s">
        <v>1299</v>
      </c>
      <c r="C483" s="15" t="s">
        <v>2928</v>
      </c>
      <c r="D483" s="15" t="s">
        <v>2929</v>
      </c>
      <c r="E483" s="16" t="str">
        <f aca="false">HYPERLINK("#'Forrásszöveg'!A"&amp;(MATCH("TV-S0477",Forrásszöveg!$A$6:$A$2497,0)+5),"22. § (4) eleje")</f>
        <v>22. § (4) eleje</v>
      </c>
      <c r="F483" s="16" t="str">
        <f aca="false">HYPERLINK("https://net.jogtar.hu/jogszabaly?docid=a2400069.tv#pr478id","Jogtár megnyitása")</f>
        <v>Jogtár megnyitása</v>
      </c>
    </row>
    <row r="484" customFormat="false" ht="38" hidden="false" customHeight="true" outlineLevel="0" collapsed="false">
      <c r="A484" s="15" t="s">
        <v>2930</v>
      </c>
      <c r="B484" s="15" t="s">
        <v>1299</v>
      </c>
      <c r="C484" s="15" t="s">
        <v>2931</v>
      </c>
      <c r="D484" s="15" t="s">
        <v>2932</v>
      </c>
      <c r="E484" s="16" t="str">
        <f aca="false">HYPERLINK("#'Forrásszöveg'!A"&amp;(MATCH("TV-S0477",Forrásszöveg!$A$6:$A$2497,0)+5),"22. § (4) eleje")</f>
        <v>22. § (4) eleje</v>
      </c>
      <c r="F484" s="16" t="str">
        <f aca="false">HYPERLINK("https://net.jogtar.hu/jogszabaly?docid=a2400069.tv#pr479id","Jogtár megnyitása")</f>
        <v>Jogtár megnyitása</v>
      </c>
    </row>
    <row r="485" customFormat="false" ht="34" hidden="false" customHeight="true" outlineLevel="0" collapsed="false">
      <c r="A485" s="15" t="s">
        <v>2933</v>
      </c>
      <c r="B485" s="15" t="s">
        <v>1299</v>
      </c>
      <c r="C485" s="15" t="s">
        <v>2925</v>
      </c>
      <c r="D485" s="15" t="s">
        <v>2934</v>
      </c>
      <c r="E485" s="16" t="str">
        <f aca="false">HYPERLINK("#'Forrásszöveg'!A"&amp;(MATCH("TV-S0477",Forrásszöveg!$A$6:$A$2497,0)+5),"22. § (4) eleje")</f>
        <v>22. § (4) eleje</v>
      </c>
      <c r="F485" s="16" t="str">
        <f aca="false">HYPERLINK("https://net.jogtar.hu/jogszabaly?docid=a2400069.tv#pr480id","Jogtár megnyitása")</f>
        <v>Jogtár megnyitása</v>
      </c>
    </row>
    <row r="486" customFormat="false" ht="66" hidden="false" customHeight="true" outlineLevel="0" collapsed="false">
      <c r="A486" s="15" t="s">
        <v>2935</v>
      </c>
      <c r="B486" s="15" t="s">
        <v>1299</v>
      </c>
      <c r="C486" s="15" t="s">
        <v>2936</v>
      </c>
      <c r="D486" s="15" t="s">
        <v>2937</v>
      </c>
      <c r="E486" s="16" t="str">
        <f aca="false">HYPERLINK("#'Forrásszöveg'!A"&amp;(MATCH("TV-S0481",Forrásszöveg!$A$6:$A$2497,0)+5),"22. § (5) eleje")</f>
        <v>22. § (5) eleje</v>
      </c>
      <c r="F486" s="16" t="str">
        <f aca="false">HYPERLINK("https://net.jogtar.hu/jogszabaly?docid=a2400069.tv#pr481id","Jogtár megnyitása")</f>
        <v>Jogtár megnyitása</v>
      </c>
    </row>
    <row r="487" customFormat="false" ht="80" hidden="false" customHeight="true" outlineLevel="0" collapsed="false">
      <c r="A487" s="15" t="s">
        <v>2938</v>
      </c>
      <c r="B487" s="15" t="s">
        <v>1299</v>
      </c>
      <c r="C487" s="15" t="s">
        <v>2939</v>
      </c>
      <c r="D487" s="15" t="s">
        <v>2940</v>
      </c>
      <c r="E487" s="16" t="str">
        <f aca="false">HYPERLINK("#'Forrásszöveg'!A"&amp;(MATCH("TV-S0482",Forrásszöveg!$A$6:$A$2497,0)+5),"22. § (6) eleje")</f>
        <v>22. § (6) eleje</v>
      </c>
      <c r="F487" s="16" t="str">
        <f aca="false">HYPERLINK("https://net.jogtar.hu/jogszabaly?docid=a2400069.tv#pr482id","Jogtár megnyitása")</f>
        <v>Jogtár megnyitása</v>
      </c>
    </row>
    <row r="488" customFormat="false" ht="38" hidden="false" customHeight="true" outlineLevel="0" collapsed="false">
      <c r="A488" s="15" t="s">
        <v>2941</v>
      </c>
      <c r="B488" s="15" t="s">
        <v>1299</v>
      </c>
      <c r="C488" s="15" t="s">
        <v>2942</v>
      </c>
      <c r="D488" s="15" t="s">
        <v>2943</v>
      </c>
      <c r="E488" s="16" t="str">
        <f aca="false">HYPERLINK("#'Forrásszöveg'!A"&amp;(MATCH("TV-S0483",Forrásszöveg!$A$6:$A$2497,0)+5),"22. § (7) eleje")</f>
        <v>22. § (7) eleje</v>
      </c>
      <c r="F488" s="16" t="str">
        <f aca="false">HYPERLINK("https://net.jogtar.hu/jogszabaly?docid=a2400069.tv#pr483id","Jogtár megnyitása")</f>
        <v>Jogtár megnyitása</v>
      </c>
    </row>
    <row r="489" customFormat="false" ht="34" hidden="false" customHeight="true" outlineLevel="0" collapsed="false">
      <c r="A489" s="15" t="s">
        <v>2944</v>
      </c>
      <c r="B489" s="15" t="s">
        <v>1299</v>
      </c>
      <c r="C489" s="15" t="s">
        <v>2945</v>
      </c>
      <c r="D489" s="15" t="s">
        <v>2946</v>
      </c>
      <c r="E489" s="16" t="str">
        <f aca="false">HYPERLINK("#'Forrásszöveg'!A"&amp;(MATCH("TV-S0484",Forrásszöveg!$A$6:$A$2497,0)+5),"22. § (8) eleje")</f>
        <v>22. § (8) eleje</v>
      </c>
      <c r="F489" s="16" t="str">
        <f aca="false">HYPERLINK("https://net.jogtar.hu/jogszabaly?docid=a2400069.tv#pr484id","Jogtár megnyitása")</f>
        <v>Jogtár megnyitása</v>
      </c>
    </row>
    <row r="490" customFormat="false" ht="38" hidden="false" customHeight="true" outlineLevel="0" collapsed="false">
      <c r="A490" s="15" t="s">
        <v>2947</v>
      </c>
      <c r="B490" s="15" t="s">
        <v>1299</v>
      </c>
      <c r="C490" s="15" t="s">
        <v>2948</v>
      </c>
      <c r="D490" s="15" t="s">
        <v>2949</v>
      </c>
      <c r="E490" s="16" t="str">
        <f aca="false">HYPERLINK("#'Forrásszöveg'!A"&amp;(MATCH("TV-S0485",Forrásszöveg!$A$6:$A$2497,0)+5),"22. § (9) eleje")</f>
        <v>22. § (9) eleje</v>
      </c>
      <c r="F490" s="16" t="str">
        <f aca="false">HYPERLINK("https://net.jogtar.hu/jogszabaly?docid=a2400069.tv#pr485id","Jogtár megnyitása")</f>
        <v>Jogtár megnyitása</v>
      </c>
    </row>
    <row r="491" customFormat="false" ht="52" hidden="false" customHeight="true" outlineLevel="0" collapsed="false">
      <c r="A491" s="15" t="s">
        <v>2950</v>
      </c>
      <c r="B491" s="15" t="s">
        <v>1299</v>
      </c>
      <c r="C491" s="15" t="s">
        <v>1343</v>
      </c>
      <c r="D491" s="15" t="s">
        <v>1343</v>
      </c>
      <c r="E491" s="16" t="str">
        <f aca="false">HYPERLINK("#'Forrásszöveg'!A"&amp;(MATCH("TV-S0469",Forrásszöveg!$A$6:$A$2497,0)+5),"22. § eleje")</f>
        <v>22. § eleje</v>
      </c>
      <c r="F491" s="16" t="str">
        <f aca="false">HYPERLINK("https://net.jogtar.hu/jogszabaly?docid=a2400069.tv#pr486id","Jogtár megnyitása")</f>
        <v>Jogtár megnyitása</v>
      </c>
    </row>
    <row r="492" customFormat="false" ht="38" hidden="false" customHeight="true" outlineLevel="0" collapsed="false">
      <c r="A492" s="15" t="s">
        <v>2951</v>
      </c>
      <c r="B492" s="15" t="s">
        <v>1299</v>
      </c>
      <c r="C492" s="15" t="s">
        <v>2952</v>
      </c>
      <c r="D492" s="15" t="s">
        <v>2953</v>
      </c>
      <c r="E492" s="16" t="str">
        <f aca="false">HYPERLINK("#'Forrásszöveg'!A"&amp;(MATCH("TV-S0487",Forrásszöveg!$A$6:$A$2497,0)+5),"23. § (1) eleje")</f>
        <v>23. § (1) eleje</v>
      </c>
      <c r="F492" s="16" t="str">
        <f aca="false">HYPERLINK("https://net.jogtar.hu/jogszabaly?docid=a2400069.tv#pr487id","Jogtár megnyitása")</f>
        <v>Jogtár megnyitása</v>
      </c>
    </row>
    <row r="493" customFormat="false" ht="38" hidden="false" customHeight="true" outlineLevel="0" collapsed="false">
      <c r="A493" s="15" t="s">
        <v>2954</v>
      </c>
      <c r="B493" s="15" t="s">
        <v>1299</v>
      </c>
      <c r="C493" s="15" t="s">
        <v>2955</v>
      </c>
      <c r="D493" s="15" t="s">
        <v>2956</v>
      </c>
      <c r="E493" s="16" t="str">
        <f aca="false">HYPERLINK("#'Forrásszöveg'!A"&amp;(MATCH("TV-S0487",Forrásszöveg!$A$6:$A$2497,0)+5),"23. § (1) eleje")</f>
        <v>23. § (1) eleje</v>
      </c>
      <c r="F493" s="16" t="str">
        <f aca="false">HYPERLINK("https://net.jogtar.hu/jogszabaly?docid=a2400069.tv#pr488id","Jogtár megnyitása")</f>
        <v>Jogtár megnyitása</v>
      </c>
    </row>
    <row r="494" customFormat="false" ht="38" hidden="false" customHeight="true" outlineLevel="0" collapsed="false">
      <c r="A494" s="15" t="s">
        <v>2957</v>
      </c>
      <c r="B494" s="15" t="s">
        <v>1299</v>
      </c>
      <c r="C494" s="15" t="s">
        <v>2958</v>
      </c>
      <c r="D494" s="15" t="s">
        <v>2959</v>
      </c>
      <c r="E494" s="16" t="str">
        <f aca="false">HYPERLINK("#'Forrásszöveg'!A"&amp;(MATCH("TV-S0487",Forrásszöveg!$A$6:$A$2497,0)+5),"23. § (1) eleje")</f>
        <v>23. § (1) eleje</v>
      </c>
      <c r="F494" s="16" t="str">
        <f aca="false">HYPERLINK("https://net.jogtar.hu/jogszabaly?docid=a2400069.tv#pr489id","Jogtár megnyitása")</f>
        <v>Jogtár megnyitása</v>
      </c>
    </row>
    <row r="495" customFormat="false" ht="34" hidden="false" customHeight="true" outlineLevel="0" collapsed="false">
      <c r="A495" s="15" t="s">
        <v>2960</v>
      </c>
      <c r="B495" s="15" t="s">
        <v>1299</v>
      </c>
      <c r="C495" s="15" t="s">
        <v>2952</v>
      </c>
      <c r="D495" s="15" t="s">
        <v>2961</v>
      </c>
      <c r="E495" s="16" t="str">
        <f aca="false">HYPERLINK("#'Forrásszöveg'!A"&amp;(MATCH("TV-S0487",Forrásszöveg!$A$6:$A$2497,0)+5),"23. § (1) eleje")</f>
        <v>23. § (1) eleje</v>
      </c>
      <c r="F495" s="16" t="str">
        <f aca="false">HYPERLINK("https://net.jogtar.hu/jogszabaly?docid=a2400069.tv#pr490id","Jogtár megnyitása")</f>
        <v>Jogtár megnyitása</v>
      </c>
    </row>
    <row r="496" customFormat="false" ht="66" hidden="false" customHeight="true" outlineLevel="0" collapsed="false">
      <c r="A496" s="15" t="s">
        <v>2962</v>
      </c>
      <c r="B496" s="15" t="s">
        <v>1299</v>
      </c>
      <c r="C496" s="15" t="s">
        <v>2963</v>
      </c>
      <c r="D496" s="15" t="s">
        <v>2964</v>
      </c>
      <c r="E496" s="16" t="str">
        <f aca="false">HYPERLINK("#'Forrásszöveg'!A"&amp;(MATCH("TV-S0491",Forrásszöveg!$A$6:$A$2497,0)+5),"23. § (2) eleje")</f>
        <v>23. § (2) eleje</v>
      </c>
      <c r="F496" s="16" t="str">
        <f aca="false">HYPERLINK("https://net.jogtar.hu/jogszabaly?docid=a2400069.tv#pr491id","Jogtár megnyitása")</f>
        <v>Jogtár megnyitása</v>
      </c>
    </row>
    <row r="497" customFormat="false" ht="66" hidden="false" customHeight="true" outlineLevel="0" collapsed="false">
      <c r="A497" s="15" t="s">
        <v>2965</v>
      </c>
      <c r="B497" s="15" t="s">
        <v>1299</v>
      </c>
      <c r="C497" s="15" t="s">
        <v>2966</v>
      </c>
      <c r="D497" s="15" t="s">
        <v>2967</v>
      </c>
      <c r="E497" s="16" t="str">
        <f aca="false">HYPERLINK("#'Forrásszöveg'!A"&amp;(MATCH("TV-S0492",Forrásszöveg!$A$6:$A$2497,0)+5),"23. § (3) eleje")</f>
        <v>23. § (3) eleje</v>
      </c>
      <c r="F497" s="16" t="str">
        <f aca="false">HYPERLINK("https://net.jogtar.hu/jogszabaly?docid=a2400069.tv#pr492id","Jogtár megnyitása")</f>
        <v>Jogtár megnyitása</v>
      </c>
    </row>
    <row r="498" customFormat="false" ht="38" hidden="false" customHeight="true" outlineLevel="0" collapsed="false">
      <c r="A498" s="15" t="s">
        <v>2968</v>
      </c>
      <c r="B498" s="15" t="s">
        <v>1299</v>
      </c>
      <c r="C498" s="15" t="s">
        <v>1345</v>
      </c>
      <c r="D498" s="15" t="s">
        <v>1345</v>
      </c>
      <c r="E498" s="16" t="str">
        <f aca="false">HYPERLINK("#'Forrásszöveg'!A"&amp;(MATCH("TV-S0487",Forrásszöveg!$A$6:$A$2497,0)+5),"23. § eleje")</f>
        <v>23. § eleje</v>
      </c>
      <c r="F498" s="16" t="str">
        <f aca="false">HYPERLINK("https://net.jogtar.hu/jogszabaly?docid=a2400069.tv#pr493id","Jogtár megnyitása")</f>
        <v>Jogtár megnyitása</v>
      </c>
    </row>
    <row r="499" customFormat="false" ht="34" hidden="false" customHeight="true" outlineLevel="0" collapsed="false">
      <c r="A499" s="15" t="s">
        <v>2969</v>
      </c>
      <c r="B499" s="15" t="s">
        <v>1299</v>
      </c>
      <c r="C499" s="15" t="s">
        <v>2970</v>
      </c>
      <c r="D499" s="15" t="s">
        <v>2971</v>
      </c>
      <c r="E499" s="16" t="str">
        <f aca="false">HYPERLINK("#'Forrásszöveg'!A"&amp;(MATCH("TV-S0494",Forrásszöveg!$A$6:$A$2497,0)+5),"24. § (1) eleje")</f>
        <v>24. § (1) eleje</v>
      </c>
      <c r="F499" s="16" t="str">
        <f aca="false">HYPERLINK("https://net.jogtar.hu/jogszabaly?docid=a2400069.tv#pr494id","Jogtár megnyitása")</f>
        <v>Jogtár megnyitása</v>
      </c>
    </row>
    <row r="500" customFormat="false" ht="38" hidden="false" customHeight="true" outlineLevel="0" collapsed="false">
      <c r="A500" s="15" t="s">
        <v>2972</v>
      </c>
      <c r="B500" s="15" t="s">
        <v>1299</v>
      </c>
      <c r="C500" s="15" t="s">
        <v>2973</v>
      </c>
      <c r="D500" s="15" t="s">
        <v>2974</v>
      </c>
      <c r="E500" s="16" t="str">
        <f aca="false">HYPERLINK("#'Forrásszöveg'!A"&amp;(MATCH("TV-S0494",Forrásszöveg!$A$6:$A$2497,0)+5),"24. § (1) eleje")</f>
        <v>24. § (1) eleje</v>
      </c>
      <c r="F500" s="16" t="str">
        <f aca="false">HYPERLINK("https://net.jogtar.hu/jogszabaly?docid=a2400069.tv#pr495id","Jogtár megnyitása")</f>
        <v>Jogtár megnyitása</v>
      </c>
    </row>
    <row r="501" customFormat="false" ht="38" hidden="false" customHeight="true" outlineLevel="0" collapsed="false">
      <c r="A501" s="15" t="s">
        <v>2975</v>
      </c>
      <c r="B501" s="15" t="s">
        <v>1299</v>
      </c>
      <c r="C501" s="15" t="s">
        <v>2976</v>
      </c>
      <c r="D501" s="15" t="s">
        <v>2977</v>
      </c>
      <c r="E501" s="16" t="str">
        <f aca="false">HYPERLINK("#'Forrásszöveg'!A"&amp;(MATCH("TV-S0494",Forrásszöveg!$A$6:$A$2497,0)+5),"24. § (1) eleje")</f>
        <v>24. § (1) eleje</v>
      </c>
      <c r="F501" s="16" t="str">
        <f aca="false">HYPERLINK("https://net.jogtar.hu/jogszabaly?docid=a2400069.tv#pr496id","Jogtár megnyitása")</f>
        <v>Jogtár megnyitása</v>
      </c>
    </row>
    <row r="502" customFormat="false" ht="34" hidden="false" customHeight="true" outlineLevel="0" collapsed="false">
      <c r="A502" s="15" t="s">
        <v>2978</v>
      </c>
      <c r="B502" s="15" t="s">
        <v>1299</v>
      </c>
      <c r="C502" s="15" t="s">
        <v>2979</v>
      </c>
      <c r="D502" s="15" t="s">
        <v>2980</v>
      </c>
      <c r="E502" s="16" t="str">
        <f aca="false">HYPERLINK("#'Forrásszöveg'!A"&amp;(MATCH("TV-S0494",Forrásszöveg!$A$6:$A$2497,0)+5),"24. § (1) eleje")</f>
        <v>24. § (1) eleje</v>
      </c>
      <c r="F502" s="16" t="str">
        <f aca="false">HYPERLINK("https://net.jogtar.hu/jogszabaly?docid=a2400069.tv#pr497id","Jogtár megnyitása")</f>
        <v>Jogtár megnyitása</v>
      </c>
    </row>
    <row r="503" customFormat="false" ht="38" hidden="false" customHeight="true" outlineLevel="0" collapsed="false">
      <c r="A503" s="15" t="s">
        <v>2981</v>
      </c>
      <c r="B503" s="15" t="s">
        <v>1299</v>
      </c>
      <c r="C503" s="15" t="s">
        <v>2982</v>
      </c>
      <c r="D503" s="15" t="s">
        <v>2983</v>
      </c>
      <c r="E503" s="16" t="str">
        <f aca="false">HYPERLINK("#'Forrásszöveg'!A"&amp;(MATCH("TV-S0494",Forrásszöveg!$A$6:$A$2497,0)+5),"24. § (1) eleje")</f>
        <v>24. § (1) eleje</v>
      </c>
      <c r="F503" s="16" t="str">
        <f aca="false">HYPERLINK("https://net.jogtar.hu/jogszabaly?docid=a2400069.tv#pr498id","Jogtár megnyitása")</f>
        <v>Jogtár megnyitása</v>
      </c>
    </row>
    <row r="504" customFormat="false" ht="38" hidden="false" customHeight="true" outlineLevel="0" collapsed="false">
      <c r="A504" s="15" t="s">
        <v>2984</v>
      </c>
      <c r="B504" s="15" t="s">
        <v>1299</v>
      </c>
      <c r="C504" s="15" t="s">
        <v>2985</v>
      </c>
      <c r="D504" s="15" t="s">
        <v>2986</v>
      </c>
      <c r="E504" s="16" t="str">
        <f aca="false">HYPERLINK("#'Forrásszöveg'!A"&amp;(MATCH("TV-S0494",Forrásszöveg!$A$6:$A$2497,0)+5),"24. § (1) eleje")</f>
        <v>24. § (1) eleje</v>
      </c>
      <c r="F504" s="16" t="str">
        <f aca="false">HYPERLINK("https://net.jogtar.hu/jogszabaly?docid=a2400069.tv#pr499id","Jogtár megnyitása")</f>
        <v>Jogtár megnyitása</v>
      </c>
    </row>
    <row r="505" customFormat="false" ht="52" hidden="false" customHeight="true" outlineLevel="0" collapsed="false">
      <c r="A505" s="15" t="s">
        <v>2987</v>
      </c>
      <c r="B505" s="15" t="s">
        <v>1299</v>
      </c>
      <c r="C505" s="15" t="s">
        <v>2988</v>
      </c>
      <c r="D505" s="15" t="s">
        <v>2989</v>
      </c>
      <c r="E505" s="16" t="str">
        <f aca="false">HYPERLINK("#'Forrásszöveg'!A"&amp;(MATCH("TV-S0494",Forrásszöveg!$A$6:$A$2497,0)+5),"24. § (1) eleje")</f>
        <v>24. § (1) eleje</v>
      </c>
      <c r="F505" s="16" t="str">
        <f aca="false">HYPERLINK("https://net.jogtar.hu/jogszabaly?docid=a2400069.tv#pr500id","Jogtár megnyitása")</f>
        <v>Jogtár megnyitása</v>
      </c>
    </row>
    <row r="506" customFormat="false" ht="38" hidden="false" customHeight="true" outlineLevel="0" collapsed="false">
      <c r="A506" s="15" t="s">
        <v>2990</v>
      </c>
      <c r="B506" s="15" t="s">
        <v>1299</v>
      </c>
      <c r="C506" s="15" t="s">
        <v>2991</v>
      </c>
      <c r="D506" s="15" t="s">
        <v>2992</v>
      </c>
      <c r="E506" s="16" t="str">
        <f aca="false">HYPERLINK("#'Forrásszöveg'!A"&amp;(MATCH("TV-S0494",Forrásszöveg!$A$6:$A$2497,0)+5),"24. § (1) eleje")</f>
        <v>24. § (1) eleje</v>
      </c>
      <c r="F506" s="16" t="str">
        <f aca="false">HYPERLINK("https://net.jogtar.hu/jogszabaly?docid=a2400069.tv#pr501id","Jogtár megnyitása")</f>
        <v>Jogtár megnyitása</v>
      </c>
    </row>
    <row r="507" customFormat="false" ht="38" hidden="false" customHeight="true" outlineLevel="0" collapsed="false">
      <c r="A507" s="15" t="s">
        <v>2993</v>
      </c>
      <c r="B507" s="15" t="s">
        <v>1299</v>
      </c>
      <c r="C507" s="15" t="s">
        <v>2994</v>
      </c>
      <c r="D507" s="15" t="s">
        <v>2995</v>
      </c>
      <c r="E507" s="16" t="str">
        <f aca="false">HYPERLINK("#'Forrásszöveg'!A"&amp;(MATCH("TV-S0494",Forrásszöveg!$A$6:$A$2497,0)+5),"24. § (1) eleje")</f>
        <v>24. § (1) eleje</v>
      </c>
      <c r="F507" s="16" t="str">
        <f aca="false">HYPERLINK("https://net.jogtar.hu/jogszabaly?docid=a2400069.tv#pr502id","Jogtár megnyitása")</f>
        <v>Jogtár megnyitása</v>
      </c>
    </row>
    <row r="508" customFormat="false" ht="38" hidden="false" customHeight="true" outlineLevel="0" collapsed="false">
      <c r="A508" s="15" t="s">
        <v>2996</v>
      </c>
      <c r="B508" s="15" t="s">
        <v>1299</v>
      </c>
      <c r="C508" s="15" t="s">
        <v>2997</v>
      </c>
      <c r="D508" s="15" t="s">
        <v>2998</v>
      </c>
      <c r="E508" s="16" t="str">
        <f aca="false">HYPERLINK("#'Forrásszöveg'!A"&amp;(MATCH("TV-S0494",Forrásszöveg!$A$6:$A$2497,0)+5),"24. § (1) eleje")</f>
        <v>24. § (1) eleje</v>
      </c>
      <c r="F508" s="16" t="str">
        <f aca="false">HYPERLINK("https://net.jogtar.hu/jogszabaly?docid=a2400069.tv#pr503id","Jogtár megnyitása")</f>
        <v>Jogtár megnyitása</v>
      </c>
    </row>
    <row r="509" customFormat="false" ht="52" hidden="false" customHeight="true" outlineLevel="0" collapsed="false">
      <c r="A509" s="15" t="s">
        <v>2999</v>
      </c>
      <c r="B509" s="15" t="s">
        <v>1299</v>
      </c>
      <c r="C509" s="15" t="s">
        <v>3000</v>
      </c>
      <c r="D509" s="15" t="s">
        <v>3001</v>
      </c>
      <c r="E509" s="16" t="str">
        <f aca="false">HYPERLINK("#'Forrásszöveg'!A"&amp;(MATCH("TV-S0494",Forrásszöveg!$A$6:$A$2497,0)+5),"24. § (1) eleje")</f>
        <v>24. § (1) eleje</v>
      </c>
      <c r="F509" s="16" t="str">
        <f aca="false">HYPERLINK("https://net.jogtar.hu/jogszabaly?docid=a2400069.tv#pr504id","Jogtár megnyitása")</f>
        <v>Jogtár megnyitása</v>
      </c>
    </row>
    <row r="510" customFormat="false" ht="38" hidden="false" customHeight="true" outlineLevel="0" collapsed="false">
      <c r="A510" s="15" t="s">
        <v>3002</v>
      </c>
      <c r="B510" s="15" t="s">
        <v>1299</v>
      </c>
      <c r="C510" s="15" t="s">
        <v>3003</v>
      </c>
      <c r="D510" s="15" t="s">
        <v>3004</v>
      </c>
      <c r="E510" s="16" t="str">
        <f aca="false">HYPERLINK("#'Forrásszöveg'!A"&amp;(MATCH("TV-S0494",Forrásszöveg!$A$6:$A$2497,0)+5),"24. § (1) eleje")</f>
        <v>24. § (1) eleje</v>
      </c>
      <c r="F510" s="16" t="str">
        <f aca="false">HYPERLINK("https://net.jogtar.hu/jogszabaly?docid=a2400069.tv#pr505id","Jogtár megnyitása")</f>
        <v>Jogtár megnyitása</v>
      </c>
    </row>
    <row r="511" customFormat="false" ht="34" hidden="false" customHeight="true" outlineLevel="0" collapsed="false">
      <c r="A511" s="15" t="s">
        <v>3005</v>
      </c>
      <c r="B511" s="15" t="s">
        <v>1299</v>
      </c>
      <c r="C511" s="15" t="s">
        <v>3006</v>
      </c>
      <c r="D511" s="15" t="s">
        <v>3007</v>
      </c>
      <c r="E511" s="16" t="str">
        <f aca="false">HYPERLINK("#'Forrásszöveg'!A"&amp;(MATCH("TV-S0494",Forrásszöveg!$A$6:$A$2497,0)+5),"24. § (1) eleje")</f>
        <v>24. § (1) eleje</v>
      </c>
      <c r="F511" s="16" t="str">
        <f aca="false">HYPERLINK("https://net.jogtar.hu/jogszabaly?docid=a2400069.tv#pr506id","Jogtár megnyitása")</f>
        <v>Jogtár megnyitása</v>
      </c>
    </row>
    <row r="512" customFormat="false" ht="38" hidden="false" customHeight="true" outlineLevel="0" collapsed="false">
      <c r="A512" s="15" t="s">
        <v>3008</v>
      </c>
      <c r="B512" s="15" t="s">
        <v>1299</v>
      </c>
      <c r="C512" s="15" t="s">
        <v>3009</v>
      </c>
      <c r="D512" s="15" t="s">
        <v>3010</v>
      </c>
      <c r="E512" s="16" t="str">
        <f aca="false">HYPERLINK("#'Forrásszöveg'!A"&amp;(MATCH("TV-S0494",Forrásszöveg!$A$6:$A$2497,0)+5),"24. § (1) eleje")</f>
        <v>24. § (1) eleje</v>
      </c>
      <c r="F512" s="16" t="str">
        <f aca="false">HYPERLINK("https://net.jogtar.hu/jogszabaly?docid=a2400069.tv#pr507id","Jogtár megnyitása")</f>
        <v>Jogtár megnyitása</v>
      </c>
    </row>
    <row r="513" customFormat="false" ht="34" hidden="false" customHeight="true" outlineLevel="0" collapsed="false">
      <c r="A513" s="15" t="s">
        <v>3011</v>
      </c>
      <c r="B513" s="15" t="s">
        <v>1299</v>
      </c>
      <c r="C513" s="15" t="s">
        <v>3012</v>
      </c>
      <c r="D513" s="15" t="s">
        <v>3013</v>
      </c>
      <c r="E513" s="16" t="str">
        <f aca="false">HYPERLINK("#'Forrásszöveg'!A"&amp;(MATCH("TV-S0494",Forrásszöveg!$A$6:$A$2497,0)+5),"24. § (1) eleje")</f>
        <v>24. § (1) eleje</v>
      </c>
      <c r="F513" s="16" t="str">
        <f aca="false">HYPERLINK("https://net.jogtar.hu/jogszabaly?docid=a2400069.tv#pr508id","Jogtár megnyitása")</f>
        <v>Jogtár megnyitása</v>
      </c>
    </row>
    <row r="514" customFormat="false" ht="34" hidden="false" customHeight="true" outlineLevel="0" collapsed="false">
      <c r="A514" s="15" t="s">
        <v>3014</v>
      </c>
      <c r="B514" s="15" t="s">
        <v>1299</v>
      </c>
      <c r="C514" s="15" t="s">
        <v>3015</v>
      </c>
      <c r="D514" s="15" t="s">
        <v>3016</v>
      </c>
      <c r="E514" s="16" t="str">
        <f aca="false">HYPERLINK("#'Forrásszöveg'!A"&amp;(MATCH("TV-S0494",Forrásszöveg!$A$6:$A$2497,0)+5),"24. § (1) eleje")</f>
        <v>24. § (1) eleje</v>
      </c>
      <c r="F514" s="16" t="str">
        <f aca="false">HYPERLINK("https://net.jogtar.hu/jogszabaly?docid=a2400069.tv#pr509id","Jogtár megnyitása")</f>
        <v>Jogtár megnyitása</v>
      </c>
    </row>
    <row r="515" customFormat="false" ht="38" hidden="false" customHeight="true" outlineLevel="0" collapsed="false">
      <c r="A515" s="15" t="s">
        <v>3017</v>
      </c>
      <c r="B515" s="15" t="s">
        <v>1299</v>
      </c>
      <c r="C515" s="15" t="s">
        <v>3018</v>
      </c>
      <c r="D515" s="15" t="s">
        <v>3019</v>
      </c>
      <c r="E515" s="16" t="str">
        <f aca="false">HYPERLINK("#'Forrásszöveg'!A"&amp;(MATCH("TV-S0494",Forrásszöveg!$A$6:$A$2497,0)+5),"24. § (1) eleje")</f>
        <v>24. § (1) eleje</v>
      </c>
      <c r="F515" s="16" t="str">
        <f aca="false">HYPERLINK("https://net.jogtar.hu/jogszabaly?docid=a2400069.tv#pr510id","Jogtár megnyitása")</f>
        <v>Jogtár megnyitása</v>
      </c>
    </row>
    <row r="516" customFormat="false" ht="52" hidden="false" customHeight="true" outlineLevel="0" collapsed="false">
      <c r="A516" s="15" t="s">
        <v>3020</v>
      </c>
      <c r="B516" s="15" t="s">
        <v>1299</v>
      </c>
      <c r="C516" s="15" t="s">
        <v>3021</v>
      </c>
      <c r="D516" s="15" t="s">
        <v>3022</v>
      </c>
      <c r="E516" s="16" t="str">
        <f aca="false">HYPERLINK("#'Forrásszöveg'!A"&amp;(MATCH("TV-S0494",Forrásszöveg!$A$6:$A$2497,0)+5),"24. § (1) eleje")</f>
        <v>24. § (1) eleje</v>
      </c>
      <c r="F516" s="16" t="str">
        <f aca="false">HYPERLINK("https://net.jogtar.hu/jogszabaly?docid=a2400069.tv#pr511id","Jogtár megnyitása")</f>
        <v>Jogtár megnyitása</v>
      </c>
    </row>
    <row r="517" customFormat="false" ht="34" hidden="false" customHeight="true" outlineLevel="0" collapsed="false">
      <c r="A517" s="15" t="s">
        <v>3023</v>
      </c>
      <c r="B517" s="15" t="s">
        <v>1299</v>
      </c>
      <c r="C517" s="15" t="s">
        <v>3024</v>
      </c>
      <c r="D517" s="15" t="s">
        <v>3025</v>
      </c>
      <c r="E517" s="16" t="str">
        <f aca="false">HYPERLINK("#'Forrásszöveg'!A"&amp;(MATCH("TV-S0494",Forrásszöveg!$A$6:$A$2497,0)+5),"24. § (1) eleje")</f>
        <v>24. § (1) eleje</v>
      </c>
      <c r="F517" s="16" t="str">
        <f aca="false">HYPERLINK("https://net.jogtar.hu/jogszabaly?docid=a2400069.tv#pr512id","Jogtár megnyitása")</f>
        <v>Jogtár megnyitása</v>
      </c>
    </row>
    <row r="518" customFormat="false" ht="38" hidden="false" customHeight="true" outlineLevel="0" collapsed="false">
      <c r="A518" s="15" t="s">
        <v>3026</v>
      </c>
      <c r="B518" s="15" t="s">
        <v>1299</v>
      </c>
      <c r="C518" s="15" t="s">
        <v>3027</v>
      </c>
      <c r="D518" s="15" t="s">
        <v>3028</v>
      </c>
      <c r="E518" s="16" t="str">
        <f aca="false">HYPERLINK("#'Forrásszöveg'!A"&amp;(MATCH("TV-S0494",Forrásszöveg!$A$6:$A$2497,0)+5),"24. § (1) eleje")</f>
        <v>24. § (1) eleje</v>
      </c>
      <c r="F518" s="16" t="str">
        <f aca="false">HYPERLINK("https://net.jogtar.hu/jogszabaly?docid=a2400069.tv#pr513id","Jogtár megnyitása")</f>
        <v>Jogtár megnyitása</v>
      </c>
    </row>
    <row r="519" customFormat="false" ht="38" hidden="false" customHeight="true" outlineLevel="0" collapsed="false">
      <c r="A519" s="15" t="s">
        <v>3029</v>
      </c>
      <c r="B519" s="15" t="s">
        <v>1299</v>
      </c>
      <c r="C519" s="15" t="s">
        <v>3030</v>
      </c>
      <c r="D519" s="15" t="s">
        <v>3031</v>
      </c>
      <c r="E519" s="16" t="str">
        <f aca="false">HYPERLINK("#'Forrásszöveg'!A"&amp;(MATCH("TV-S0494",Forrásszöveg!$A$6:$A$2497,0)+5),"24. § (1) eleje")</f>
        <v>24. § (1) eleje</v>
      </c>
      <c r="F519" s="16" t="str">
        <f aca="false">HYPERLINK("https://net.jogtar.hu/jogszabaly?docid=a2400069.tv#pr514id","Jogtár megnyitása")</f>
        <v>Jogtár megnyitása</v>
      </c>
    </row>
    <row r="520" customFormat="false" ht="38" hidden="false" customHeight="true" outlineLevel="0" collapsed="false">
      <c r="A520" s="15" t="s">
        <v>3032</v>
      </c>
      <c r="B520" s="15" t="s">
        <v>1299</v>
      </c>
      <c r="C520" s="15" t="s">
        <v>3033</v>
      </c>
      <c r="D520" s="15" t="s">
        <v>3034</v>
      </c>
      <c r="E520" s="16" t="str">
        <f aca="false">HYPERLINK("#'Forrásszöveg'!A"&amp;(MATCH("TV-S0494",Forrásszöveg!$A$6:$A$2497,0)+5),"24. § (1) eleje")</f>
        <v>24. § (1) eleje</v>
      </c>
      <c r="F520" s="16" t="str">
        <f aca="false">HYPERLINK("https://net.jogtar.hu/jogszabaly?docid=a2400069.tv#pr515id","Jogtár megnyitása")</f>
        <v>Jogtár megnyitása</v>
      </c>
    </row>
    <row r="521" customFormat="false" ht="38" hidden="false" customHeight="true" outlineLevel="0" collapsed="false">
      <c r="A521" s="15" t="s">
        <v>3035</v>
      </c>
      <c r="B521" s="15" t="s">
        <v>1299</v>
      </c>
      <c r="C521" s="15" t="s">
        <v>3036</v>
      </c>
      <c r="D521" s="15" t="s">
        <v>3037</v>
      </c>
      <c r="E521" s="16" t="str">
        <f aca="false">HYPERLINK("#'Forrásszöveg'!A"&amp;(MATCH("TV-S0494",Forrásszöveg!$A$6:$A$2497,0)+5),"24. § (1) eleje")</f>
        <v>24. § (1) eleje</v>
      </c>
      <c r="F521" s="16" t="str">
        <f aca="false">HYPERLINK("https://net.jogtar.hu/jogszabaly?docid=a2400069.tv#pr516id","Jogtár megnyitása")</f>
        <v>Jogtár megnyitása</v>
      </c>
    </row>
    <row r="522" customFormat="false" ht="38" hidden="false" customHeight="true" outlineLevel="0" collapsed="false">
      <c r="A522" s="15" t="s">
        <v>3038</v>
      </c>
      <c r="B522" s="15" t="s">
        <v>1299</v>
      </c>
      <c r="C522" s="15" t="s">
        <v>3039</v>
      </c>
      <c r="D522" s="15" t="s">
        <v>3040</v>
      </c>
      <c r="E522" s="16" t="str">
        <f aca="false">HYPERLINK("#'Forrásszöveg'!A"&amp;(MATCH("TV-S0494",Forrásszöveg!$A$6:$A$2497,0)+5),"24. § (1) eleje")</f>
        <v>24. § (1) eleje</v>
      </c>
      <c r="F522" s="16" t="str">
        <f aca="false">HYPERLINK("https://net.jogtar.hu/jogszabaly?docid=a2400069.tv#pr517id","Jogtár megnyitása")</f>
        <v>Jogtár megnyitása</v>
      </c>
    </row>
    <row r="523" customFormat="false" ht="38" hidden="false" customHeight="true" outlineLevel="0" collapsed="false">
      <c r="A523" s="15" t="s">
        <v>3041</v>
      </c>
      <c r="B523" s="15" t="s">
        <v>1299</v>
      </c>
      <c r="C523" s="15" t="s">
        <v>3042</v>
      </c>
      <c r="D523" s="15" t="s">
        <v>3043</v>
      </c>
      <c r="E523" s="16" t="str">
        <f aca="false">HYPERLINK("#'Forrásszöveg'!A"&amp;(MATCH("TV-S0518",Forrásszöveg!$A$6:$A$2497,0)+5),"24. § (2) eleje")</f>
        <v>24. § (2) eleje</v>
      </c>
      <c r="F523" s="16" t="str">
        <f aca="false">HYPERLINK("https://net.jogtar.hu/jogszabaly?docid=a2400069.tv#pr518id","Jogtár megnyitása")</f>
        <v>Jogtár megnyitása</v>
      </c>
    </row>
    <row r="524" customFormat="false" ht="66" hidden="false" customHeight="true" outlineLevel="0" collapsed="false">
      <c r="A524" s="15" t="s">
        <v>3044</v>
      </c>
      <c r="B524" s="15" t="s">
        <v>1299</v>
      </c>
      <c r="C524" s="15" t="s">
        <v>3045</v>
      </c>
      <c r="D524" s="15" t="s">
        <v>3046</v>
      </c>
      <c r="E524" s="16" t="str">
        <f aca="false">HYPERLINK("#'Forrásszöveg'!A"&amp;(MATCH("TV-S0519",Forrásszöveg!$A$6:$A$2497,0)+5),"24. § (3) eleje")</f>
        <v>24. § (3) eleje</v>
      </c>
      <c r="F524" s="16" t="str">
        <f aca="false">HYPERLINK("https://net.jogtar.hu/jogszabaly?docid=a2400069.tv#pr519id","Jogtár megnyitása")</f>
        <v>Jogtár megnyitása</v>
      </c>
    </row>
    <row r="525" customFormat="false" ht="38" hidden="false" customHeight="true" outlineLevel="0" collapsed="false">
      <c r="A525" s="15" t="s">
        <v>3047</v>
      </c>
      <c r="B525" s="15" t="s">
        <v>1299</v>
      </c>
      <c r="C525" s="15" t="s">
        <v>3048</v>
      </c>
      <c r="D525" s="15" t="s">
        <v>3049</v>
      </c>
      <c r="E525" s="16" t="str">
        <f aca="false">HYPERLINK("#'Forrásszöveg'!A"&amp;(MATCH("TV-S0520",Forrásszöveg!$A$6:$A$2497,0)+5),"24. § (4) eleje")</f>
        <v>24. § (4) eleje</v>
      </c>
      <c r="F525" s="16" t="str">
        <f aca="false">HYPERLINK("https://net.jogtar.hu/jogszabaly?docid=a2400069.tv#pr520id","Jogtár megnyitása")</f>
        <v>Jogtár megnyitása</v>
      </c>
    </row>
    <row r="526" customFormat="false" ht="34" hidden="false" customHeight="true" outlineLevel="0" collapsed="false">
      <c r="A526" s="15" t="s">
        <v>3050</v>
      </c>
      <c r="B526" s="15" t="s">
        <v>1299</v>
      </c>
      <c r="C526" s="15" t="s">
        <v>3051</v>
      </c>
      <c r="D526" s="15" t="s">
        <v>3052</v>
      </c>
      <c r="E526" s="16" t="str">
        <f aca="false">HYPERLINK("#'Forrásszöveg'!A"&amp;(MATCH("TV-S0521",Forrásszöveg!$A$6:$A$2497,0)+5),"24. § (5) eleje")</f>
        <v>24. § (5) eleje</v>
      </c>
      <c r="F526" s="16" t="str">
        <f aca="false">HYPERLINK("https://net.jogtar.hu/jogszabaly?docid=a2400069.tv#pr521id","Jogtár megnyitása")</f>
        <v>Jogtár megnyitása</v>
      </c>
    </row>
    <row r="527" customFormat="false" ht="38" hidden="false" customHeight="true" outlineLevel="0" collapsed="false">
      <c r="A527" s="15" t="s">
        <v>3053</v>
      </c>
      <c r="B527" s="15" t="s">
        <v>1299</v>
      </c>
      <c r="C527" s="15" t="s">
        <v>3054</v>
      </c>
      <c r="D527" s="15" t="s">
        <v>3055</v>
      </c>
      <c r="E527" s="16" t="str">
        <f aca="false">HYPERLINK("#'Forrásszöveg'!A"&amp;(MATCH("TV-S0521",Forrásszöveg!$A$6:$A$2497,0)+5),"24. § (5) eleje")</f>
        <v>24. § (5) eleje</v>
      </c>
      <c r="F527" s="16" t="str">
        <f aca="false">HYPERLINK("https://net.jogtar.hu/jogszabaly?docid=a2400069.tv#pr522id","Jogtár megnyitása")</f>
        <v>Jogtár megnyitása</v>
      </c>
    </row>
    <row r="528" customFormat="false" ht="38" hidden="false" customHeight="true" outlineLevel="0" collapsed="false">
      <c r="A528" s="15" t="s">
        <v>3056</v>
      </c>
      <c r="B528" s="15" t="s">
        <v>1299</v>
      </c>
      <c r="C528" s="15" t="s">
        <v>3057</v>
      </c>
      <c r="D528" s="15" t="s">
        <v>3058</v>
      </c>
      <c r="E528" s="16" t="str">
        <f aca="false">HYPERLINK("#'Forrásszöveg'!A"&amp;(MATCH("TV-S0521",Forrásszöveg!$A$6:$A$2497,0)+5),"24. § (5) eleje")</f>
        <v>24. § (5) eleje</v>
      </c>
      <c r="F528" s="16" t="str">
        <f aca="false">HYPERLINK("https://net.jogtar.hu/jogszabaly?docid=a2400069.tv#pr523id","Jogtár megnyitása")</f>
        <v>Jogtár megnyitása</v>
      </c>
    </row>
    <row r="529" customFormat="false" ht="34" hidden="false" customHeight="true" outlineLevel="0" collapsed="false">
      <c r="A529" s="15" t="s">
        <v>3059</v>
      </c>
      <c r="B529" s="15" t="s">
        <v>1299</v>
      </c>
      <c r="C529" s="15" t="s">
        <v>3060</v>
      </c>
      <c r="D529" s="15" t="s">
        <v>3061</v>
      </c>
      <c r="E529" s="16" t="str">
        <f aca="false">HYPERLINK("#'Forrásszöveg'!A"&amp;(MATCH("TV-S0521",Forrásszöveg!$A$6:$A$2497,0)+5),"24. § (5) eleje")</f>
        <v>24. § (5) eleje</v>
      </c>
      <c r="F529" s="16" t="str">
        <f aca="false">HYPERLINK("https://net.jogtar.hu/jogszabaly?docid=a2400069.tv#pr524id","Jogtár megnyitása")</f>
        <v>Jogtár megnyitása</v>
      </c>
    </row>
    <row r="530" customFormat="false" ht="38" hidden="false" customHeight="true" outlineLevel="0" collapsed="false">
      <c r="A530" s="15" t="s">
        <v>3062</v>
      </c>
      <c r="B530" s="15" t="s">
        <v>1299</v>
      </c>
      <c r="C530" s="15" t="s">
        <v>3063</v>
      </c>
      <c r="D530" s="15" t="s">
        <v>3064</v>
      </c>
      <c r="E530" s="16" t="str">
        <f aca="false">HYPERLINK("#'Forrásszöveg'!A"&amp;(MATCH("TV-S0521",Forrásszöveg!$A$6:$A$2497,0)+5),"24. § (5) eleje")</f>
        <v>24. § (5) eleje</v>
      </c>
      <c r="F530" s="16" t="str">
        <f aca="false">HYPERLINK("https://net.jogtar.hu/jogszabaly?docid=a2400069.tv#pr525id","Jogtár megnyitása")</f>
        <v>Jogtár megnyitása</v>
      </c>
    </row>
    <row r="531" customFormat="false" ht="34" hidden="false" customHeight="true" outlineLevel="0" collapsed="false">
      <c r="A531" s="15" t="s">
        <v>3065</v>
      </c>
      <c r="B531" s="15" t="s">
        <v>1299</v>
      </c>
      <c r="C531" s="15" t="s">
        <v>3066</v>
      </c>
      <c r="D531" s="15" t="s">
        <v>3067</v>
      </c>
      <c r="E531" s="16" t="str">
        <f aca="false">HYPERLINK("#'Forrásszöveg'!A"&amp;(MATCH("TV-S0521",Forrásszöveg!$A$6:$A$2497,0)+5),"24. § (5) eleje")</f>
        <v>24. § (5) eleje</v>
      </c>
      <c r="F531" s="16" t="str">
        <f aca="false">HYPERLINK("https://net.jogtar.hu/jogszabaly?docid=a2400069.tv#pr526id","Jogtár megnyitása")</f>
        <v>Jogtár megnyitása</v>
      </c>
    </row>
    <row r="532" customFormat="false" ht="34" hidden="false" customHeight="true" outlineLevel="0" collapsed="false">
      <c r="A532" s="15" t="s">
        <v>3068</v>
      </c>
      <c r="B532" s="15" t="s">
        <v>1299</v>
      </c>
      <c r="C532" s="15" t="s">
        <v>3069</v>
      </c>
      <c r="D532" s="15" t="s">
        <v>3070</v>
      </c>
      <c r="E532" s="16" t="str">
        <f aca="false">HYPERLINK("#'Forrásszöveg'!A"&amp;(MATCH("TV-S0521",Forrásszöveg!$A$6:$A$2497,0)+5),"24. § (5) eleje")</f>
        <v>24. § (5) eleje</v>
      </c>
      <c r="F532" s="16" t="str">
        <f aca="false">HYPERLINK("https://net.jogtar.hu/jogszabaly?docid=a2400069.tv#pr527id","Jogtár megnyitása")</f>
        <v>Jogtár megnyitása</v>
      </c>
    </row>
    <row r="533" customFormat="false" ht="34" hidden="false" customHeight="true" outlineLevel="0" collapsed="false">
      <c r="A533" s="15" t="s">
        <v>3071</v>
      </c>
      <c r="B533" s="15" t="s">
        <v>1299</v>
      </c>
      <c r="C533" s="15" t="s">
        <v>3072</v>
      </c>
      <c r="D533" s="15" t="s">
        <v>3073</v>
      </c>
      <c r="E533" s="16" t="str">
        <f aca="false">HYPERLINK("#'Forrásszöveg'!A"&amp;(MATCH("TV-S0521",Forrásszöveg!$A$6:$A$2497,0)+5),"24. § (5) eleje")</f>
        <v>24. § (5) eleje</v>
      </c>
      <c r="F533" s="16" t="str">
        <f aca="false">HYPERLINK("https://net.jogtar.hu/jogszabaly?docid=a2400069.tv#pr528id","Jogtár megnyitása")</f>
        <v>Jogtár megnyitása</v>
      </c>
    </row>
    <row r="534" customFormat="false" ht="38" hidden="false" customHeight="true" outlineLevel="0" collapsed="false">
      <c r="A534" s="15" t="s">
        <v>3074</v>
      </c>
      <c r="B534" s="15" t="s">
        <v>1299</v>
      </c>
      <c r="C534" s="15" t="s">
        <v>3075</v>
      </c>
      <c r="D534" s="15" t="s">
        <v>3076</v>
      </c>
      <c r="E534" s="16" t="str">
        <f aca="false">HYPERLINK("#'Forrásszöveg'!A"&amp;(MATCH("TV-S0521",Forrásszöveg!$A$6:$A$2497,0)+5),"24. § (5) eleje")</f>
        <v>24. § (5) eleje</v>
      </c>
      <c r="F534" s="16" t="str">
        <f aca="false">HYPERLINK("https://net.jogtar.hu/jogszabaly?docid=a2400069.tv#pr529id","Jogtár megnyitása")</f>
        <v>Jogtár megnyitása</v>
      </c>
    </row>
    <row r="535" customFormat="false" ht="34" hidden="false" customHeight="true" outlineLevel="0" collapsed="false">
      <c r="A535" s="15" t="s">
        <v>3077</v>
      </c>
      <c r="B535" s="15" t="s">
        <v>1299</v>
      </c>
      <c r="C535" s="15" t="s">
        <v>3078</v>
      </c>
      <c r="D535" s="15" t="s">
        <v>3079</v>
      </c>
      <c r="E535" s="16" t="str">
        <f aca="false">HYPERLINK("#'Forrásszöveg'!A"&amp;(MATCH("TV-S0530",Forrásszöveg!$A$6:$A$2497,0)+5),"24. § (6) eleje")</f>
        <v>24. § (6) eleje</v>
      </c>
      <c r="F535" s="16" t="str">
        <f aca="false">HYPERLINK("https://net.jogtar.hu/jogszabaly?docid=a2400069.tv#pr530id","Jogtár megnyitása")</f>
        <v>Jogtár megnyitása</v>
      </c>
    </row>
    <row r="536" customFormat="false" ht="34" hidden="false" customHeight="true" outlineLevel="0" collapsed="false">
      <c r="A536" s="15" t="s">
        <v>3080</v>
      </c>
      <c r="B536" s="15" t="s">
        <v>1299</v>
      </c>
      <c r="C536" s="15" t="s">
        <v>3081</v>
      </c>
      <c r="D536" s="15" t="s">
        <v>3082</v>
      </c>
      <c r="E536" s="16" t="str">
        <f aca="false">HYPERLINK("#'Forrásszöveg'!A"&amp;(MATCH("TV-S0531",Forrásszöveg!$A$6:$A$2497,0)+5),"24. § (7) eleje")</f>
        <v>24. § (7) eleje</v>
      </c>
      <c r="F536" s="16" t="str">
        <f aca="false">HYPERLINK("https://net.jogtar.hu/jogszabaly?docid=a2400069.tv#pr531id","Jogtár megnyitása")</f>
        <v>Jogtár megnyitása</v>
      </c>
    </row>
    <row r="537" customFormat="false" ht="52" hidden="false" customHeight="true" outlineLevel="0" collapsed="false">
      <c r="A537" s="15" t="s">
        <v>3083</v>
      </c>
      <c r="B537" s="15" t="s">
        <v>1299</v>
      </c>
      <c r="C537" s="15" t="s">
        <v>3084</v>
      </c>
      <c r="D537" s="15" t="s">
        <v>3085</v>
      </c>
      <c r="E537" s="16" t="str">
        <f aca="false">HYPERLINK("#'Forrásszöveg'!A"&amp;(MATCH("TV-S0531",Forrásszöveg!$A$6:$A$2497,0)+5),"24. § (7) eleje")</f>
        <v>24. § (7) eleje</v>
      </c>
      <c r="F537" s="16" t="str">
        <f aca="false">HYPERLINK("https://net.jogtar.hu/jogszabaly?docid=a2400069.tv#pr532id","Jogtár megnyitása")</f>
        <v>Jogtár megnyitása</v>
      </c>
    </row>
    <row r="538" customFormat="false" ht="38" hidden="false" customHeight="true" outlineLevel="0" collapsed="false">
      <c r="A538" s="15" t="s">
        <v>3086</v>
      </c>
      <c r="B538" s="15" t="s">
        <v>1299</v>
      </c>
      <c r="C538" s="15" t="s">
        <v>3087</v>
      </c>
      <c r="D538" s="15" t="s">
        <v>3088</v>
      </c>
      <c r="E538" s="16" t="str">
        <f aca="false">HYPERLINK("#'Forrásszöveg'!A"&amp;(MATCH("TV-S0531",Forrásszöveg!$A$6:$A$2497,0)+5),"24. § (7) eleje")</f>
        <v>24. § (7) eleje</v>
      </c>
      <c r="F538" s="16" t="str">
        <f aca="false">HYPERLINK("https://net.jogtar.hu/jogszabaly?docid=a2400069.tv#pr533id","Jogtár megnyitása")</f>
        <v>Jogtár megnyitása</v>
      </c>
    </row>
    <row r="539" customFormat="false" ht="38" hidden="false" customHeight="true" outlineLevel="0" collapsed="false">
      <c r="A539" s="15" t="s">
        <v>3089</v>
      </c>
      <c r="B539" s="15" t="s">
        <v>1299</v>
      </c>
      <c r="C539" s="15" t="s">
        <v>3090</v>
      </c>
      <c r="D539" s="15" t="s">
        <v>3091</v>
      </c>
      <c r="E539" s="16" t="str">
        <f aca="false">HYPERLINK("#'Forrásszöveg'!A"&amp;(MATCH("TV-S0534",Forrásszöveg!$A$6:$A$2497,0)+5),"24. § (8) eleje")</f>
        <v>24. § (8) eleje</v>
      </c>
      <c r="F539" s="16" t="str">
        <f aca="false">HYPERLINK("https://net.jogtar.hu/jogszabaly?docid=a2400069.tv#pr534id","Jogtár megnyitása")</f>
        <v>Jogtár megnyitása</v>
      </c>
    </row>
    <row r="540" customFormat="false" ht="66" hidden="false" customHeight="true" outlineLevel="0" collapsed="false">
      <c r="A540" s="15" t="s">
        <v>3092</v>
      </c>
      <c r="B540" s="15" t="s">
        <v>1299</v>
      </c>
      <c r="C540" s="15" t="s">
        <v>3093</v>
      </c>
      <c r="D540" s="15" t="s">
        <v>3094</v>
      </c>
      <c r="E540" s="16" t="str">
        <f aca="false">HYPERLINK("#'Forrásszöveg'!A"&amp;(MATCH("TV-S0535",Forrásszöveg!$A$6:$A$2497,0)+5),"24. § (9) eleje")</f>
        <v>24. § (9) eleje</v>
      </c>
      <c r="F540" s="16" t="str">
        <f aca="false">HYPERLINK("https://net.jogtar.hu/jogszabaly?docid=a2400069.tv#pr535id","Jogtár megnyitása")</f>
        <v>Jogtár megnyitása</v>
      </c>
    </row>
    <row r="541" customFormat="false" ht="38" hidden="false" customHeight="true" outlineLevel="0" collapsed="false">
      <c r="A541" s="15" t="s">
        <v>3095</v>
      </c>
      <c r="B541" s="15" t="s">
        <v>1299</v>
      </c>
      <c r="C541" s="15" t="s">
        <v>1347</v>
      </c>
      <c r="D541" s="15" t="s">
        <v>1347</v>
      </c>
      <c r="E541" s="16" t="str">
        <f aca="false">HYPERLINK("#'Forrásszöveg'!A"&amp;(MATCH("TV-S0494",Forrásszöveg!$A$6:$A$2497,0)+5),"24. § eleje")</f>
        <v>24. § eleje</v>
      </c>
      <c r="F541" s="16" t="str">
        <f aca="false">HYPERLINK("https://net.jogtar.hu/jogszabaly?docid=a2400069.tv#pr536id","Jogtár megnyitása")</f>
        <v>Jogtár megnyitása</v>
      </c>
    </row>
    <row r="542" customFormat="false" ht="34" hidden="false" customHeight="true" outlineLevel="0" collapsed="false">
      <c r="A542" s="15" t="s">
        <v>3096</v>
      </c>
      <c r="B542" s="15" t="s">
        <v>1299</v>
      </c>
      <c r="C542" s="15" t="s">
        <v>3097</v>
      </c>
      <c r="D542" s="15" t="s">
        <v>3098</v>
      </c>
      <c r="E542" s="16" t="str">
        <f aca="false">HYPERLINK("#'Forrásszöveg'!A"&amp;(MATCH("TV-S0537",Forrásszöveg!$A$6:$A$2497,0)+5),"25. § (1) eleje")</f>
        <v>25. § (1) eleje</v>
      </c>
      <c r="F542" s="16" t="str">
        <f aca="false">HYPERLINK("https://net.jogtar.hu/jogszabaly?docid=a2400069.tv#pr537id","Jogtár megnyitása")</f>
        <v>Jogtár megnyitása</v>
      </c>
    </row>
    <row r="543" customFormat="false" ht="52" hidden="false" customHeight="true" outlineLevel="0" collapsed="false">
      <c r="A543" s="15" t="s">
        <v>3099</v>
      </c>
      <c r="B543" s="15" t="s">
        <v>1299</v>
      </c>
      <c r="C543" s="15" t="s">
        <v>3100</v>
      </c>
      <c r="D543" s="15" t="s">
        <v>3101</v>
      </c>
      <c r="E543" s="16" t="str">
        <f aca="false">HYPERLINK("#'Forrásszöveg'!A"&amp;(MATCH("TV-S0538",Forrásszöveg!$A$6:$A$2497,0)+5),"25. § (2) eleje")</f>
        <v>25. § (2) eleje</v>
      </c>
      <c r="F543" s="16" t="str">
        <f aca="false">HYPERLINK("https://net.jogtar.hu/jogszabaly?docid=a2400069.tv#pr538id","Jogtár megnyitása")</f>
        <v>Jogtár megnyitása</v>
      </c>
    </row>
    <row r="544" customFormat="false" ht="66" hidden="false" customHeight="true" outlineLevel="0" collapsed="false">
      <c r="A544" s="15" t="s">
        <v>3102</v>
      </c>
      <c r="B544" s="15" t="s">
        <v>1299</v>
      </c>
      <c r="C544" s="15" t="s">
        <v>3103</v>
      </c>
      <c r="D544" s="15" t="s">
        <v>3104</v>
      </c>
      <c r="E544" s="16" t="str">
        <f aca="false">HYPERLINK("#'Forrásszöveg'!A"&amp;(MATCH("TV-S0539",Forrásszöveg!$A$6:$A$2497,0)+5),"25. § (3) eleje")</f>
        <v>25. § (3) eleje</v>
      </c>
      <c r="F544" s="16" t="str">
        <f aca="false">HYPERLINK("https://net.jogtar.hu/jogszabaly?docid=a2400069.tv#pr539id","Jogtár megnyitása")</f>
        <v>Jogtár megnyitása</v>
      </c>
    </row>
    <row r="545" customFormat="false" ht="34" hidden="false" customHeight="true" outlineLevel="0" collapsed="false">
      <c r="A545" s="15" t="s">
        <v>3105</v>
      </c>
      <c r="B545" s="15" t="s">
        <v>1299</v>
      </c>
      <c r="C545" s="15" t="s">
        <v>3106</v>
      </c>
      <c r="D545" s="15" t="s">
        <v>3107</v>
      </c>
      <c r="E545" s="16" t="str">
        <f aca="false">HYPERLINK("#'Forrásszöveg'!A"&amp;(MATCH("TV-S0540",Forrásszöveg!$A$6:$A$2497,0)+5),"25. § (4) eleje")</f>
        <v>25. § (4) eleje</v>
      </c>
      <c r="F545" s="16" t="str">
        <f aca="false">HYPERLINK("https://net.jogtar.hu/jogszabaly?docid=a2400069.tv#pr540id","Jogtár megnyitása")</f>
        <v>Jogtár megnyitása</v>
      </c>
    </row>
    <row r="546" customFormat="false" ht="34" hidden="false" customHeight="true" outlineLevel="0" collapsed="false">
      <c r="A546" s="15" t="s">
        <v>3108</v>
      </c>
      <c r="B546" s="15" t="s">
        <v>1299</v>
      </c>
      <c r="C546" s="15" t="s">
        <v>1349</v>
      </c>
      <c r="D546" s="15" t="s">
        <v>1349</v>
      </c>
      <c r="E546" s="16" t="str">
        <f aca="false">HYPERLINK("#'Forrásszöveg'!A"&amp;(MATCH("TV-S0537",Forrásszöveg!$A$6:$A$2497,0)+5),"25. § eleje")</f>
        <v>25. § eleje</v>
      </c>
      <c r="F546" s="16" t="str">
        <f aca="false">HYPERLINK("https://net.jogtar.hu/jogszabaly?docid=a2400069.tv#pr541id","Jogtár megnyitása")</f>
        <v>Jogtár megnyitása</v>
      </c>
    </row>
    <row r="547" customFormat="false" ht="66" hidden="false" customHeight="true" outlineLevel="0" collapsed="false">
      <c r="A547" s="15" t="s">
        <v>3109</v>
      </c>
      <c r="B547" s="15" t="s">
        <v>1299</v>
      </c>
      <c r="C547" s="15" t="s">
        <v>3110</v>
      </c>
      <c r="D547" s="15" t="s">
        <v>3111</v>
      </c>
      <c r="E547" s="16" t="str">
        <f aca="false">HYPERLINK("#'Forrásszöveg'!A"&amp;(MATCH("TV-S0542",Forrásszöveg!$A$6:$A$2497,0)+5),"26. § (1) eleje")</f>
        <v>26. § (1) eleje</v>
      </c>
      <c r="F547" s="16" t="str">
        <f aca="false">HYPERLINK("https://net.jogtar.hu/jogszabaly?docid=a2400069.tv#pr542id","Jogtár megnyitása")</f>
        <v>Jogtár megnyitása</v>
      </c>
    </row>
    <row r="548" customFormat="false" ht="38" hidden="false" customHeight="true" outlineLevel="0" collapsed="false">
      <c r="A548" s="15" t="s">
        <v>3112</v>
      </c>
      <c r="B548" s="15" t="s">
        <v>1299</v>
      </c>
      <c r="C548" s="15" t="s">
        <v>3113</v>
      </c>
      <c r="D548" s="15" t="s">
        <v>3114</v>
      </c>
      <c r="E548" s="16" t="str">
        <f aca="false">HYPERLINK("#'Forrásszöveg'!A"&amp;(MATCH("TV-S0543",Forrásszöveg!$A$6:$A$2497,0)+5),"26. § (2) eleje")</f>
        <v>26. § (2) eleje</v>
      </c>
      <c r="F548" s="16" t="str">
        <f aca="false">HYPERLINK("https://net.jogtar.hu/jogszabaly?docid=a2400069.tv#pr543id","Jogtár megnyitása")</f>
        <v>Jogtár megnyitása</v>
      </c>
    </row>
    <row r="549" customFormat="false" ht="38" hidden="false" customHeight="true" outlineLevel="0" collapsed="false">
      <c r="A549" s="15" t="s">
        <v>3115</v>
      </c>
      <c r="B549" s="15" t="s">
        <v>1299</v>
      </c>
      <c r="C549" s="15" t="s">
        <v>3116</v>
      </c>
      <c r="D549" s="15" t="s">
        <v>3117</v>
      </c>
      <c r="E549" s="16" t="str">
        <f aca="false">HYPERLINK("#'Forrásszöveg'!A"&amp;(MATCH("TV-S0544",Forrásszöveg!$A$6:$A$2497,0)+5),"26. § (3) eleje")</f>
        <v>26. § (3) eleje</v>
      </c>
      <c r="F549" s="16" t="str">
        <f aca="false">HYPERLINK("https://net.jogtar.hu/jogszabaly?docid=a2400069.tv#pr544id","Jogtár megnyitása")</f>
        <v>Jogtár megnyitása</v>
      </c>
    </row>
    <row r="550" customFormat="false" ht="34" hidden="false" customHeight="true" outlineLevel="0" collapsed="false">
      <c r="A550" s="15" t="s">
        <v>3118</v>
      </c>
      <c r="B550" s="15" t="s">
        <v>1299</v>
      </c>
      <c r="C550" s="15" t="s">
        <v>3119</v>
      </c>
      <c r="D550" s="15" t="s">
        <v>3120</v>
      </c>
      <c r="E550" s="16" t="str">
        <f aca="false">HYPERLINK("#'Forrásszöveg'!A"&amp;(MATCH("TV-S0545",Forrásszöveg!$A$6:$A$2497,0)+5),"27. § (1) eleje")</f>
        <v>27. § (1) eleje</v>
      </c>
      <c r="F550" s="16" t="str">
        <f aca="false">HYPERLINK("https://net.jogtar.hu/jogszabaly?docid=a2400069.tv#pr545id","Jogtár megnyitása")</f>
        <v>Jogtár megnyitása</v>
      </c>
    </row>
    <row r="551" customFormat="false" ht="52" hidden="false" customHeight="true" outlineLevel="0" collapsed="false">
      <c r="A551" s="15" t="s">
        <v>3121</v>
      </c>
      <c r="B551" s="15" t="s">
        <v>1299</v>
      </c>
      <c r="C551" s="15" t="s">
        <v>3122</v>
      </c>
      <c r="D551" s="15" t="s">
        <v>3123</v>
      </c>
      <c r="E551" s="16" t="str">
        <f aca="false">HYPERLINK("#'Forrásszöveg'!A"&amp;(MATCH("TV-S0546",Forrásszöveg!$A$6:$A$2497,0)+5),"27. § (2) eleje")</f>
        <v>27. § (2) eleje</v>
      </c>
      <c r="F551" s="16" t="str">
        <f aca="false">HYPERLINK("https://net.jogtar.hu/jogszabaly?docid=a2400069.tv#pr546id","Jogtár megnyitása")</f>
        <v>Jogtár megnyitása</v>
      </c>
    </row>
    <row r="552" customFormat="false" ht="38" hidden="false" customHeight="true" outlineLevel="0" collapsed="false">
      <c r="A552" s="15" t="s">
        <v>3124</v>
      </c>
      <c r="B552" s="15" t="s">
        <v>1299</v>
      </c>
      <c r="C552" s="15" t="s">
        <v>3125</v>
      </c>
      <c r="D552" s="15" t="s">
        <v>3126</v>
      </c>
      <c r="E552" s="16" t="str">
        <f aca="false">HYPERLINK("#'Forrásszöveg'!A"&amp;(MATCH("TV-S0547",Forrásszöveg!$A$6:$A$2497,0)+5),"27. § (3) eleje")</f>
        <v>27. § (3) eleje</v>
      </c>
      <c r="F552" s="16" t="str">
        <f aca="false">HYPERLINK("https://net.jogtar.hu/jogszabaly?docid=a2400069.tv#pr547id","Jogtár megnyitása")</f>
        <v>Jogtár megnyitása</v>
      </c>
    </row>
    <row r="553" customFormat="false" ht="34" hidden="false" customHeight="true" outlineLevel="0" collapsed="false">
      <c r="A553" s="15" t="s">
        <v>3127</v>
      </c>
      <c r="B553" s="15" t="s">
        <v>1299</v>
      </c>
      <c r="C553" s="15" t="s">
        <v>3128</v>
      </c>
      <c r="D553" s="15" t="s">
        <v>3129</v>
      </c>
      <c r="E553" s="16" t="str">
        <f aca="false">HYPERLINK("#'Forrásszöveg'!A"&amp;(MATCH("TV-S0547",Forrásszöveg!$A$6:$A$2497,0)+5),"27. § (3) eleje")</f>
        <v>27. § (3) eleje</v>
      </c>
      <c r="F553" s="16" t="str">
        <f aca="false">HYPERLINK("https://net.jogtar.hu/jogszabaly?docid=a2400069.tv#pr548id","Jogtár megnyitása")</f>
        <v>Jogtár megnyitása</v>
      </c>
    </row>
    <row r="554" customFormat="false" ht="34" hidden="false" customHeight="true" outlineLevel="0" collapsed="false">
      <c r="A554" s="15" t="s">
        <v>3130</v>
      </c>
      <c r="B554" s="15" t="s">
        <v>1299</v>
      </c>
      <c r="C554" s="15" t="s">
        <v>3131</v>
      </c>
      <c r="D554" s="15" t="s">
        <v>3132</v>
      </c>
      <c r="E554" s="16" t="str">
        <f aca="false">HYPERLINK("#'Forrásszöveg'!A"&amp;(MATCH("TV-S0547",Forrásszöveg!$A$6:$A$2497,0)+5),"27. § (3) eleje")</f>
        <v>27. § (3) eleje</v>
      </c>
      <c r="F554" s="16" t="str">
        <f aca="false">HYPERLINK("https://net.jogtar.hu/jogszabaly?docid=a2400069.tv#pr549id","Jogtár megnyitása")</f>
        <v>Jogtár megnyitása</v>
      </c>
    </row>
    <row r="555" customFormat="false" ht="34" hidden="false" customHeight="true" outlineLevel="0" collapsed="false">
      <c r="A555" s="15" t="s">
        <v>3133</v>
      </c>
      <c r="B555" s="15" t="s">
        <v>1299</v>
      </c>
      <c r="C555" s="15" t="s">
        <v>3134</v>
      </c>
      <c r="D555" s="15" t="s">
        <v>3135</v>
      </c>
      <c r="E555" s="16" t="str">
        <f aca="false">HYPERLINK("#'Forrásszöveg'!A"&amp;(MATCH("TV-S0547",Forrásszöveg!$A$6:$A$2497,0)+5),"27. § (3) eleje")</f>
        <v>27. § (3) eleje</v>
      </c>
      <c r="F555" s="16" t="str">
        <f aca="false">HYPERLINK("https://net.jogtar.hu/jogszabaly?docid=a2400069.tv#pr550id","Jogtár megnyitása")</f>
        <v>Jogtár megnyitása</v>
      </c>
    </row>
    <row r="556" customFormat="false" ht="34" hidden="false" customHeight="true" outlineLevel="0" collapsed="false">
      <c r="A556" s="15" t="s">
        <v>3136</v>
      </c>
      <c r="B556" s="15" t="s">
        <v>1299</v>
      </c>
      <c r="C556" s="15" t="s">
        <v>3125</v>
      </c>
      <c r="D556" s="15" t="s">
        <v>3137</v>
      </c>
      <c r="E556" s="16" t="str">
        <f aca="false">HYPERLINK("#'Forrásszöveg'!A"&amp;(MATCH("TV-S0547",Forrásszöveg!$A$6:$A$2497,0)+5),"27. § (3) eleje")</f>
        <v>27. § (3) eleje</v>
      </c>
      <c r="F556" s="16" t="str">
        <f aca="false">HYPERLINK("https://net.jogtar.hu/jogszabaly?docid=a2400069.tv#pr551id","Jogtár megnyitása")</f>
        <v>Jogtár megnyitása</v>
      </c>
    </row>
    <row r="557" customFormat="false" ht="52" hidden="false" customHeight="true" outlineLevel="0" collapsed="false">
      <c r="A557" s="15" t="s">
        <v>3138</v>
      </c>
      <c r="B557" s="15" t="s">
        <v>1299</v>
      </c>
      <c r="C557" s="15" t="s">
        <v>3139</v>
      </c>
      <c r="D557" s="15" t="s">
        <v>3140</v>
      </c>
      <c r="E557" s="16" t="str">
        <f aca="false">HYPERLINK("#'Forrásszöveg'!A"&amp;(MATCH("TV-S0552",Forrásszöveg!$A$6:$A$2497,0)+5),"27. § (4) eleje")</f>
        <v>27. § (4) eleje</v>
      </c>
      <c r="F557" s="16" t="str">
        <f aca="false">HYPERLINK("https://net.jogtar.hu/jogszabaly?docid=a2400069.tv#pr552id","Jogtár megnyitása")</f>
        <v>Jogtár megnyitása</v>
      </c>
    </row>
    <row r="558" customFormat="false" ht="34" hidden="false" customHeight="true" outlineLevel="0" collapsed="false">
      <c r="A558" s="15" t="s">
        <v>3141</v>
      </c>
      <c r="B558" s="15" t="s">
        <v>1299</v>
      </c>
      <c r="C558" s="15" t="s">
        <v>1352</v>
      </c>
      <c r="D558" s="15" t="s">
        <v>1352</v>
      </c>
      <c r="E558" s="16" t="str">
        <f aca="false">HYPERLINK("#'Forrásszöveg'!A"&amp;(MATCH("TV-S0545",Forrásszöveg!$A$6:$A$2497,0)+5),"27. § eleje")</f>
        <v>27. § eleje</v>
      </c>
      <c r="F558" s="16" t="str">
        <f aca="false">HYPERLINK("https://net.jogtar.hu/jogszabaly?docid=a2400069.tv#pr553id","Jogtár megnyitása")</f>
        <v>Jogtár megnyitása</v>
      </c>
    </row>
    <row r="559" customFormat="false" ht="38" hidden="false" customHeight="true" outlineLevel="0" collapsed="false">
      <c r="A559" s="15" t="s">
        <v>3142</v>
      </c>
      <c r="B559" s="15" t="s">
        <v>1299</v>
      </c>
      <c r="C559" s="15" t="s">
        <v>3143</v>
      </c>
      <c r="D559" s="15" t="s">
        <v>3144</v>
      </c>
      <c r="E559" s="16" t="str">
        <f aca="false">HYPERLINK("#'Forrásszöveg'!A"&amp;(MATCH("TV-S0554",Forrásszöveg!$A$6:$A$2497,0)+5),"28. § (1) eleje")</f>
        <v>28. § (1) eleje</v>
      </c>
      <c r="F559" s="16" t="str">
        <f aca="false">HYPERLINK("https://net.jogtar.hu/jogszabaly?docid=a2400069.tv#pr554id","Jogtár megnyitása")</f>
        <v>Jogtár megnyitása</v>
      </c>
    </row>
    <row r="560" customFormat="false" ht="34" hidden="false" customHeight="true" outlineLevel="0" collapsed="false">
      <c r="A560" s="15" t="s">
        <v>3145</v>
      </c>
      <c r="B560" s="15" t="s">
        <v>1299</v>
      </c>
      <c r="C560" s="15" t="s">
        <v>3146</v>
      </c>
      <c r="D560" s="15" t="s">
        <v>3147</v>
      </c>
      <c r="E560" s="16" t="str">
        <f aca="false">HYPERLINK("#'Forrásszöveg'!A"&amp;(MATCH("TV-S0554",Forrásszöveg!$A$6:$A$2497,0)+5),"28. § (1) eleje")</f>
        <v>28. § (1) eleje</v>
      </c>
      <c r="F560" s="16" t="str">
        <f aca="false">HYPERLINK("https://net.jogtar.hu/jogszabaly?docid=a2400069.tv#pr555id","Jogtár megnyitása")</f>
        <v>Jogtár megnyitása</v>
      </c>
    </row>
    <row r="561" customFormat="false" ht="38" hidden="false" customHeight="true" outlineLevel="0" collapsed="false">
      <c r="A561" s="15" t="s">
        <v>3148</v>
      </c>
      <c r="B561" s="15" t="s">
        <v>1299</v>
      </c>
      <c r="C561" s="15" t="s">
        <v>3149</v>
      </c>
      <c r="D561" s="15" t="s">
        <v>3150</v>
      </c>
      <c r="E561" s="16" t="str">
        <f aca="false">HYPERLINK("#'Forrásszöveg'!A"&amp;(MATCH("TV-S0554",Forrásszöveg!$A$6:$A$2497,0)+5),"28. § (1) eleje")</f>
        <v>28. § (1) eleje</v>
      </c>
      <c r="F561" s="16" t="str">
        <f aca="false">HYPERLINK("https://net.jogtar.hu/jogszabaly?docid=a2400069.tv#pr556id","Jogtár megnyitása")</f>
        <v>Jogtár megnyitása</v>
      </c>
    </row>
    <row r="562" customFormat="false" ht="52" hidden="false" customHeight="true" outlineLevel="0" collapsed="false">
      <c r="A562" s="15" t="s">
        <v>3151</v>
      </c>
      <c r="B562" s="15" t="s">
        <v>1299</v>
      </c>
      <c r="C562" s="15" t="s">
        <v>3152</v>
      </c>
      <c r="D562" s="15" t="s">
        <v>3153</v>
      </c>
      <c r="E562" s="16" t="str">
        <f aca="false">HYPERLINK("#'Forrásszöveg'!A"&amp;(MATCH("TV-S0554",Forrásszöveg!$A$6:$A$2497,0)+5),"28. § (1) eleje")</f>
        <v>28. § (1) eleje</v>
      </c>
      <c r="F562" s="16" t="str">
        <f aca="false">HYPERLINK("https://net.jogtar.hu/jogszabaly?docid=a2400069.tv#pr557id","Jogtár megnyitása")</f>
        <v>Jogtár megnyitása</v>
      </c>
    </row>
    <row r="563" customFormat="false" ht="34" hidden="false" customHeight="true" outlineLevel="0" collapsed="false">
      <c r="A563" s="15" t="s">
        <v>3154</v>
      </c>
      <c r="B563" s="15" t="s">
        <v>1299</v>
      </c>
      <c r="C563" s="15" t="s">
        <v>3155</v>
      </c>
      <c r="D563" s="15" t="s">
        <v>3156</v>
      </c>
      <c r="E563" s="16" t="str">
        <f aca="false">HYPERLINK("#'Forrásszöveg'!A"&amp;(MATCH("TV-S0554",Forrásszöveg!$A$6:$A$2497,0)+5),"28. § (1) eleje")</f>
        <v>28. § (1) eleje</v>
      </c>
      <c r="F563" s="16" t="str">
        <f aca="false">HYPERLINK("https://net.jogtar.hu/jogszabaly?docid=a2400069.tv#pr558id","Jogtár megnyitása")</f>
        <v>Jogtár megnyitása</v>
      </c>
    </row>
    <row r="564" customFormat="false" ht="34" hidden="false" customHeight="true" outlineLevel="0" collapsed="false">
      <c r="A564" s="15" t="s">
        <v>3157</v>
      </c>
      <c r="B564" s="15" t="s">
        <v>1299</v>
      </c>
      <c r="C564" s="15" t="s">
        <v>3158</v>
      </c>
      <c r="D564" s="15" t="s">
        <v>3159</v>
      </c>
      <c r="E564" s="16" t="str">
        <f aca="false">HYPERLINK("#'Forrásszöveg'!A"&amp;(MATCH("TV-S0554",Forrásszöveg!$A$6:$A$2497,0)+5),"28. § (1) eleje")</f>
        <v>28. § (1) eleje</v>
      </c>
      <c r="F564" s="16" t="str">
        <f aca="false">HYPERLINK("https://net.jogtar.hu/jogszabaly?docid=a2400069.tv#pr559id","Jogtár megnyitása")</f>
        <v>Jogtár megnyitása</v>
      </c>
    </row>
    <row r="565" customFormat="false" ht="34" hidden="false" customHeight="true" outlineLevel="0" collapsed="false">
      <c r="A565" s="15" t="s">
        <v>3160</v>
      </c>
      <c r="B565" s="15" t="s">
        <v>1299</v>
      </c>
      <c r="C565" s="15" t="s">
        <v>3161</v>
      </c>
      <c r="D565" s="15" t="s">
        <v>3162</v>
      </c>
      <c r="E565" s="16" t="str">
        <f aca="false">HYPERLINK("#'Forrásszöveg'!A"&amp;(MATCH("TV-S0554",Forrásszöveg!$A$6:$A$2497,0)+5),"28. § (1) eleje")</f>
        <v>28. § (1) eleje</v>
      </c>
      <c r="F565" s="16" t="str">
        <f aca="false">HYPERLINK("https://net.jogtar.hu/jogszabaly?docid=a2400069.tv#pr560id","Jogtár megnyitása")</f>
        <v>Jogtár megnyitása</v>
      </c>
    </row>
    <row r="566" customFormat="false" ht="52" hidden="false" customHeight="true" outlineLevel="0" collapsed="false">
      <c r="A566" s="15" t="s">
        <v>3163</v>
      </c>
      <c r="B566" s="15" t="s">
        <v>1299</v>
      </c>
      <c r="C566" s="15" t="s">
        <v>3164</v>
      </c>
      <c r="D566" s="15" t="s">
        <v>3165</v>
      </c>
      <c r="E566" s="16" t="str">
        <f aca="false">HYPERLINK("#'Forrásszöveg'!A"&amp;(MATCH("TV-S0554",Forrásszöveg!$A$6:$A$2497,0)+5),"28. § (1) eleje")</f>
        <v>28. § (1) eleje</v>
      </c>
      <c r="F566" s="16" t="str">
        <f aca="false">HYPERLINK("https://net.jogtar.hu/jogszabaly?docid=a2400069.tv#pr561id","Jogtár megnyitása")</f>
        <v>Jogtár megnyitása</v>
      </c>
    </row>
    <row r="567" customFormat="false" ht="38" hidden="false" customHeight="true" outlineLevel="0" collapsed="false">
      <c r="A567" s="15" t="s">
        <v>3166</v>
      </c>
      <c r="B567" s="15" t="s">
        <v>1299</v>
      </c>
      <c r="C567" s="15" t="s">
        <v>3167</v>
      </c>
      <c r="D567" s="15" t="s">
        <v>3168</v>
      </c>
      <c r="E567" s="16" t="str">
        <f aca="false">HYPERLINK("#'Forrásszöveg'!A"&amp;(MATCH("TV-S0554",Forrásszöveg!$A$6:$A$2497,0)+5),"28. § (1) eleje")</f>
        <v>28. § (1) eleje</v>
      </c>
      <c r="F567" s="16" t="str">
        <f aca="false">HYPERLINK("https://net.jogtar.hu/jogszabaly?docid=a2400069.tv#pr562id","Jogtár megnyitása")</f>
        <v>Jogtár megnyitása</v>
      </c>
    </row>
    <row r="568" customFormat="false" ht="34" hidden="false" customHeight="true" outlineLevel="0" collapsed="false">
      <c r="A568" s="15" t="s">
        <v>3169</v>
      </c>
      <c r="B568" s="15" t="s">
        <v>1299</v>
      </c>
      <c r="C568" s="15" t="s">
        <v>3170</v>
      </c>
      <c r="D568" s="15" t="s">
        <v>3171</v>
      </c>
      <c r="E568" s="16" t="str">
        <f aca="false">HYPERLINK("#'Forrásszöveg'!A"&amp;(MATCH("TV-S0554",Forrásszöveg!$A$6:$A$2497,0)+5),"28. § (1) eleje")</f>
        <v>28. § (1) eleje</v>
      </c>
      <c r="F568" s="16" t="str">
        <f aca="false">HYPERLINK("https://net.jogtar.hu/jogszabaly?docid=a2400069.tv#pr563id","Jogtár megnyitása")</f>
        <v>Jogtár megnyitása</v>
      </c>
    </row>
    <row r="569" customFormat="false" ht="38" hidden="false" customHeight="true" outlineLevel="0" collapsed="false">
      <c r="A569" s="15" t="s">
        <v>3172</v>
      </c>
      <c r="B569" s="15" t="s">
        <v>1299</v>
      </c>
      <c r="C569" s="15" t="s">
        <v>3173</v>
      </c>
      <c r="D569" s="15" t="s">
        <v>3174</v>
      </c>
      <c r="E569" s="16" t="str">
        <f aca="false">HYPERLINK("#'Forrásszöveg'!A"&amp;(MATCH("TV-S0554",Forrásszöveg!$A$6:$A$2497,0)+5),"28. § (1) eleje")</f>
        <v>28. § (1) eleje</v>
      </c>
      <c r="F569" s="16" t="str">
        <f aca="false">HYPERLINK("https://net.jogtar.hu/jogszabaly?docid=a2400069.tv#pr564id","Jogtár megnyitása")</f>
        <v>Jogtár megnyitása</v>
      </c>
    </row>
    <row r="570" customFormat="false" ht="38" hidden="false" customHeight="true" outlineLevel="0" collapsed="false">
      <c r="A570" s="15" t="s">
        <v>3175</v>
      </c>
      <c r="B570" s="15" t="s">
        <v>1299</v>
      </c>
      <c r="C570" s="15" t="s">
        <v>3176</v>
      </c>
      <c r="D570" s="15" t="s">
        <v>3177</v>
      </c>
      <c r="E570" s="16" t="str">
        <f aca="false">HYPERLINK("#'Forrásszöveg'!A"&amp;(MATCH("TV-S0554",Forrásszöveg!$A$6:$A$2497,0)+5),"28. § (1) eleje")</f>
        <v>28. § (1) eleje</v>
      </c>
      <c r="F570" s="16" t="str">
        <f aca="false">HYPERLINK("https://net.jogtar.hu/jogszabaly?docid=a2400069.tv#pr565id","Jogtár megnyitása")</f>
        <v>Jogtár megnyitása</v>
      </c>
    </row>
    <row r="571" customFormat="false" ht="66" hidden="false" customHeight="true" outlineLevel="0" collapsed="false">
      <c r="A571" s="15" t="s">
        <v>3178</v>
      </c>
      <c r="B571" s="15" t="s">
        <v>1299</v>
      </c>
      <c r="C571" s="15" t="s">
        <v>3179</v>
      </c>
      <c r="D571" s="15" t="s">
        <v>3180</v>
      </c>
      <c r="E571" s="16" t="str">
        <f aca="false">HYPERLINK("#'Forrásszöveg'!A"&amp;(MATCH("TV-S0554",Forrásszöveg!$A$6:$A$2497,0)+5),"28. § (1) eleje")</f>
        <v>28. § (1) eleje</v>
      </c>
      <c r="F571" s="16" t="str">
        <f aca="false">HYPERLINK("https://net.jogtar.hu/jogszabaly?docid=a2400069.tv#pr566id","Jogtár megnyitása")</f>
        <v>Jogtár megnyitása</v>
      </c>
    </row>
    <row r="572" customFormat="false" ht="38" hidden="false" customHeight="true" outlineLevel="0" collapsed="false">
      <c r="A572" s="15" t="s">
        <v>3181</v>
      </c>
      <c r="B572" s="15" t="s">
        <v>1299</v>
      </c>
      <c r="C572" s="15" t="s">
        <v>3182</v>
      </c>
      <c r="D572" s="15" t="s">
        <v>3183</v>
      </c>
      <c r="E572" s="16" t="str">
        <f aca="false">HYPERLINK("#'Forrásszöveg'!A"&amp;(MATCH("TV-S0554",Forrásszöveg!$A$6:$A$2497,0)+5),"28. § (1) eleje")</f>
        <v>28. § (1) eleje</v>
      </c>
      <c r="F572" s="16" t="str">
        <f aca="false">HYPERLINK("https://net.jogtar.hu/jogszabaly?docid=a2400069.tv#pr567id","Jogtár megnyitása")</f>
        <v>Jogtár megnyitása</v>
      </c>
    </row>
    <row r="573" customFormat="false" ht="38" hidden="false" customHeight="true" outlineLevel="0" collapsed="false">
      <c r="A573" s="15" t="s">
        <v>3184</v>
      </c>
      <c r="B573" s="15" t="s">
        <v>1299</v>
      </c>
      <c r="C573" s="15" t="s">
        <v>3185</v>
      </c>
      <c r="D573" s="15" t="s">
        <v>3186</v>
      </c>
      <c r="E573" s="16" t="str">
        <f aca="false">HYPERLINK("#'Forrásszöveg'!A"&amp;(MATCH("TV-S0554",Forrásszöveg!$A$6:$A$2497,0)+5),"28. § (1) eleje")</f>
        <v>28. § (1) eleje</v>
      </c>
      <c r="F573" s="16" t="str">
        <f aca="false">HYPERLINK("https://net.jogtar.hu/jogszabaly?docid=a2400069.tv#pr568id","Jogtár megnyitása")</f>
        <v>Jogtár megnyitása</v>
      </c>
    </row>
    <row r="574" customFormat="false" ht="34" hidden="false" customHeight="true" outlineLevel="0" collapsed="false">
      <c r="A574" s="15" t="s">
        <v>3187</v>
      </c>
      <c r="B574" s="15" t="s">
        <v>1299</v>
      </c>
      <c r="C574" s="15" t="s">
        <v>3188</v>
      </c>
      <c r="D574" s="15" t="s">
        <v>3189</v>
      </c>
      <c r="E574" s="16" t="str">
        <f aca="false">HYPERLINK("#'Forrásszöveg'!A"&amp;(MATCH("TV-S0554",Forrásszöveg!$A$6:$A$2497,0)+5),"28. § (1) eleje")</f>
        <v>28. § (1) eleje</v>
      </c>
      <c r="F574" s="16" t="str">
        <f aca="false">HYPERLINK("https://net.jogtar.hu/jogszabaly?docid=a2400069.tv#pr569id","Jogtár megnyitása")</f>
        <v>Jogtár megnyitása</v>
      </c>
    </row>
    <row r="575" customFormat="false" ht="34" hidden="false" customHeight="true" outlineLevel="0" collapsed="false">
      <c r="A575" s="15" t="s">
        <v>3190</v>
      </c>
      <c r="B575" s="15" t="s">
        <v>1299</v>
      </c>
      <c r="C575" s="15" t="s">
        <v>3191</v>
      </c>
      <c r="D575" s="15" t="s">
        <v>3192</v>
      </c>
      <c r="E575" s="16" t="str">
        <f aca="false">HYPERLINK("#'Forrásszöveg'!A"&amp;(MATCH("TV-S0554",Forrásszöveg!$A$6:$A$2497,0)+5),"28. § (1) eleje")</f>
        <v>28. § (1) eleje</v>
      </c>
      <c r="F575" s="16" t="str">
        <f aca="false">HYPERLINK("https://net.jogtar.hu/jogszabaly?docid=a2400069.tv#pr570id","Jogtár megnyitása")</f>
        <v>Jogtár megnyitása</v>
      </c>
    </row>
    <row r="576" customFormat="false" ht="38" hidden="false" customHeight="true" outlineLevel="0" collapsed="false">
      <c r="A576" s="15" t="s">
        <v>3193</v>
      </c>
      <c r="B576" s="15" t="s">
        <v>1299</v>
      </c>
      <c r="C576" s="15" t="s">
        <v>3194</v>
      </c>
      <c r="D576" s="15" t="s">
        <v>3195</v>
      </c>
      <c r="E576" s="16" t="str">
        <f aca="false">HYPERLINK("#'Forrásszöveg'!A"&amp;(MATCH("TV-S0554",Forrásszöveg!$A$6:$A$2497,0)+5),"28. § (1) eleje")</f>
        <v>28. § (1) eleje</v>
      </c>
      <c r="F576" s="16" t="str">
        <f aca="false">HYPERLINK("https://net.jogtar.hu/jogszabaly?docid=a2400069.tv#pr571id","Jogtár megnyitása")</f>
        <v>Jogtár megnyitása</v>
      </c>
    </row>
    <row r="577" customFormat="false" ht="38" hidden="false" customHeight="true" outlineLevel="0" collapsed="false">
      <c r="A577" s="15" t="s">
        <v>3196</v>
      </c>
      <c r="B577" s="15" t="s">
        <v>1299</v>
      </c>
      <c r="C577" s="15" t="s">
        <v>3197</v>
      </c>
      <c r="D577" s="15" t="s">
        <v>3198</v>
      </c>
      <c r="E577" s="16" t="str">
        <f aca="false">HYPERLINK("#'Forrásszöveg'!A"&amp;(MATCH("TV-S0554",Forrásszöveg!$A$6:$A$2497,0)+5),"28. § (1) eleje")</f>
        <v>28. § (1) eleje</v>
      </c>
      <c r="F577" s="16" t="str">
        <f aca="false">HYPERLINK("https://net.jogtar.hu/jogszabaly?docid=a2400069.tv#pr572id","Jogtár megnyitása")</f>
        <v>Jogtár megnyitása</v>
      </c>
    </row>
    <row r="578" customFormat="false" ht="34" hidden="false" customHeight="true" outlineLevel="0" collapsed="false">
      <c r="A578" s="15" t="s">
        <v>3199</v>
      </c>
      <c r="B578" s="15" t="s">
        <v>1299</v>
      </c>
      <c r="C578" s="15" t="s">
        <v>3200</v>
      </c>
      <c r="D578" s="15" t="s">
        <v>3201</v>
      </c>
      <c r="E578" s="16" t="str">
        <f aca="false">HYPERLINK("#'Forrásszöveg'!A"&amp;(MATCH("TV-S0554",Forrásszöveg!$A$6:$A$2497,0)+5),"28. § (1) eleje")</f>
        <v>28. § (1) eleje</v>
      </c>
      <c r="F578" s="16" t="str">
        <f aca="false">HYPERLINK("https://net.jogtar.hu/jogszabaly?docid=a2400069.tv#pr573id","Jogtár megnyitása")</f>
        <v>Jogtár megnyitása</v>
      </c>
    </row>
    <row r="579" customFormat="false" ht="34" hidden="false" customHeight="true" outlineLevel="0" collapsed="false">
      <c r="A579" s="15" t="s">
        <v>3202</v>
      </c>
      <c r="B579" s="15" t="s">
        <v>1299</v>
      </c>
      <c r="C579" s="15" t="s">
        <v>3203</v>
      </c>
      <c r="D579" s="15" t="s">
        <v>3204</v>
      </c>
      <c r="E579" s="16" t="str">
        <f aca="false">HYPERLINK("#'Forrásszöveg'!A"&amp;(MATCH("TV-S0554",Forrásszöveg!$A$6:$A$2497,0)+5),"28. § (1) eleje")</f>
        <v>28. § (1) eleje</v>
      </c>
      <c r="F579" s="16" t="str">
        <f aca="false">HYPERLINK("https://net.jogtar.hu/jogszabaly?docid=a2400069.tv#pr574id","Jogtár megnyitása")</f>
        <v>Jogtár megnyitása</v>
      </c>
    </row>
    <row r="580" customFormat="false" ht="34" hidden="false" customHeight="true" outlineLevel="0" collapsed="false">
      <c r="A580" s="15" t="s">
        <v>3205</v>
      </c>
      <c r="B580" s="15" t="s">
        <v>1299</v>
      </c>
      <c r="C580" s="15" t="s">
        <v>3206</v>
      </c>
      <c r="D580" s="15" t="s">
        <v>3207</v>
      </c>
      <c r="E580" s="16" t="str">
        <f aca="false">HYPERLINK("#'Forrásszöveg'!A"&amp;(MATCH("TV-S0554",Forrásszöveg!$A$6:$A$2497,0)+5),"28. § (1) eleje")</f>
        <v>28. § (1) eleje</v>
      </c>
      <c r="F580" s="16" t="str">
        <f aca="false">HYPERLINK("https://net.jogtar.hu/jogszabaly?docid=a2400069.tv#pr575id","Jogtár megnyitása")</f>
        <v>Jogtár megnyitása</v>
      </c>
    </row>
    <row r="581" customFormat="false" ht="34" hidden="false" customHeight="true" outlineLevel="0" collapsed="false">
      <c r="A581" s="15" t="s">
        <v>3208</v>
      </c>
      <c r="B581" s="15" t="s">
        <v>1299</v>
      </c>
      <c r="C581" s="15" t="s">
        <v>3209</v>
      </c>
      <c r="D581" s="15" t="s">
        <v>3210</v>
      </c>
      <c r="E581" s="16" t="str">
        <f aca="false">HYPERLINK("#'Forrásszöveg'!A"&amp;(MATCH("TV-S0554",Forrásszöveg!$A$6:$A$2497,0)+5),"28. § (1) eleje")</f>
        <v>28. § (1) eleje</v>
      </c>
      <c r="F581" s="16" t="str">
        <f aca="false">HYPERLINK("https://net.jogtar.hu/jogszabaly?docid=a2400069.tv#pr576id","Jogtár megnyitása")</f>
        <v>Jogtár megnyitása</v>
      </c>
    </row>
    <row r="582" customFormat="false" ht="34" hidden="false" customHeight="true" outlineLevel="0" collapsed="false">
      <c r="A582" s="15" t="s">
        <v>3211</v>
      </c>
      <c r="B582" s="15" t="s">
        <v>1299</v>
      </c>
      <c r="C582" s="15" t="s">
        <v>3212</v>
      </c>
      <c r="D582" s="15" t="s">
        <v>3213</v>
      </c>
      <c r="E582" s="16" t="str">
        <f aca="false">HYPERLINK("#'Forrásszöveg'!A"&amp;(MATCH("TV-S0554",Forrásszöveg!$A$6:$A$2497,0)+5),"28. § (1) eleje")</f>
        <v>28. § (1) eleje</v>
      </c>
      <c r="F582" s="16" t="str">
        <f aca="false">HYPERLINK("https://net.jogtar.hu/jogszabaly?docid=a2400069.tv#pr577id","Jogtár megnyitása")</f>
        <v>Jogtár megnyitása</v>
      </c>
    </row>
    <row r="583" customFormat="false" ht="34" hidden="false" customHeight="true" outlineLevel="0" collapsed="false">
      <c r="A583" s="15" t="s">
        <v>3214</v>
      </c>
      <c r="B583" s="15" t="s">
        <v>1299</v>
      </c>
      <c r="C583" s="15" t="s">
        <v>3215</v>
      </c>
      <c r="D583" s="15" t="s">
        <v>3216</v>
      </c>
      <c r="E583" s="16" t="str">
        <f aca="false">HYPERLINK("#'Forrásszöveg'!A"&amp;(MATCH("TV-S0554",Forrásszöveg!$A$6:$A$2497,0)+5),"28. § (1) eleje")</f>
        <v>28. § (1) eleje</v>
      </c>
      <c r="F583" s="16" t="str">
        <f aca="false">HYPERLINK("https://net.jogtar.hu/jogszabaly?docid=a2400069.tv#pr578id","Jogtár megnyitása")</f>
        <v>Jogtár megnyitása</v>
      </c>
    </row>
    <row r="584" customFormat="false" ht="34" hidden="false" customHeight="true" outlineLevel="0" collapsed="false">
      <c r="A584" s="15" t="s">
        <v>3217</v>
      </c>
      <c r="B584" s="15" t="s">
        <v>1299</v>
      </c>
      <c r="C584" s="15" t="s">
        <v>3218</v>
      </c>
      <c r="D584" s="15" t="s">
        <v>3219</v>
      </c>
      <c r="E584" s="16" t="str">
        <f aca="false">HYPERLINK("#'Forrásszöveg'!A"&amp;(MATCH("TV-S0554",Forrásszöveg!$A$6:$A$2497,0)+5),"28. § (1) eleje")</f>
        <v>28. § (1) eleje</v>
      </c>
      <c r="F584" s="16" t="str">
        <f aca="false">HYPERLINK("https://net.jogtar.hu/jogszabaly?docid=a2400069.tv#pr579id","Jogtár megnyitása")</f>
        <v>Jogtár megnyitása</v>
      </c>
    </row>
    <row r="585" customFormat="false" ht="38" hidden="false" customHeight="true" outlineLevel="0" collapsed="false">
      <c r="A585" s="15" t="s">
        <v>3220</v>
      </c>
      <c r="B585" s="15" t="s">
        <v>1299</v>
      </c>
      <c r="C585" s="15" t="s">
        <v>3221</v>
      </c>
      <c r="D585" s="15" t="s">
        <v>3222</v>
      </c>
      <c r="E585" s="16" t="str">
        <f aca="false">HYPERLINK("#'Forrásszöveg'!A"&amp;(MATCH("TV-S0554",Forrásszöveg!$A$6:$A$2497,0)+5),"28. § (1) eleje")</f>
        <v>28. § (1) eleje</v>
      </c>
      <c r="F585" s="16" t="str">
        <f aca="false">HYPERLINK("https://net.jogtar.hu/jogszabaly?docid=a2400069.tv#pr580id","Jogtár megnyitása")</f>
        <v>Jogtár megnyitása</v>
      </c>
    </row>
    <row r="586" customFormat="false" ht="34" hidden="false" customHeight="true" outlineLevel="0" collapsed="false">
      <c r="A586" s="15" t="s">
        <v>3223</v>
      </c>
      <c r="B586" s="15" t="s">
        <v>1299</v>
      </c>
      <c r="C586" s="15" t="s">
        <v>3224</v>
      </c>
      <c r="D586" s="15" t="s">
        <v>3225</v>
      </c>
      <c r="E586" s="16" t="str">
        <f aca="false">HYPERLINK("#'Forrásszöveg'!A"&amp;(MATCH("TV-S0554",Forrásszöveg!$A$6:$A$2497,0)+5),"28. § (1) eleje")</f>
        <v>28. § (1) eleje</v>
      </c>
      <c r="F586" s="16" t="str">
        <f aca="false">HYPERLINK("https://net.jogtar.hu/jogszabaly?docid=a2400069.tv#pr581id","Jogtár megnyitása")</f>
        <v>Jogtár megnyitása</v>
      </c>
    </row>
    <row r="587" customFormat="false" ht="34" hidden="false" customHeight="true" outlineLevel="0" collapsed="false">
      <c r="A587" s="15" t="s">
        <v>3226</v>
      </c>
      <c r="B587" s="15" t="s">
        <v>1299</v>
      </c>
      <c r="C587" s="15" t="s">
        <v>3227</v>
      </c>
      <c r="D587" s="15" t="s">
        <v>3228</v>
      </c>
      <c r="E587" s="16" t="str">
        <f aca="false">HYPERLINK("#'Forrásszöveg'!A"&amp;(MATCH("TV-S0554",Forrásszöveg!$A$6:$A$2497,0)+5),"28. § (1) eleje")</f>
        <v>28. § (1) eleje</v>
      </c>
      <c r="F587" s="16" t="str">
        <f aca="false">HYPERLINK("https://net.jogtar.hu/jogszabaly?docid=a2400069.tv#pr582id","Jogtár megnyitása")</f>
        <v>Jogtár megnyitása</v>
      </c>
    </row>
    <row r="588" customFormat="false" ht="38" hidden="false" customHeight="true" outlineLevel="0" collapsed="false">
      <c r="A588" s="15" t="s">
        <v>3229</v>
      </c>
      <c r="B588" s="15" t="s">
        <v>1299</v>
      </c>
      <c r="C588" s="15" t="s">
        <v>3230</v>
      </c>
      <c r="D588" s="15" t="s">
        <v>3231</v>
      </c>
      <c r="E588" s="16" t="str">
        <f aca="false">HYPERLINK("#'Forrásszöveg'!A"&amp;(MATCH("TV-S0554",Forrásszöveg!$A$6:$A$2497,0)+5),"28. § (1) eleje")</f>
        <v>28. § (1) eleje</v>
      </c>
      <c r="F588" s="16" t="str">
        <f aca="false">HYPERLINK("https://net.jogtar.hu/jogszabaly?docid=a2400069.tv#pr583id","Jogtár megnyitása")</f>
        <v>Jogtár megnyitása</v>
      </c>
    </row>
    <row r="589" customFormat="false" ht="66" hidden="false" customHeight="true" outlineLevel="0" collapsed="false">
      <c r="A589" s="15" t="s">
        <v>3232</v>
      </c>
      <c r="B589" s="15" t="s">
        <v>1299</v>
      </c>
      <c r="C589" s="15" t="s">
        <v>3233</v>
      </c>
      <c r="D589" s="15" t="s">
        <v>3234</v>
      </c>
      <c r="E589" s="16" t="str">
        <f aca="false">HYPERLINK("#'Forrásszöveg'!A"&amp;(MATCH("TV-S0554",Forrásszöveg!$A$6:$A$2497,0)+5),"28. § (1) eleje")</f>
        <v>28. § (1) eleje</v>
      </c>
      <c r="F589" s="16" t="str">
        <f aca="false">HYPERLINK("https://net.jogtar.hu/jogszabaly?docid=a2400069.tv#pr584id","Jogtár megnyitása")</f>
        <v>Jogtár megnyitása</v>
      </c>
    </row>
    <row r="590" customFormat="false" ht="34" hidden="false" customHeight="true" outlineLevel="0" collapsed="false">
      <c r="A590" s="15" t="s">
        <v>3235</v>
      </c>
      <c r="B590" s="15" t="s">
        <v>1299</v>
      </c>
      <c r="C590" s="15" t="s">
        <v>3236</v>
      </c>
      <c r="D590" s="15" t="s">
        <v>3237</v>
      </c>
      <c r="E590" s="16" t="str">
        <f aca="false">HYPERLINK("#'Forrásszöveg'!A"&amp;(MATCH("TV-S0554",Forrásszöveg!$A$6:$A$2497,0)+5),"28. § (1) eleje")</f>
        <v>28. § (1) eleje</v>
      </c>
      <c r="F590" s="16" t="str">
        <f aca="false">HYPERLINK("https://net.jogtar.hu/jogszabaly?docid=a2400069.tv#pr585id","Jogtár megnyitása")</f>
        <v>Jogtár megnyitása</v>
      </c>
    </row>
    <row r="591" customFormat="false" ht="66" hidden="false" customHeight="true" outlineLevel="0" collapsed="false">
      <c r="A591" s="15" t="s">
        <v>3238</v>
      </c>
      <c r="B591" s="15" t="s">
        <v>1299</v>
      </c>
      <c r="C591" s="15" t="s">
        <v>3239</v>
      </c>
      <c r="D591" s="15" t="s">
        <v>3240</v>
      </c>
      <c r="E591" s="16" t="str">
        <f aca="false">HYPERLINK("#'Forrásszöveg'!A"&amp;(MATCH("TV-S0586",Forrásszöveg!$A$6:$A$2497,0)+5),"28. § (1a) eleje")</f>
        <v>28. § (1a) eleje</v>
      </c>
      <c r="F591" s="16" t="str">
        <f aca="false">HYPERLINK("https://net.jogtar.hu/jogszabaly?docid=a2400069.tv#pr586id","Jogtár megnyitása")</f>
        <v>Jogtár megnyitása</v>
      </c>
    </row>
    <row r="592" customFormat="false" ht="52" hidden="false" customHeight="true" outlineLevel="0" collapsed="false">
      <c r="A592" s="15" t="s">
        <v>3241</v>
      </c>
      <c r="B592" s="15" t="s">
        <v>1299</v>
      </c>
      <c r="C592" s="15" t="s">
        <v>3242</v>
      </c>
      <c r="D592" s="15" t="s">
        <v>3243</v>
      </c>
      <c r="E592" s="16" t="str">
        <f aca="false">HYPERLINK("#'Forrásszöveg'!A"&amp;(MATCH("TV-S0587",Forrásszöveg!$A$6:$A$2497,0)+5),"28. § (2) eleje")</f>
        <v>28. § (2) eleje</v>
      </c>
      <c r="F592" s="16" t="str">
        <f aca="false">HYPERLINK("https://net.jogtar.hu/jogszabaly?docid=a2400069.tv#pr587id","Jogtár megnyitása")</f>
        <v>Jogtár megnyitása</v>
      </c>
    </row>
    <row r="593" customFormat="false" ht="80" hidden="false" customHeight="true" outlineLevel="0" collapsed="false">
      <c r="A593" s="15" t="s">
        <v>3244</v>
      </c>
      <c r="B593" s="15" t="s">
        <v>1299</v>
      </c>
      <c r="C593" s="15" t="s">
        <v>3245</v>
      </c>
      <c r="D593" s="15" t="s">
        <v>3246</v>
      </c>
      <c r="E593" s="16" t="str">
        <f aca="false">HYPERLINK("#'Forrásszöveg'!A"&amp;(MATCH("TV-S0588",Forrásszöveg!$A$6:$A$2497,0)+5),"28. § (2a) eleje")</f>
        <v>28. § (2a) eleje</v>
      </c>
      <c r="F593" s="16" t="str">
        <f aca="false">HYPERLINK("https://net.jogtar.hu/jogszabaly?docid=a2400069.tv#pr588id","Jogtár megnyitása")</f>
        <v>Jogtár megnyitása</v>
      </c>
    </row>
    <row r="594" customFormat="false" ht="38" hidden="false" customHeight="true" outlineLevel="0" collapsed="false">
      <c r="A594" s="15" t="s">
        <v>3247</v>
      </c>
      <c r="B594" s="15" t="s">
        <v>1299</v>
      </c>
      <c r="C594" s="15" t="s">
        <v>3248</v>
      </c>
      <c r="D594" s="15" t="s">
        <v>3249</v>
      </c>
      <c r="E594" s="16" t="str">
        <f aca="false">HYPERLINK("#'Forrásszöveg'!A"&amp;(MATCH("TV-S0589",Forrásszöveg!$A$6:$A$2497,0)+5),"28. § (2b) eleje")</f>
        <v>28. § (2b) eleje</v>
      </c>
      <c r="F594" s="16" t="str">
        <f aca="false">HYPERLINK("https://net.jogtar.hu/jogszabaly?docid=a2400069.tv#pr589id","Jogtár megnyitása")</f>
        <v>Jogtár megnyitása</v>
      </c>
    </row>
    <row r="595" customFormat="false" ht="38" hidden="false" customHeight="true" outlineLevel="0" collapsed="false">
      <c r="A595" s="15" t="s">
        <v>3250</v>
      </c>
      <c r="B595" s="15" t="s">
        <v>1299</v>
      </c>
      <c r="C595" s="15" t="s">
        <v>3251</v>
      </c>
      <c r="D595" s="15" t="s">
        <v>3252</v>
      </c>
      <c r="E595" s="16" t="str">
        <f aca="false">HYPERLINK("#'Forrásszöveg'!A"&amp;(MATCH("TV-S0590",Forrásszöveg!$A$6:$A$2497,0)+5),"28. § (2c) eleje")</f>
        <v>28. § (2c) eleje</v>
      </c>
      <c r="F595" s="16" t="str">
        <f aca="false">HYPERLINK("https://net.jogtar.hu/jogszabaly?docid=a2400069.tv#pr590id","Jogtár megnyitása")</f>
        <v>Jogtár megnyitása</v>
      </c>
    </row>
    <row r="596" customFormat="false" ht="52" hidden="false" customHeight="true" outlineLevel="0" collapsed="false">
      <c r="A596" s="15" t="s">
        <v>3253</v>
      </c>
      <c r="B596" s="15" t="s">
        <v>1299</v>
      </c>
      <c r="C596" s="15" t="s">
        <v>3254</v>
      </c>
      <c r="D596" s="15" t="s">
        <v>3255</v>
      </c>
      <c r="E596" s="16" t="str">
        <f aca="false">HYPERLINK("#'Forrásszöveg'!A"&amp;(MATCH("TV-S0591",Forrásszöveg!$A$6:$A$2497,0)+5),"28. § (3) eleje")</f>
        <v>28. § (3) eleje</v>
      </c>
      <c r="F596" s="16" t="str">
        <f aca="false">HYPERLINK("https://net.jogtar.hu/jogszabaly?docid=a2400069.tv#pr591id","Jogtár megnyitása")</f>
        <v>Jogtár megnyitása</v>
      </c>
    </row>
    <row r="597" customFormat="false" ht="38" hidden="false" customHeight="true" outlineLevel="0" collapsed="false">
      <c r="A597" s="15" t="s">
        <v>3256</v>
      </c>
      <c r="B597" s="15" t="s">
        <v>1299</v>
      </c>
      <c r="C597" s="15" t="s">
        <v>3257</v>
      </c>
      <c r="D597" s="15" t="s">
        <v>3258</v>
      </c>
      <c r="E597" s="16" t="str">
        <f aca="false">HYPERLINK("#'Forrásszöveg'!A"&amp;(MATCH("TV-S0592",Forrásszöveg!$A$6:$A$2497,0)+5),"28. § (4) eleje")</f>
        <v>28. § (4) eleje</v>
      </c>
      <c r="F597" s="16" t="str">
        <f aca="false">HYPERLINK("https://net.jogtar.hu/jogszabaly?docid=a2400069.tv#pr592id","Jogtár megnyitása")</f>
        <v>Jogtár megnyitása</v>
      </c>
    </row>
    <row r="598" customFormat="false" ht="38" hidden="false" customHeight="true" outlineLevel="0" collapsed="false">
      <c r="A598" s="15" t="s">
        <v>3259</v>
      </c>
      <c r="B598" s="15" t="s">
        <v>1299</v>
      </c>
      <c r="C598" s="15" t="s">
        <v>3260</v>
      </c>
      <c r="D598" s="15" t="s">
        <v>3261</v>
      </c>
      <c r="E598" s="16" t="str">
        <f aca="false">HYPERLINK("#'Forrásszöveg'!A"&amp;(MATCH("TV-S0593",Forrásszöveg!$A$6:$A$2497,0)+5),"28. § (5) eleje")</f>
        <v>28. § (5) eleje</v>
      </c>
      <c r="F598" s="16" t="str">
        <f aca="false">HYPERLINK("https://net.jogtar.hu/jogszabaly?docid=a2400069.tv#pr593id","Jogtár megnyitása")</f>
        <v>Jogtár megnyitása</v>
      </c>
    </row>
    <row r="599" customFormat="false" ht="34" hidden="false" customHeight="true" outlineLevel="0" collapsed="false">
      <c r="A599" s="15" t="s">
        <v>3262</v>
      </c>
      <c r="B599" s="15" t="s">
        <v>1299</v>
      </c>
      <c r="C599" s="15" t="s">
        <v>3263</v>
      </c>
      <c r="D599" s="15" t="s">
        <v>3264</v>
      </c>
      <c r="E599" s="16" t="str">
        <f aca="false">HYPERLINK("#'Forrásszöveg'!A"&amp;(MATCH("TV-S0593",Forrásszöveg!$A$6:$A$2497,0)+5),"28. § (5) eleje")</f>
        <v>28. § (5) eleje</v>
      </c>
      <c r="F599" s="16" t="str">
        <f aca="false">HYPERLINK("https://net.jogtar.hu/jogszabaly?docid=a2400069.tv#pr594id","Jogtár megnyitása")</f>
        <v>Jogtár megnyitása</v>
      </c>
    </row>
    <row r="600" customFormat="false" ht="34" hidden="false" customHeight="true" outlineLevel="0" collapsed="false">
      <c r="A600" s="15" t="s">
        <v>3265</v>
      </c>
      <c r="B600" s="15" t="s">
        <v>1299</v>
      </c>
      <c r="C600" s="15" t="s">
        <v>3266</v>
      </c>
      <c r="D600" s="15" t="s">
        <v>3267</v>
      </c>
      <c r="E600" s="16" t="str">
        <f aca="false">HYPERLINK("#'Forrásszöveg'!A"&amp;(MATCH("TV-S0593",Forrásszöveg!$A$6:$A$2497,0)+5),"28. § (5) eleje")</f>
        <v>28. § (5) eleje</v>
      </c>
      <c r="F600" s="16" t="str">
        <f aca="false">HYPERLINK("https://net.jogtar.hu/jogszabaly?docid=a2400069.tv#pr595id","Jogtár megnyitása")</f>
        <v>Jogtár megnyitása</v>
      </c>
    </row>
    <row r="601" customFormat="false" ht="34" hidden="false" customHeight="true" outlineLevel="0" collapsed="false">
      <c r="A601" s="15" t="s">
        <v>3268</v>
      </c>
      <c r="B601" s="15" t="s">
        <v>1299</v>
      </c>
      <c r="C601" s="15" t="s">
        <v>3269</v>
      </c>
      <c r="D601" s="15" t="s">
        <v>3270</v>
      </c>
      <c r="E601" s="16" t="str">
        <f aca="false">HYPERLINK("#'Forrásszöveg'!A"&amp;(MATCH("TV-S0593",Forrásszöveg!$A$6:$A$2497,0)+5),"28. § (5) eleje")</f>
        <v>28. § (5) eleje</v>
      </c>
      <c r="F601" s="16" t="str">
        <f aca="false">HYPERLINK("https://net.jogtar.hu/jogszabaly?docid=a2400069.tv#pr596id","Jogtár megnyitása")</f>
        <v>Jogtár megnyitása</v>
      </c>
    </row>
    <row r="602" customFormat="false" ht="34" hidden="false" customHeight="true" outlineLevel="0" collapsed="false">
      <c r="A602" s="15" t="s">
        <v>3271</v>
      </c>
      <c r="B602" s="15" t="s">
        <v>1299</v>
      </c>
      <c r="C602" s="15" t="s">
        <v>3272</v>
      </c>
      <c r="D602" s="15" t="s">
        <v>3273</v>
      </c>
      <c r="E602" s="16" t="str">
        <f aca="false">HYPERLINK("#'Forrásszöveg'!A"&amp;(MATCH("TV-S0593",Forrásszöveg!$A$6:$A$2497,0)+5),"28. § (5) eleje")</f>
        <v>28. § (5) eleje</v>
      </c>
      <c r="F602" s="16" t="str">
        <f aca="false">HYPERLINK("https://net.jogtar.hu/jogszabaly?docid=a2400069.tv#pr597id","Jogtár megnyitása")</f>
        <v>Jogtár megnyitása</v>
      </c>
    </row>
    <row r="603" customFormat="false" ht="34" hidden="false" customHeight="true" outlineLevel="0" collapsed="false">
      <c r="A603" s="15" t="s">
        <v>3274</v>
      </c>
      <c r="B603" s="15" t="s">
        <v>1299</v>
      </c>
      <c r="C603" s="15" t="s">
        <v>3275</v>
      </c>
      <c r="D603" s="15" t="s">
        <v>3276</v>
      </c>
      <c r="E603" s="16" t="str">
        <f aca="false">HYPERLINK("#'Forrásszöveg'!A"&amp;(MATCH("TV-S0593",Forrásszöveg!$A$6:$A$2497,0)+5),"28. § (5) eleje")</f>
        <v>28. § (5) eleje</v>
      </c>
      <c r="F603" s="16" t="str">
        <f aca="false">HYPERLINK("https://net.jogtar.hu/jogszabaly?docid=a2400069.tv#pr598id","Jogtár megnyitása")</f>
        <v>Jogtár megnyitása</v>
      </c>
    </row>
    <row r="604" customFormat="false" ht="34" hidden="false" customHeight="true" outlineLevel="0" collapsed="false">
      <c r="A604" s="15" t="s">
        <v>3277</v>
      </c>
      <c r="B604" s="15" t="s">
        <v>1299</v>
      </c>
      <c r="C604" s="15" t="s">
        <v>3278</v>
      </c>
      <c r="D604" s="15" t="s">
        <v>3279</v>
      </c>
      <c r="E604" s="16" t="str">
        <f aca="false">HYPERLINK("#'Forrásszöveg'!A"&amp;(MATCH("TV-S0593",Forrásszöveg!$A$6:$A$2497,0)+5),"28. § (5) eleje")</f>
        <v>28. § (5) eleje</v>
      </c>
      <c r="F604" s="16" t="str">
        <f aca="false">HYPERLINK("https://net.jogtar.hu/jogszabaly?docid=a2400069.tv#pr599id","Jogtár megnyitása")</f>
        <v>Jogtár megnyitása</v>
      </c>
    </row>
    <row r="605" customFormat="false" ht="34" hidden="false" customHeight="true" outlineLevel="0" collapsed="false">
      <c r="A605" s="15" t="s">
        <v>3280</v>
      </c>
      <c r="B605" s="15" t="s">
        <v>1299</v>
      </c>
      <c r="C605" s="15" t="s">
        <v>3281</v>
      </c>
      <c r="D605" s="15" t="s">
        <v>3282</v>
      </c>
      <c r="E605" s="16" t="str">
        <f aca="false">HYPERLINK("#'Forrásszöveg'!A"&amp;(MATCH("TV-S0593",Forrásszöveg!$A$6:$A$2497,0)+5),"28. § (5) eleje")</f>
        <v>28. § (5) eleje</v>
      </c>
      <c r="F605" s="16" t="str">
        <f aca="false">HYPERLINK("https://net.jogtar.hu/jogszabaly?docid=a2400069.tv#pr600id","Jogtár megnyitása")</f>
        <v>Jogtár megnyitása</v>
      </c>
    </row>
    <row r="606" customFormat="false" ht="34" hidden="false" customHeight="true" outlineLevel="0" collapsed="false">
      <c r="A606" s="15" t="s">
        <v>3283</v>
      </c>
      <c r="B606" s="15" t="s">
        <v>1299</v>
      </c>
      <c r="C606" s="15" t="s">
        <v>3284</v>
      </c>
      <c r="D606" s="15" t="s">
        <v>3285</v>
      </c>
      <c r="E606" s="16" t="str">
        <f aca="false">HYPERLINK("#'Forrásszöveg'!A"&amp;(MATCH("TV-S0593",Forrásszöveg!$A$6:$A$2497,0)+5),"28. § (5) eleje")</f>
        <v>28. § (5) eleje</v>
      </c>
      <c r="F606" s="16" t="str">
        <f aca="false">HYPERLINK("https://net.jogtar.hu/jogszabaly?docid=a2400069.tv#pr601id","Jogtár megnyitása")</f>
        <v>Jogtár megnyitása</v>
      </c>
    </row>
    <row r="607" customFormat="false" ht="34" hidden="false" customHeight="true" outlineLevel="0" collapsed="false">
      <c r="A607" s="15" t="s">
        <v>3286</v>
      </c>
      <c r="B607" s="15" t="s">
        <v>1299</v>
      </c>
      <c r="C607" s="15" t="s">
        <v>3287</v>
      </c>
      <c r="D607" s="15" t="s">
        <v>3288</v>
      </c>
      <c r="E607" s="16" t="str">
        <f aca="false">HYPERLINK("#'Forrásszöveg'!A"&amp;(MATCH("TV-S0593",Forrásszöveg!$A$6:$A$2497,0)+5),"28. § (5) eleje")</f>
        <v>28. § (5) eleje</v>
      </c>
      <c r="F607" s="16" t="str">
        <f aca="false">HYPERLINK("https://net.jogtar.hu/jogszabaly?docid=a2400069.tv#pr602id","Jogtár megnyitása")</f>
        <v>Jogtár megnyitása</v>
      </c>
    </row>
    <row r="608" customFormat="false" ht="34" hidden="false" customHeight="true" outlineLevel="0" collapsed="false">
      <c r="A608" s="15" t="s">
        <v>3289</v>
      </c>
      <c r="B608" s="15" t="s">
        <v>1299</v>
      </c>
      <c r="C608" s="15" t="s">
        <v>3290</v>
      </c>
      <c r="D608" s="15" t="s">
        <v>3291</v>
      </c>
      <c r="E608" s="16" t="str">
        <f aca="false">HYPERLINK("#'Forrásszöveg'!A"&amp;(MATCH("TV-S0593",Forrásszöveg!$A$6:$A$2497,0)+5),"28. § (5) eleje")</f>
        <v>28. § (5) eleje</v>
      </c>
      <c r="F608" s="16" t="str">
        <f aca="false">HYPERLINK("https://net.jogtar.hu/jogszabaly?docid=a2400069.tv#pr603id","Jogtár megnyitása")</f>
        <v>Jogtár megnyitása</v>
      </c>
    </row>
    <row r="609" customFormat="false" ht="34" hidden="false" customHeight="true" outlineLevel="0" collapsed="false">
      <c r="A609" s="15" t="s">
        <v>3292</v>
      </c>
      <c r="B609" s="15" t="s">
        <v>1299</v>
      </c>
      <c r="C609" s="15" t="s">
        <v>3293</v>
      </c>
      <c r="D609" s="15" t="s">
        <v>3294</v>
      </c>
      <c r="E609" s="16" t="str">
        <f aca="false">HYPERLINK("#'Forrásszöveg'!A"&amp;(MATCH("TV-S0593",Forrásszöveg!$A$6:$A$2497,0)+5),"28. § (5) eleje")</f>
        <v>28. § (5) eleje</v>
      </c>
      <c r="F609" s="16" t="str">
        <f aca="false">HYPERLINK("https://net.jogtar.hu/jogszabaly?docid=a2400069.tv#pr604id","Jogtár megnyitása")</f>
        <v>Jogtár megnyitása</v>
      </c>
    </row>
    <row r="610" customFormat="false" ht="34" hidden="false" customHeight="true" outlineLevel="0" collapsed="false">
      <c r="A610" s="15" t="s">
        <v>3295</v>
      </c>
      <c r="B610" s="15" t="s">
        <v>1299</v>
      </c>
      <c r="C610" s="15" t="s">
        <v>3260</v>
      </c>
      <c r="D610" s="15" t="s">
        <v>3296</v>
      </c>
      <c r="E610" s="16" t="str">
        <f aca="false">HYPERLINK("#'Forrásszöveg'!A"&amp;(MATCH("TV-S0593",Forrásszöveg!$A$6:$A$2497,0)+5),"28. § (5) eleje")</f>
        <v>28. § (5) eleje</v>
      </c>
      <c r="F610" s="16" t="str">
        <f aca="false">HYPERLINK("https://net.jogtar.hu/jogszabaly?docid=a2400069.tv#pr605id","Jogtár megnyitása")</f>
        <v>Jogtár megnyitása</v>
      </c>
    </row>
    <row r="611" customFormat="false" ht="52" hidden="false" customHeight="true" outlineLevel="0" collapsed="false">
      <c r="A611" s="15" t="s">
        <v>3297</v>
      </c>
      <c r="B611" s="15" t="s">
        <v>1299</v>
      </c>
      <c r="C611" s="15" t="s">
        <v>3298</v>
      </c>
      <c r="D611" s="15" t="s">
        <v>3299</v>
      </c>
      <c r="E611" s="16" t="str">
        <f aca="false">HYPERLINK("#'Forrásszöveg'!A"&amp;(MATCH("TV-S0606",Forrásszöveg!$A$6:$A$2497,0)+5),"28. § (6) eleje")</f>
        <v>28. § (6) eleje</v>
      </c>
      <c r="F611" s="16" t="str">
        <f aca="false">HYPERLINK("https://net.jogtar.hu/jogszabaly?docid=a2400069.tv#pr606id","Jogtár megnyitása")</f>
        <v>Jogtár megnyitása</v>
      </c>
    </row>
    <row r="612" customFormat="false" ht="38" hidden="false" customHeight="true" outlineLevel="0" collapsed="false">
      <c r="A612" s="15" t="s">
        <v>3300</v>
      </c>
      <c r="B612" s="15" t="s">
        <v>1299</v>
      </c>
      <c r="C612" s="15" t="s">
        <v>3301</v>
      </c>
      <c r="D612" s="15" t="s">
        <v>3302</v>
      </c>
      <c r="E612" s="16" t="str">
        <f aca="false">HYPERLINK("#'Forrásszöveg'!A"&amp;(MATCH("TV-S0607",Forrásszöveg!$A$6:$A$2497,0)+5),"28. § (7) eleje")</f>
        <v>28. § (7) eleje</v>
      </c>
      <c r="F612" s="16" t="str">
        <f aca="false">HYPERLINK("https://net.jogtar.hu/jogszabaly?docid=a2400069.tv#pr607id","Jogtár megnyitása")</f>
        <v>Jogtár megnyitása</v>
      </c>
    </row>
    <row r="613" customFormat="false" ht="38" hidden="false" customHeight="true" outlineLevel="0" collapsed="false">
      <c r="A613" s="15" t="s">
        <v>3303</v>
      </c>
      <c r="B613" s="15" t="s">
        <v>1299</v>
      </c>
      <c r="C613" s="15" t="s">
        <v>3304</v>
      </c>
      <c r="D613" s="15" t="s">
        <v>3305</v>
      </c>
      <c r="E613" s="16" t="str">
        <f aca="false">HYPERLINK("#'Forrásszöveg'!A"&amp;(MATCH("TV-S0608",Forrásszöveg!$A$6:$A$2497,0)+5),"29. § (1) eleje")</f>
        <v>29. § (1) eleje</v>
      </c>
      <c r="F613" s="16" t="str">
        <f aca="false">HYPERLINK("https://net.jogtar.hu/jogszabaly?docid=a2400069.tv#pr608id","Jogtár megnyitása")</f>
        <v>Jogtár megnyitása</v>
      </c>
    </row>
    <row r="614" customFormat="false" ht="34" hidden="false" customHeight="true" outlineLevel="0" collapsed="false">
      <c r="A614" s="15" t="s">
        <v>3306</v>
      </c>
      <c r="B614" s="15" t="s">
        <v>1299</v>
      </c>
      <c r="C614" s="15" t="s">
        <v>3307</v>
      </c>
      <c r="D614" s="15" t="s">
        <v>3308</v>
      </c>
      <c r="E614" s="16" t="str">
        <f aca="false">HYPERLINK("#'Forrásszöveg'!A"&amp;(MATCH("TV-S0608",Forrásszöveg!$A$6:$A$2497,0)+5),"29. § (1) eleje")</f>
        <v>29. § (1) eleje</v>
      </c>
      <c r="F614" s="16" t="str">
        <f aca="false">HYPERLINK("https://net.jogtar.hu/jogszabaly?docid=a2400069.tv#pr609id","Jogtár megnyitása")</f>
        <v>Jogtár megnyitása</v>
      </c>
    </row>
    <row r="615" customFormat="false" ht="34" hidden="false" customHeight="true" outlineLevel="0" collapsed="false">
      <c r="A615" s="15" t="s">
        <v>3309</v>
      </c>
      <c r="B615" s="15" t="s">
        <v>1299</v>
      </c>
      <c r="C615" s="15" t="s">
        <v>3310</v>
      </c>
      <c r="D615" s="15" t="s">
        <v>3311</v>
      </c>
      <c r="E615" s="16" t="str">
        <f aca="false">HYPERLINK("#'Forrásszöveg'!A"&amp;(MATCH("TV-S0608",Forrásszöveg!$A$6:$A$2497,0)+5),"29. § (1) eleje")</f>
        <v>29. § (1) eleje</v>
      </c>
      <c r="F615" s="16" t="str">
        <f aca="false">HYPERLINK("https://net.jogtar.hu/jogszabaly?docid=a2400069.tv#pr610id","Jogtár megnyitása")</f>
        <v>Jogtár megnyitása</v>
      </c>
    </row>
    <row r="616" customFormat="false" ht="34" hidden="false" customHeight="true" outlineLevel="0" collapsed="false">
      <c r="A616" s="15" t="s">
        <v>3312</v>
      </c>
      <c r="B616" s="15" t="s">
        <v>1299</v>
      </c>
      <c r="C616" s="15" t="s">
        <v>3313</v>
      </c>
      <c r="D616" s="15" t="s">
        <v>3314</v>
      </c>
      <c r="E616" s="16" t="str">
        <f aca="false">HYPERLINK("#'Forrásszöveg'!A"&amp;(MATCH("TV-S0608",Forrásszöveg!$A$6:$A$2497,0)+5),"29. § (1) eleje")</f>
        <v>29. § (1) eleje</v>
      </c>
      <c r="F616" s="16" t="str">
        <f aca="false">HYPERLINK("https://net.jogtar.hu/jogszabaly?docid=a2400069.tv#pr611id","Jogtár megnyitása")</f>
        <v>Jogtár megnyitása</v>
      </c>
    </row>
    <row r="617" customFormat="false" ht="52" hidden="false" customHeight="true" outlineLevel="0" collapsed="false">
      <c r="A617" s="15" t="s">
        <v>3315</v>
      </c>
      <c r="B617" s="15" t="s">
        <v>1299</v>
      </c>
      <c r="C617" s="15" t="s">
        <v>3316</v>
      </c>
      <c r="D617" s="15" t="s">
        <v>3317</v>
      </c>
      <c r="E617" s="16" t="str">
        <f aca="false">HYPERLINK("#'Forrásszöveg'!A"&amp;(MATCH("TV-S0608",Forrásszöveg!$A$6:$A$2497,0)+5),"29. § (1) eleje")</f>
        <v>29. § (1) eleje</v>
      </c>
      <c r="F617" s="16" t="str">
        <f aca="false">HYPERLINK("https://net.jogtar.hu/jogszabaly?docid=a2400069.tv#pr612id","Jogtár megnyitása")</f>
        <v>Jogtár megnyitása</v>
      </c>
    </row>
    <row r="618" customFormat="false" ht="34" hidden="false" customHeight="true" outlineLevel="0" collapsed="false">
      <c r="A618" s="15" t="s">
        <v>3318</v>
      </c>
      <c r="B618" s="15" t="s">
        <v>1299</v>
      </c>
      <c r="C618" s="15" t="s">
        <v>3319</v>
      </c>
      <c r="D618" s="15" t="s">
        <v>3320</v>
      </c>
      <c r="E618" s="16" t="str">
        <f aca="false">HYPERLINK("#'Forrásszöveg'!A"&amp;(MATCH("TV-S0608",Forrásszöveg!$A$6:$A$2497,0)+5),"29. § (1) eleje")</f>
        <v>29. § (1) eleje</v>
      </c>
      <c r="F618" s="16" t="str">
        <f aca="false">HYPERLINK("https://net.jogtar.hu/jogszabaly?docid=a2400069.tv#pr613id","Jogtár megnyitása")</f>
        <v>Jogtár megnyitása</v>
      </c>
    </row>
    <row r="619" customFormat="false" ht="38" hidden="false" customHeight="true" outlineLevel="0" collapsed="false">
      <c r="A619" s="15" t="s">
        <v>3321</v>
      </c>
      <c r="B619" s="15" t="s">
        <v>1299</v>
      </c>
      <c r="C619" s="15" t="s">
        <v>3322</v>
      </c>
      <c r="D619" s="15" t="s">
        <v>3323</v>
      </c>
      <c r="E619" s="16" t="str">
        <f aca="false">HYPERLINK("#'Forrásszöveg'!A"&amp;(MATCH("TV-S0608",Forrásszöveg!$A$6:$A$2497,0)+5),"29. § (1) eleje")</f>
        <v>29. § (1) eleje</v>
      </c>
      <c r="F619" s="16" t="str">
        <f aca="false">HYPERLINK("https://net.jogtar.hu/jogszabaly?docid=a2400069.tv#pr614id","Jogtár megnyitása")</f>
        <v>Jogtár megnyitása</v>
      </c>
    </row>
    <row r="620" customFormat="false" ht="34" hidden="false" customHeight="true" outlineLevel="0" collapsed="false">
      <c r="A620" s="15" t="s">
        <v>3324</v>
      </c>
      <c r="B620" s="15" t="s">
        <v>1299</v>
      </c>
      <c r="C620" s="15" t="s">
        <v>3325</v>
      </c>
      <c r="D620" s="15" t="s">
        <v>3326</v>
      </c>
      <c r="E620" s="16" t="str">
        <f aca="false">HYPERLINK("#'Forrásszöveg'!A"&amp;(MATCH("TV-S0608",Forrásszöveg!$A$6:$A$2497,0)+5),"29. § (1) eleje")</f>
        <v>29. § (1) eleje</v>
      </c>
      <c r="F620" s="16" t="str">
        <f aca="false">HYPERLINK("https://net.jogtar.hu/jogszabaly?docid=a2400069.tv#pr615id","Jogtár megnyitása")</f>
        <v>Jogtár megnyitása</v>
      </c>
    </row>
    <row r="621" customFormat="false" ht="34" hidden="false" customHeight="true" outlineLevel="0" collapsed="false">
      <c r="A621" s="15" t="s">
        <v>3327</v>
      </c>
      <c r="B621" s="15" t="s">
        <v>1299</v>
      </c>
      <c r="C621" s="15" t="s">
        <v>3328</v>
      </c>
      <c r="D621" s="15" t="s">
        <v>3329</v>
      </c>
      <c r="E621" s="16" t="str">
        <f aca="false">HYPERLINK("#'Forrásszöveg'!A"&amp;(MATCH("TV-S0608",Forrásszöveg!$A$6:$A$2497,0)+5),"29. § (1) eleje")</f>
        <v>29. § (1) eleje</v>
      </c>
      <c r="F621" s="16" t="str">
        <f aca="false">HYPERLINK("https://net.jogtar.hu/jogszabaly?docid=a2400069.tv#pr616id","Jogtár megnyitása")</f>
        <v>Jogtár megnyitása</v>
      </c>
    </row>
    <row r="622" customFormat="false" ht="34" hidden="false" customHeight="true" outlineLevel="0" collapsed="false">
      <c r="A622" s="15" t="s">
        <v>3330</v>
      </c>
      <c r="B622" s="15" t="s">
        <v>1299</v>
      </c>
      <c r="C622" s="15" t="s">
        <v>3331</v>
      </c>
      <c r="D622" s="15" t="s">
        <v>3332</v>
      </c>
      <c r="E622" s="16" t="str">
        <f aca="false">HYPERLINK("#'Forrásszöveg'!A"&amp;(MATCH("TV-S0608",Forrásszöveg!$A$6:$A$2497,0)+5),"29. § (1) eleje")</f>
        <v>29. § (1) eleje</v>
      </c>
      <c r="F622" s="16" t="str">
        <f aca="false">HYPERLINK("https://net.jogtar.hu/jogszabaly?docid=a2400069.tv#pr617id","Jogtár megnyitása")</f>
        <v>Jogtár megnyitása</v>
      </c>
    </row>
    <row r="623" customFormat="false" ht="34" hidden="false" customHeight="true" outlineLevel="0" collapsed="false">
      <c r="A623" s="15" t="s">
        <v>3333</v>
      </c>
      <c r="B623" s="15" t="s">
        <v>1299</v>
      </c>
      <c r="C623" s="15" t="s">
        <v>3334</v>
      </c>
      <c r="D623" s="15" t="s">
        <v>3335</v>
      </c>
      <c r="E623" s="16" t="str">
        <f aca="false">HYPERLINK("#'Forrásszöveg'!A"&amp;(MATCH("TV-S0608",Forrásszöveg!$A$6:$A$2497,0)+5),"29. § (1) eleje")</f>
        <v>29. § (1) eleje</v>
      </c>
      <c r="F623" s="16" t="str">
        <f aca="false">HYPERLINK("https://net.jogtar.hu/jogszabaly?docid=a2400069.tv#pr618id","Jogtár megnyitása")</f>
        <v>Jogtár megnyitása</v>
      </c>
    </row>
    <row r="624" customFormat="false" ht="34" hidden="false" customHeight="true" outlineLevel="0" collapsed="false">
      <c r="A624" s="15" t="s">
        <v>3336</v>
      </c>
      <c r="B624" s="15" t="s">
        <v>1299</v>
      </c>
      <c r="C624" s="15" t="s">
        <v>3337</v>
      </c>
      <c r="D624" s="15" t="s">
        <v>3338</v>
      </c>
      <c r="E624" s="16" t="str">
        <f aca="false">HYPERLINK("#'Forrásszöveg'!A"&amp;(MATCH("TV-S0608",Forrásszöveg!$A$6:$A$2497,0)+5),"29. § (1) eleje")</f>
        <v>29. § (1) eleje</v>
      </c>
      <c r="F624" s="16" t="str">
        <f aca="false">HYPERLINK("https://net.jogtar.hu/jogszabaly?docid=a2400069.tv#pr619id","Jogtár megnyitása")</f>
        <v>Jogtár megnyitása</v>
      </c>
    </row>
    <row r="625" customFormat="false" ht="34" hidden="false" customHeight="true" outlineLevel="0" collapsed="false">
      <c r="A625" s="15" t="s">
        <v>3339</v>
      </c>
      <c r="B625" s="15" t="s">
        <v>1299</v>
      </c>
      <c r="C625" s="15" t="s">
        <v>3340</v>
      </c>
      <c r="D625" s="15" t="s">
        <v>3341</v>
      </c>
      <c r="E625" s="16" t="str">
        <f aca="false">HYPERLINK("#'Forrásszöveg'!A"&amp;(MATCH("TV-S0608",Forrásszöveg!$A$6:$A$2497,0)+5),"29. § (1) eleje")</f>
        <v>29. § (1) eleje</v>
      </c>
      <c r="F625" s="16" t="str">
        <f aca="false">HYPERLINK("https://net.jogtar.hu/jogszabaly?docid=a2400069.tv#pr620id","Jogtár megnyitása")</f>
        <v>Jogtár megnyitása</v>
      </c>
    </row>
    <row r="626" customFormat="false" ht="34" hidden="false" customHeight="true" outlineLevel="0" collapsed="false">
      <c r="A626" s="15" t="s">
        <v>3342</v>
      </c>
      <c r="B626" s="15" t="s">
        <v>1299</v>
      </c>
      <c r="C626" s="15" t="s">
        <v>3343</v>
      </c>
      <c r="D626" s="15" t="s">
        <v>3344</v>
      </c>
      <c r="E626" s="16" t="str">
        <f aca="false">HYPERLINK("#'Forrásszöveg'!A"&amp;(MATCH("TV-S0608",Forrásszöveg!$A$6:$A$2497,0)+5),"29. § (1) eleje")</f>
        <v>29. § (1) eleje</v>
      </c>
      <c r="F626" s="16" t="str">
        <f aca="false">HYPERLINK("https://net.jogtar.hu/jogszabaly?docid=a2400069.tv#pr621id","Jogtár megnyitása")</f>
        <v>Jogtár megnyitása</v>
      </c>
    </row>
    <row r="627" customFormat="false" ht="34" hidden="false" customHeight="true" outlineLevel="0" collapsed="false">
      <c r="A627" s="15" t="s">
        <v>3345</v>
      </c>
      <c r="B627" s="15" t="s">
        <v>1299</v>
      </c>
      <c r="C627" s="15" t="s">
        <v>3346</v>
      </c>
      <c r="D627" s="15" t="s">
        <v>3347</v>
      </c>
      <c r="E627" s="16" t="str">
        <f aca="false">HYPERLINK("#'Forrásszöveg'!A"&amp;(MATCH("TV-S0608",Forrásszöveg!$A$6:$A$2497,0)+5),"29. § (1) eleje")</f>
        <v>29. § (1) eleje</v>
      </c>
      <c r="F627" s="16" t="str">
        <f aca="false">HYPERLINK("https://net.jogtar.hu/jogszabaly?docid=a2400069.tv#pr622id","Jogtár megnyitása")</f>
        <v>Jogtár megnyitása</v>
      </c>
    </row>
    <row r="628" customFormat="false" ht="34" hidden="false" customHeight="true" outlineLevel="0" collapsed="false">
      <c r="A628" s="15" t="s">
        <v>3348</v>
      </c>
      <c r="B628" s="15" t="s">
        <v>1299</v>
      </c>
      <c r="C628" s="15" t="s">
        <v>3349</v>
      </c>
      <c r="D628" s="15" t="s">
        <v>3350</v>
      </c>
      <c r="E628" s="16" t="str">
        <f aca="false">HYPERLINK("#'Forrásszöveg'!A"&amp;(MATCH("TV-S0608",Forrásszöveg!$A$6:$A$2497,0)+5),"29. § (1) eleje")</f>
        <v>29. § (1) eleje</v>
      </c>
      <c r="F628" s="16" t="str">
        <f aca="false">HYPERLINK("https://net.jogtar.hu/jogszabaly?docid=a2400069.tv#pr623id","Jogtár megnyitása")</f>
        <v>Jogtár megnyitása</v>
      </c>
    </row>
    <row r="629" customFormat="false" ht="34" hidden="false" customHeight="true" outlineLevel="0" collapsed="false">
      <c r="A629" s="15" t="s">
        <v>3351</v>
      </c>
      <c r="B629" s="15" t="s">
        <v>1299</v>
      </c>
      <c r="C629" s="15" t="s">
        <v>3352</v>
      </c>
      <c r="D629" s="15" t="s">
        <v>3353</v>
      </c>
      <c r="E629" s="16" t="str">
        <f aca="false">HYPERLINK("#'Forrásszöveg'!A"&amp;(MATCH("TV-S0608",Forrásszöveg!$A$6:$A$2497,0)+5),"29. § (1) eleje")</f>
        <v>29. § (1) eleje</v>
      </c>
      <c r="F629" s="16" t="str">
        <f aca="false">HYPERLINK("https://net.jogtar.hu/jogszabaly?docid=a2400069.tv#pr624id","Jogtár megnyitása")</f>
        <v>Jogtár megnyitása</v>
      </c>
    </row>
    <row r="630" customFormat="false" ht="34" hidden="false" customHeight="true" outlineLevel="0" collapsed="false">
      <c r="A630" s="15" t="s">
        <v>3354</v>
      </c>
      <c r="B630" s="15" t="s">
        <v>1299</v>
      </c>
      <c r="C630" s="15" t="s">
        <v>3355</v>
      </c>
      <c r="D630" s="15" t="s">
        <v>3356</v>
      </c>
      <c r="E630" s="16" t="str">
        <f aca="false">HYPERLINK("#'Forrásszöveg'!A"&amp;(MATCH("TV-S0608",Forrásszöveg!$A$6:$A$2497,0)+5),"29. § (1) eleje")</f>
        <v>29. § (1) eleje</v>
      </c>
      <c r="F630" s="16" t="str">
        <f aca="false">HYPERLINK("https://net.jogtar.hu/jogszabaly?docid=a2400069.tv#pr625id","Jogtár megnyitása")</f>
        <v>Jogtár megnyitása</v>
      </c>
    </row>
    <row r="631" customFormat="false" ht="34" hidden="false" customHeight="true" outlineLevel="0" collapsed="false">
      <c r="A631" s="15" t="s">
        <v>3357</v>
      </c>
      <c r="B631" s="15" t="s">
        <v>1299</v>
      </c>
      <c r="C631" s="15" t="s">
        <v>3358</v>
      </c>
      <c r="D631" s="15" t="s">
        <v>3359</v>
      </c>
      <c r="E631" s="16" t="str">
        <f aca="false">HYPERLINK("#'Forrásszöveg'!A"&amp;(MATCH("TV-S0608",Forrásszöveg!$A$6:$A$2497,0)+5),"29. § (1) eleje")</f>
        <v>29. § (1) eleje</v>
      </c>
      <c r="F631" s="16" t="str">
        <f aca="false">HYPERLINK("https://net.jogtar.hu/jogszabaly?docid=a2400069.tv#pr626id","Jogtár megnyitása")</f>
        <v>Jogtár megnyitása</v>
      </c>
    </row>
    <row r="632" customFormat="false" ht="52" hidden="false" customHeight="true" outlineLevel="0" collapsed="false">
      <c r="A632" s="15" t="s">
        <v>3360</v>
      </c>
      <c r="B632" s="15" t="s">
        <v>1299</v>
      </c>
      <c r="C632" s="15" t="s">
        <v>3361</v>
      </c>
      <c r="D632" s="15" t="s">
        <v>3362</v>
      </c>
      <c r="E632" s="16" t="str">
        <f aca="false">HYPERLINK("#'Forrásszöveg'!A"&amp;(MATCH("TV-S0627",Forrásszöveg!$A$6:$A$2497,0)+5),"29. § (1a) eleje")</f>
        <v>29. § (1a) eleje</v>
      </c>
      <c r="F632" s="16" t="str">
        <f aca="false">HYPERLINK("https://net.jogtar.hu/jogszabaly?docid=a2400069.tv#pr627id","Jogtár megnyitása")</f>
        <v>Jogtár megnyitása</v>
      </c>
    </row>
    <row r="633" customFormat="false" ht="66" hidden="false" customHeight="true" outlineLevel="0" collapsed="false">
      <c r="A633" s="15" t="s">
        <v>3363</v>
      </c>
      <c r="B633" s="15" t="s">
        <v>1299</v>
      </c>
      <c r="C633" s="15" t="s">
        <v>3364</v>
      </c>
      <c r="D633" s="15" t="s">
        <v>3365</v>
      </c>
      <c r="E633" s="16" t="str">
        <f aca="false">HYPERLINK("#'Forrásszöveg'!A"&amp;(MATCH("TV-S0628",Forrásszöveg!$A$6:$A$2497,0)+5),"29. § (2) eleje")</f>
        <v>29. § (2) eleje</v>
      </c>
      <c r="F633" s="16" t="str">
        <f aca="false">HYPERLINK("https://net.jogtar.hu/jogszabaly?docid=a2400069.tv#pr628id","Jogtár megnyitása")</f>
        <v>Jogtár megnyitása</v>
      </c>
    </row>
    <row r="634" customFormat="false" ht="52" hidden="false" customHeight="true" outlineLevel="0" collapsed="false">
      <c r="A634" s="15" t="s">
        <v>3366</v>
      </c>
      <c r="B634" s="15" t="s">
        <v>1299</v>
      </c>
      <c r="C634" s="15" t="s">
        <v>3367</v>
      </c>
      <c r="D634" s="15" t="s">
        <v>3368</v>
      </c>
      <c r="E634" s="16" t="str">
        <f aca="false">HYPERLINK("#'Forrásszöveg'!A"&amp;(MATCH("TV-S0629",Forrásszöveg!$A$6:$A$2497,0)+5),"29. § (3) eleje")</f>
        <v>29. § (3) eleje</v>
      </c>
      <c r="F634" s="16" t="str">
        <f aca="false">HYPERLINK("https://net.jogtar.hu/jogszabaly?docid=a2400069.tv#pr629id","Jogtár megnyitása")</f>
        <v>Jogtár megnyitása</v>
      </c>
    </row>
    <row r="635" customFormat="false" ht="38" hidden="false" customHeight="true" outlineLevel="0" collapsed="false">
      <c r="A635" s="15" t="s">
        <v>3369</v>
      </c>
      <c r="B635" s="15" t="s">
        <v>1299</v>
      </c>
      <c r="C635" s="15" t="s">
        <v>3370</v>
      </c>
      <c r="D635" s="15" t="s">
        <v>3371</v>
      </c>
      <c r="E635" s="16" t="str">
        <f aca="false">HYPERLINK("#'Forrásszöveg'!A"&amp;(MATCH("TV-S0630",Forrásszöveg!$A$6:$A$2497,0)+5),"29. § (4) eleje")</f>
        <v>29. § (4) eleje</v>
      </c>
      <c r="F635" s="16" t="str">
        <f aca="false">HYPERLINK("https://net.jogtar.hu/jogszabaly?docid=a2400069.tv#pr630id","Jogtár megnyitása")</f>
        <v>Jogtár megnyitása</v>
      </c>
    </row>
    <row r="636" customFormat="false" ht="52" hidden="false" customHeight="true" outlineLevel="0" collapsed="false">
      <c r="A636" s="15" t="s">
        <v>3372</v>
      </c>
      <c r="B636" s="15" t="s">
        <v>1299</v>
      </c>
      <c r="C636" s="15" t="s">
        <v>3373</v>
      </c>
      <c r="D636" s="15" t="s">
        <v>3374</v>
      </c>
      <c r="E636" s="16" t="str">
        <f aca="false">HYPERLINK("#'Forrásszöveg'!A"&amp;(MATCH("TV-S0631",Forrásszöveg!$A$6:$A$2497,0)+5),"29. § (5) eleje")</f>
        <v>29. § (5) eleje</v>
      </c>
      <c r="F636" s="16" t="str">
        <f aca="false">HYPERLINK("https://net.jogtar.hu/jogszabaly?docid=a2400069.tv#pr631id","Jogtár megnyitása")</f>
        <v>Jogtár megnyitása</v>
      </c>
    </row>
    <row r="637" customFormat="false" ht="34" hidden="false" customHeight="true" outlineLevel="0" collapsed="false">
      <c r="A637" s="15" t="s">
        <v>3375</v>
      </c>
      <c r="B637" s="15" t="s">
        <v>1299</v>
      </c>
      <c r="C637" s="15" t="s">
        <v>1355</v>
      </c>
      <c r="D637" s="15" t="s">
        <v>1355</v>
      </c>
      <c r="E637" s="16" t="str">
        <f aca="false">HYPERLINK("#'Forrásszöveg'!A"&amp;(MATCH("TV-S0608",Forrásszöveg!$A$6:$A$2497,0)+5),"29. § eleje")</f>
        <v>29. § eleje</v>
      </c>
      <c r="F637" s="16" t="str">
        <f aca="false">HYPERLINK("https://net.jogtar.hu/jogszabaly?docid=a2400069.tv#pr632id","Jogtár megnyitása")</f>
        <v>Jogtár megnyitása</v>
      </c>
    </row>
    <row r="638" customFormat="false" ht="52" hidden="false" customHeight="true" outlineLevel="0" collapsed="false">
      <c r="A638" s="15" t="s">
        <v>3376</v>
      </c>
      <c r="B638" s="15" t="s">
        <v>1299</v>
      </c>
      <c r="C638" s="15" t="s">
        <v>3377</v>
      </c>
      <c r="D638" s="15" t="s">
        <v>3378</v>
      </c>
      <c r="E638" s="16" t="str">
        <f aca="false">HYPERLINK("#'Forrásszöveg'!A"&amp;(MATCH("TV-S0633",Forrásszöveg!$A$6:$A$2497,0)+5),"30. § (1) eleje")</f>
        <v>30. § (1) eleje</v>
      </c>
      <c r="F638" s="16" t="str">
        <f aca="false">HYPERLINK("https://net.jogtar.hu/jogszabaly?docid=a2400069.tv#pr633id","Jogtár megnyitása")</f>
        <v>Jogtár megnyitása</v>
      </c>
    </row>
    <row r="639" customFormat="false" ht="66" hidden="false" customHeight="true" outlineLevel="0" collapsed="false">
      <c r="A639" s="15" t="s">
        <v>3379</v>
      </c>
      <c r="B639" s="15" t="s">
        <v>1299</v>
      </c>
      <c r="C639" s="15" t="s">
        <v>3380</v>
      </c>
      <c r="D639" s="15" t="s">
        <v>3381</v>
      </c>
      <c r="E639" s="16" t="str">
        <f aca="false">HYPERLINK("#'Forrásszöveg'!A"&amp;(MATCH("TV-S0633",Forrásszöveg!$A$6:$A$2497,0)+5),"30. § (1) eleje")</f>
        <v>30. § (1) eleje</v>
      </c>
      <c r="F639" s="16" t="str">
        <f aca="false">HYPERLINK("https://net.jogtar.hu/jogszabaly?docid=a2400069.tv#pr634id","Jogtár megnyitása")</f>
        <v>Jogtár megnyitása</v>
      </c>
    </row>
    <row r="640" customFormat="false" ht="38" hidden="false" customHeight="true" outlineLevel="0" collapsed="false">
      <c r="A640" s="15" t="s">
        <v>3382</v>
      </c>
      <c r="B640" s="15" t="s">
        <v>1299</v>
      </c>
      <c r="C640" s="15" t="s">
        <v>3383</v>
      </c>
      <c r="D640" s="15" t="s">
        <v>3384</v>
      </c>
      <c r="E640" s="16" t="str">
        <f aca="false">HYPERLINK("#'Forrásszöveg'!A"&amp;(MATCH("TV-S0633",Forrásszöveg!$A$6:$A$2497,0)+5),"30. § (1) eleje")</f>
        <v>30. § (1) eleje</v>
      </c>
      <c r="F640" s="16" t="str">
        <f aca="false">HYPERLINK("https://net.jogtar.hu/jogszabaly?docid=a2400069.tv#pr635id","Jogtár megnyitása")</f>
        <v>Jogtár megnyitása</v>
      </c>
    </row>
    <row r="641" customFormat="false" ht="38" hidden="false" customHeight="true" outlineLevel="0" collapsed="false">
      <c r="A641" s="15" t="s">
        <v>3385</v>
      </c>
      <c r="B641" s="15" t="s">
        <v>1299</v>
      </c>
      <c r="C641" s="15" t="s">
        <v>3386</v>
      </c>
      <c r="D641" s="15" t="s">
        <v>3387</v>
      </c>
      <c r="E641" s="16" t="str">
        <f aca="false">HYPERLINK("#'Forrásszöveg'!A"&amp;(MATCH("TV-S0633",Forrásszöveg!$A$6:$A$2497,0)+5),"30. § (1) eleje")</f>
        <v>30. § (1) eleje</v>
      </c>
      <c r="F641" s="16" t="str">
        <f aca="false">HYPERLINK("https://net.jogtar.hu/jogszabaly?docid=a2400069.tv#pr636id","Jogtár megnyitása")</f>
        <v>Jogtár megnyitása</v>
      </c>
    </row>
    <row r="642" customFormat="false" ht="52" hidden="false" customHeight="true" outlineLevel="0" collapsed="false">
      <c r="A642" s="15" t="s">
        <v>3388</v>
      </c>
      <c r="B642" s="15" t="s">
        <v>1299</v>
      </c>
      <c r="C642" s="15" t="s">
        <v>3389</v>
      </c>
      <c r="D642" s="15" t="s">
        <v>3390</v>
      </c>
      <c r="E642" s="16" t="str">
        <f aca="false">HYPERLINK("#'Forrásszöveg'!A"&amp;(MATCH("TV-S0633",Forrásszöveg!$A$6:$A$2497,0)+5),"30. § (1) eleje")</f>
        <v>30. § (1) eleje</v>
      </c>
      <c r="F642" s="16" t="str">
        <f aca="false">HYPERLINK("https://net.jogtar.hu/jogszabaly?docid=a2400069.tv#pr637id","Jogtár megnyitása")</f>
        <v>Jogtár megnyitása</v>
      </c>
    </row>
    <row r="643" customFormat="false" ht="80" hidden="false" customHeight="true" outlineLevel="0" collapsed="false">
      <c r="A643" s="15" t="s">
        <v>3391</v>
      </c>
      <c r="B643" s="15" t="s">
        <v>1299</v>
      </c>
      <c r="C643" s="15" t="s">
        <v>3392</v>
      </c>
      <c r="D643" s="15" t="s">
        <v>3393</v>
      </c>
      <c r="E643" s="16" t="str">
        <f aca="false">HYPERLINK("#'Forrásszöveg'!A"&amp;(MATCH("TV-S0638",Forrásszöveg!$A$6:$A$2497,0)+5),"30. § (2) eleje")</f>
        <v>30. § (2) eleje</v>
      </c>
      <c r="F643" s="16" t="str">
        <f aca="false">HYPERLINK("https://net.jogtar.hu/jogszabaly?docid=a2400069.tv#pr638id","Jogtár megnyitása")</f>
        <v>Jogtár megnyitása</v>
      </c>
    </row>
    <row r="644" customFormat="false" ht="52" hidden="false" customHeight="true" outlineLevel="0" collapsed="false">
      <c r="A644" s="15" t="s">
        <v>3394</v>
      </c>
      <c r="B644" s="15" t="s">
        <v>1299</v>
      </c>
      <c r="C644" s="15" t="s">
        <v>3395</v>
      </c>
      <c r="D644" s="15" t="s">
        <v>3396</v>
      </c>
      <c r="E644" s="16" t="str">
        <f aca="false">HYPERLINK("#'Forrásszöveg'!A"&amp;(MATCH("TV-S0639",Forrásszöveg!$A$6:$A$2497,0)+5),"30. § (3) eleje")</f>
        <v>30. § (3) eleje</v>
      </c>
      <c r="F644" s="16" t="str">
        <f aca="false">HYPERLINK("https://net.jogtar.hu/jogszabaly?docid=a2400069.tv#pr639id","Jogtár megnyitása")</f>
        <v>Jogtár megnyitása</v>
      </c>
    </row>
    <row r="645" customFormat="false" ht="38" hidden="false" customHeight="true" outlineLevel="0" collapsed="false">
      <c r="A645" s="15" t="s">
        <v>3397</v>
      </c>
      <c r="B645" s="15" t="s">
        <v>1299</v>
      </c>
      <c r="C645" s="15" t="s">
        <v>3398</v>
      </c>
      <c r="D645" s="15" t="s">
        <v>3399</v>
      </c>
      <c r="E645" s="16" t="str">
        <f aca="false">HYPERLINK("#'Forrásszöveg'!A"&amp;(MATCH("TV-S0640",Forrásszöveg!$A$6:$A$2497,0)+5),"30. § (4) eleje")</f>
        <v>30. § (4) eleje</v>
      </c>
      <c r="F645" s="16" t="str">
        <f aca="false">HYPERLINK("https://net.jogtar.hu/jogszabaly?docid=a2400069.tv#pr640id","Jogtár megnyitása")</f>
        <v>Jogtár megnyitása</v>
      </c>
    </row>
    <row r="646" customFormat="false" ht="34" hidden="false" customHeight="true" outlineLevel="0" collapsed="false">
      <c r="A646" s="15" t="s">
        <v>3400</v>
      </c>
      <c r="B646" s="15" t="s">
        <v>1299</v>
      </c>
      <c r="C646" s="15" t="s">
        <v>3401</v>
      </c>
      <c r="D646" s="15" t="s">
        <v>3402</v>
      </c>
      <c r="E646" s="16" t="str">
        <f aca="false">HYPERLINK("#'Forrásszöveg'!A"&amp;(MATCH("TV-S0641",Forrásszöveg!$A$6:$A$2497,0)+5),"30. § (5) eleje")</f>
        <v>30. § (5) eleje</v>
      </c>
      <c r="F646" s="16" t="str">
        <f aca="false">HYPERLINK("https://net.jogtar.hu/jogszabaly?docid=a2400069.tv#pr641id","Jogtár megnyitása")</f>
        <v>Jogtár megnyitása</v>
      </c>
    </row>
    <row r="647" customFormat="false" ht="38" hidden="false" customHeight="true" outlineLevel="0" collapsed="false">
      <c r="A647" s="15" t="s">
        <v>3403</v>
      </c>
      <c r="B647" s="15" t="s">
        <v>1299</v>
      </c>
      <c r="C647" s="15" t="s">
        <v>3404</v>
      </c>
      <c r="D647" s="15" t="s">
        <v>3405</v>
      </c>
      <c r="E647" s="16" t="str">
        <f aca="false">HYPERLINK("#'Forrásszöveg'!A"&amp;(MATCH("TV-S0641",Forrásszöveg!$A$6:$A$2497,0)+5),"30. § (5) eleje")</f>
        <v>30. § (5) eleje</v>
      </c>
      <c r="F647" s="16" t="str">
        <f aca="false">HYPERLINK("https://net.jogtar.hu/jogszabaly?docid=a2400069.tv#pr642id","Jogtár megnyitása")</f>
        <v>Jogtár megnyitása</v>
      </c>
    </row>
    <row r="648" customFormat="false" ht="52" hidden="false" customHeight="true" outlineLevel="0" collapsed="false">
      <c r="A648" s="15" t="s">
        <v>3406</v>
      </c>
      <c r="B648" s="15" t="s">
        <v>1299</v>
      </c>
      <c r="C648" s="15" t="s">
        <v>3407</v>
      </c>
      <c r="D648" s="15" t="s">
        <v>3408</v>
      </c>
      <c r="E648" s="16" t="str">
        <f aca="false">HYPERLINK("#'Forrásszöveg'!A"&amp;(MATCH("TV-S0641",Forrásszöveg!$A$6:$A$2497,0)+5),"30. § (5) eleje")</f>
        <v>30. § (5) eleje</v>
      </c>
      <c r="F648" s="16" t="str">
        <f aca="false">HYPERLINK("https://net.jogtar.hu/jogszabaly?docid=a2400069.tv#pr643id","Jogtár megnyitása")</f>
        <v>Jogtár megnyitása</v>
      </c>
    </row>
    <row r="649" customFormat="false" ht="52" hidden="false" customHeight="true" outlineLevel="0" collapsed="false">
      <c r="A649" s="15" t="s">
        <v>3409</v>
      </c>
      <c r="B649" s="15" t="s">
        <v>1299</v>
      </c>
      <c r="C649" s="15" t="s">
        <v>3410</v>
      </c>
      <c r="D649" s="15" t="s">
        <v>3411</v>
      </c>
      <c r="E649" s="16" t="str">
        <f aca="false">HYPERLINK("#'Forrásszöveg'!A"&amp;(MATCH("TV-S0641",Forrásszöveg!$A$6:$A$2497,0)+5),"30. § (5) eleje")</f>
        <v>30. § (5) eleje</v>
      </c>
      <c r="F649" s="16" t="str">
        <f aca="false">HYPERLINK("https://net.jogtar.hu/jogszabaly?docid=a2400069.tv#pr644id","Jogtár megnyitása")</f>
        <v>Jogtár megnyitása</v>
      </c>
    </row>
    <row r="650" customFormat="false" ht="38" hidden="false" customHeight="true" outlineLevel="0" collapsed="false">
      <c r="A650" s="15" t="s">
        <v>3412</v>
      </c>
      <c r="B650" s="15" t="s">
        <v>1299</v>
      </c>
      <c r="C650" s="15" t="s">
        <v>3413</v>
      </c>
      <c r="D650" s="15" t="s">
        <v>3414</v>
      </c>
      <c r="E650" s="16" t="str">
        <f aca="false">HYPERLINK("#'Forrásszöveg'!A"&amp;(MATCH("TV-S0641",Forrásszöveg!$A$6:$A$2497,0)+5),"30. § (5) eleje")</f>
        <v>30. § (5) eleje</v>
      </c>
      <c r="F650" s="16" t="str">
        <f aca="false">HYPERLINK("https://net.jogtar.hu/jogszabaly?docid=a2400069.tv#pr645id","Jogtár megnyitása")</f>
        <v>Jogtár megnyitása</v>
      </c>
    </row>
    <row r="651" customFormat="false" ht="38" hidden="false" customHeight="true" outlineLevel="0" collapsed="false">
      <c r="A651" s="15" t="s">
        <v>3415</v>
      </c>
      <c r="B651" s="15" t="s">
        <v>1299</v>
      </c>
      <c r="C651" s="15" t="s">
        <v>3416</v>
      </c>
      <c r="D651" s="15" t="s">
        <v>3417</v>
      </c>
      <c r="E651" s="16" t="str">
        <f aca="false">HYPERLINK("#'Forrásszöveg'!A"&amp;(MATCH("TV-S0646",Forrásszöveg!$A$6:$A$2497,0)+5),"30. § (6) eleje")</f>
        <v>30. § (6) eleje</v>
      </c>
      <c r="F651" s="16" t="str">
        <f aca="false">HYPERLINK("https://net.jogtar.hu/jogszabaly?docid=a2400069.tv#pr646id","Jogtár megnyitása")</f>
        <v>Jogtár megnyitása</v>
      </c>
    </row>
    <row r="652" customFormat="false" ht="52" hidden="false" customHeight="true" outlineLevel="0" collapsed="false">
      <c r="A652" s="15" t="s">
        <v>3418</v>
      </c>
      <c r="B652" s="15" t="s">
        <v>1299</v>
      </c>
      <c r="C652" s="15" t="s">
        <v>3419</v>
      </c>
      <c r="D652" s="15" t="s">
        <v>3420</v>
      </c>
      <c r="E652" s="16" t="str">
        <f aca="false">HYPERLINK("#'Forrásszöveg'!A"&amp;(MATCH("TV-S0646",Forrásszöveg!$A$6:$A$2497,0)+5),"30. § (6) eleje")</f>
        <v>30. § (6) eleje</v>
      </c>
      <c r="F652" s="16" t="str">
        <f aca="false">HYPERLINK("https://net.jogtar.hu/jogszabaly?docid=a2400069.tv#pr647id","Jogtár megnyitása")</f>
        <v>Jogtár megnyitása</v>
      </c>
    </row>
    <row r="653" customFormat="false" ht="38" hidden="false" customHeight="true" outlineLevel="0" collapsed="false">
      <c r="A653" s="15" t="s">
        <v>3421</v>
      </c>
      <c r="B653" s="15" t="s">
        <v>1299</v>
      </c>
      <c r="C653" s="15" t="s">
        <v>3422</v>
      </c>
      <c r="D653" s="15" t="s">
        <v>3423</v>
      </c>
      <c r="E653" s="16" t="str">
        <f aca="false">HYPERLINK("#'Forrásszöveg'!A"&amp;(MATCH("TV-S0646",Forrásszöveg!$A$6:$A$2497,0)+5),"30. § (6) eleje")</f>
        <v>30. § (6) eleje</v>
      </c>
      <c r="F653" s="16" t="str">
        <f aca="false">HYPERLINK("https://net.jogtar.hu/jogszabaly?docid=a2400069.tv#pr648id","Jogtár megnyitása")</f>
        <v>Jogtár megnyitása</v>
      </c>
    </row>
    <row r="654" customFormat="false" ht="38" hidden="false" customHeight="true" outlineLevel="0" collapsed="false">
      <c r="A654" s="15" t="s">
        <v>3424</v>
      </c>
      <c r="B654" s="15" t="s">
        <v>1299</v>
      </c>
      <c r="C654" s="15" t="s">
        <v>3425</v>
      </c>
      <c r="D654" s="15" t="s">
        <v>3426</v>
      </c>
      <c r="E654" s="16" t="str">
        <f aca="false">HYPERLINK("#'Forrásszöveg'!A"&amp;(MATCH("TV-S0649",Forrásszöveg!$A$6:$A$2497,0)+5),"30. § (7) eleje")</f>
        <v>30. § (7) eleje</v>
      </c>
      <c r="F654" s="16" t="str">
        <f aca="false">HYPERLINK("https://net.jogtar.hu/jogszabaly?docid=a2400069.tv#pr649id","Jogtár megnyitása")</f>
        <v>Jogtár megnyitása</v>
      </c>
    </row>
    <row r="655" customFormat="false" ht="52" hidden="false" customHeight="true" outlineLevel="0" collapsed="false">
      <c r="A655" s="15" t="s">
        <v>3427</v>
      </c>
      <c r="B655" s="15" t="s">
        <v>1299</v>
      </c>
      <c r="C655" s="15" t="s">
        <v>3428</v>
      </c>
      <c r="D655" s="15" t="s">
        <v>3429</v>
      </c>
      <c r="E655" s="16" t="str">
        <f aca="false">HYPERLINK("#'Forrásszöveg'!A"&amp;(MATCH("TV-S0650",Forrásszöveg!$A$6:$A$2497,0)+5),"30. § (8) eleje")</f>
        <v>30. § (8) eleje</v>
      </c>
      <c r="F655" s="16" t="str">
        <f aca="false">HYPERLINK("https://net.jogtar.hu/jogszabaly?docid=a2400069.tv#pr650id","Jogtár megnyitása")</f>
        <v>Jogtár megnyitása</v>
      </c>
    </row>
    <row r="656" customFormat="false" ht="38" hidden="false" customHeight="true" outlineLevel="0" collapsed="false">
      <c r="A656" s="15" t="s">
        <v>3430</v>
      </c>
      <c r="B656" s="15" t="s">
        <v>1299</v>
      </c>
      <c r="C656" s="15" t="s">
        <v>3431</v>
      </c>
      <c r="D656" s="15" t="s">
        <v>3432</v>
      </c>
      <c r="E656" s="16" t="str">
        <f aca="false">HYPERLINK("#'Forrásszöveg'!A"&amp;(MATCH("TV-S0651",Forrásszöveg!$A$6:$A$2497,0)+5),"30. § (9) eleje")</f>
        <v>30. § (9) eleje</v>
      </c>
      <c r="F656" s="16" t="str">
        <f aca="false">HYPERLINK("https://net.jogtar.hu/jogszabaly?docid=a2400069.tv#pr651id","Jogtár megnyitása")</f>
        <v>Jogtár megnyitása</v>
      </c>
    </row>
    <row r="657" customFormat="false" ht="80" hidden="false" customHeight="true" outlineLevel="0" collapsed="false">
      <c r="A657" s="15" t="s">
        <v>3433</v>
      </c>
      <c r="B657" s="15" t="s">
        <v>1299</v>
      </c>
      <c r="C657" s="15" t="s">
        <v>3434</v>
      </c>
      <c r="D657" s="15" t="s">
        <v>3435</v>
      </c>
      <c r="E657" s="16" t="str">
        <f aca="false">HYPERLINK("#'Forrásszöveg'!A"&amp;(MATCH("TV-S0652",Forrásszöveg!$A$6:$A$2497,0)+5),"30. § (10) eleje")</f>
        <v>30. § (10) eleje</v>
      </c>
      <c r="F657" s="16" t="str">
        <f aca="false">HYPERLINK("https://net.jogtar.hu/jogszabaly?docid=a2400069.tv#pr652id","Jogtár megnyitása")</f>
        <v>Jogtár megnyitása</v>
      </c>
    </row>
    <row r="658" customFormat="false" ht="52" hidden="false" customHeight="true" outlineLevel="0" collapsed="false">
      <c r="A658" s="15" t="s">
        <v>3436</v>
      </c>
      <c r="B658" s="15" t="s">
        <v>1299</v>
      </c>
      <c r="C658" s="15" t="s">
        <v>3437</v>
      </c>
      <c r="D658" s="15" t="s">
        <v>3438</v>
      </c>
      <c r="E658" s="16" t="str">
        <f aca="false">HYPERLINK("#'Forrásszöveg'!A"&amp;(MATCH("TV-S0653",Forrásszöveg!$A$6:$A$2497,0)+5),"30. § (11) eleje")</f>
        <v>30. § (11) eleje</v>
      </c>
      <c r="F658" s="16" t="str">
        <f aca="false">HYPERLINK("https://net.jogtar.hu/jogszabaly?docid=a2400069.tv#pr653id","Jogtár megnyitása")</f>
        <v>Jogtár megnyitása</v>
      </c>
    </row>
    <row r="659" customFormat="false" ht="38" hidden="false" customHeight="true" outlineLevel="0" collapsed="false">
      <c r="A659" s="15" t="s">
        <v>3439</v>
      </c>
      <c r="B659" s="15" t="s">
        <v>1299</v>
      </c>
      <c r="C659" s="15" t="s">
        <v>3440</v>
      </c>
      <c r="D659" s="15" t="s">
        <v>3441</v>
      </c>
      <c r="E659" s="16" t="str">
        <f aca="false">HYPERLINK("#'Forrásszöveg'!A"&amp;(MATCH("TV-S0653",Forrásszöveg!$A$6:$A$2497,0)+5),"30. § (11) eleje")</f>
        <v>30. § (11) eleje</v>
      </c>
      <c r="F659" s="16" t="str">
        <f aca="false">HYPERLINK("https://net.jogtar.hu/jogszabaly?docid=a2400069.tv#pr654id","Jogtár megnyitása")</f>
        <v>Jogtár megnyitása</v>
      </c>
    </row>
    <row r="660" customFormat="false" ht="38" hidden="false" customHeight="true" outlineLevel="0" collapsed="false">
      <c r="A660" s="15" t="s">
        <v>3442</v>
      </c>
      <c r="B660" s="15" t="s">
        <v>1299</v>
      </c>
      <c r="C660" s="15" t="s">
        <v>3443</v>
      </c>
      <c r="D660" s="15" t="s">
        <v>3444</v>
      </c>
      <c r="E660" s="16" t="str">
        <f aca="false">HYPERLINK("#'Forrásszöveg'!A"&amp;(MATCH("TV-S0653",Forrásszöveg!$A$6:$A$2497,0)+5),"30. § (11) eleje")</f>
        <v>30. § (11) eleje</v>
      </c>
      <c r="F660" s="16" t="str">
        <f aca="false">HYPERLINK("https://net.jogtar.hu/jogszabaly?docid=a2400069.tv#pr655id","Jogtár megnyitása")</f>
        <v>Jogtár megnyitása</v>
      </c>
    </row>
    <row r="661" customFormat="false" ht="80" hidden="false" customHeight="true" outlineLevel="0" collapsed="false">
      <c r="A661" s="15" t="s">
        <v>3445</v>
      </c>
      <c r="B661" s="15" t="s">
        <v>1299</v>
      </c>
      <c r="C661" s="15" t="s">
        <v>3446</v>
      </c>
      <c r="D661" s="15" t="s">
        <v>3447</v>
      </c>
      <c r="E661" s="16" t="str">
        <f aca="false">HYPERLINK("#'Forrásszöveg'!A"&amp;(MATCH("TV-S0656",Forrásszöveg!$A$6:$A$2497,0)+5),"31. § (1) eleje")</f>
        <v>31. § (1) eleje</v>
      </c>
      <c r="F661" s="16" t="str">
        <f aca="false">HYPERLINK("https://net.jogtar.hu/jogszabaly?docid=a2400069.tv#pr656id","Jogtár megnyitása")</f>
        <v>Jogtár megnyitása</v>
      </c>
    </row>
    <row r="662" customFormat="false" ht="34" hidden="false" customHeight="true" outlineLevel="0" collapsed="false">
      <c r="A662" s="15" t="s">
        <v>3448</v>
      </c>
      <c r="B662" s="15" t="s">
        <v>1299</v>
      </c>
      <c r="C662" s="15" t="s">
        <v>3449</v>
      </c>
      <c r="D662" s="15" t="s">
        <v>3450</v>
      </c>
      <c r="E662" s="16" t="str">
        <f aca="false">HYPERLINK("#'Forrásszöveg'!A"&amp;(MATCH("TV-S0657",Forrásszöveg!$A$6:$A$2497,0)+5),"31. § (2) eleje")</f>
        <v>31. § (2) eleje</v>
      </c>
      <c r="F662" s="16" t="str">
        <f aca="false">HYPERLINK("https://net.jogtar.hu/jogszabaly?docid=a2400069.tv#pr657id","Jogtár megnyitása")</f>
        <v>Jogtár megnyitása</v>
      </c>
    </row>
    <row r="663" customFormat="false" ht="80" hidden="false" customHeight="true" outlineLevel="0" collapsed="false">
      <c r="A663" s="15" t="s">
        <v>3451</v>
      </c>
      <c r="B663" s="15" t="s">
        <v>1299</v>
      </c>
      <c r="C663" s="15" t="s">
        <v>3452</v>
      </c>
      <c r="D663" s="15" t="s">
        <v>3453</v>
      </c>
      <c r="E663" s="16" t="str">
        <f aca="false">HYPERLINK("#'Forrásszöveg'!A"&amp;(MATCH("TV-S0657",Forrásszöveg!$A$6:$A$2497,0)+5),"31. § (2) eleje")</f>
        <v>31. § (2) eleje</v>
      </c>
      <c r="F663" s="16" t="str">
        <f aca="false">HYPERLINK("https://net.jogtar.hu/jogszabaly?docid=a2400069.tv#pr658id","Jogtár megnyitása")</f>
        <v>Jogtár megnyitása</v>
      </c>
    </row>
    <row r="664" customFormat="false" ht="38" hidden="false" customHeight="true" outlineLevel="0" collapsed="false">
      <c r="A664" s="15" t="s">
        <v>3454</v>
      </c>
      <c r="B664" s="15" t="s">
        <v>1299</v>
      </c>
      <c r="C664" s="15" t="s">
        <v>3455</v>
      </c>
      <c r="D664" s="15" t="s">
        <v>3456</v>
      </c>
      <c r="E664" s="16" t="str">
        <f aca="false">HYPERLINK("#'Forrásszöveg'!A"&amp;(MATCH("TV-S0657",Forrásszöveg!$A$6:$A$2497,0)+5),"31. § (2) eleje")</f>
        <v>31. § (2) eleje</v>
      </c>
      <c r="F664" s="16" t="str">
        <f aca="false">HYPERLINK("https://net.jogtar.hu/jogszabaly?docid=a2400069.tv#pr659id","Jogtár megnyitása")</f>
        <v>Jogtár megnyitása</v>
      </c>
    </row>
    <row r="665" customFormat="false" ht="34" hidden="false" customHeight="true" outlineLevel="0" collapsed="false">
      <c r="A665" s="15" t="s">
        <v>3457</v>
      </c>
      <c r="B665" s="15" t="s">
        <v>1299</v>
      </c>
      <c r="C665" s="15" t="s">
        <v>3449</v>
      </c>
      <c r="D665" s="15" t="s">
        <v>3458</v>
      </c>
      <c r="E665" s="16" t="str">
        <f aca="false">HYPERLINK("#'Forrásszöveg'!A"&amp;(MATCH("TV-S0657",Forrásszöveg!$A$6:$A$2497,0)+5),"31. § (2) eleje")</f>
        <v>31. § (2) eleje</v>
      </c>
      <c r="F665" s="16" t="str">
        <f aca="false">HYPERLINK("https://net.jogtar.hu/jogszabaly?docid=a2400069.tv#pr660id","Jogtár megnyitása")</f>
        <v>Jogtár megnyitása</v>
      </c>
    </row>
    <row r="666" customFormat="false" ht="52" hidden="false" customHeight="true" outlineLevel="0" collapsed="false">
      <c r="A666" s="15" t="s">
        <v>3459</v>
      </c>
      <c r="B666" s="15" t="s">
        <v>1299</v>
      </c>
      <c r="C666" s="15" t="s">
        <v>3460</v>
      </c>
      <c r="D666" s="15" t="s">
        <v>3461</v>
      </c>
      <c r="E666" s="16" t="str">
        <f aca="false">HYPERLINK("#'Forrásszöveg'!A"&amp;(MATCH("TV-S0661",Forrásszöveg!$A$6:$A$2497,0)+5),"32. § (1) eleje")</f>
        <v>32. § (1) eleje</v>
      </c>
      <c r="F666" s="16" t="str">
        <f aca="false">HYPERLINK("https://net.jogtar.hu/jogszabaly?docid=a2400069.tv#pr661id","Jogtár megnyitása")</f>
        <v>Jogtár megnyitása</v>
      </c>
    </row>
    <row r="667" customFormat="false" ht="38" hidden="false" customHeight="true" outlineLevel="0" collapsed="false">
      <c r="A667" s="15" t="s">
        <v>3462</v>
      </c>
      <c r="B667" s="15" t="s">
        <v>1299</v>
      </c>
      <c r="C667" s="15" t="s">
        <v>3463</v>
      </c>
      <c r="D667" s="15" t="s">
        <v>3464</v>
      </c>
      <c r="E667" s="16" t="str">
        <f aca="false">HYPERLINK("#'Forrásszöveg'!A"&amp;(MATCH("TV-S0661",Forrásszöveg!$A$6:$A$2497,0)+5),"32. § (1) eleje")</f>
        <v>32. § (1) eleje</v>
      </c>
      <c r="F667" s="16" t="str">
        <f aca="false">HYPERLINK("https://net.jogtar.hu/jogszabaly?docid=a2400069.tv#pr662id","Jogtár megnyitása")</f>
        <v>Jogtár megnyitása</v>
      </c>
    </row>
    <row r="668" customFormat="false" ht="38" hidden="false" customHeight="true" outlineLevel="0" collapsed="false">
      <c r="A668" s="15" t="s">
        <v>3465</v>
      </c>
      <c r="B668" s="15" t="s">
        <v>1299</v>
      </c>
      <c r="C668" s="15" t="s">
        <v>3466</v>
      </c>
      <c r="D668" s="15" t="s">
        <v>3467</v>
      </c>
      <c r="E668" s="16" t="str">
        <f aca="false">HYPERLINK("#'Forrásszöveg'!A"&amp;(MATCH("TV-S0661",Forrásszöveg!$A$6:$A$2497,0)+5),"32. § (1) eleje")</f>
        <v>32. § (1) eleje</v>
      </c>
      <c r="F668" s="16" t="str">
        <f aca="false">HYPERLINK("https://net.jogtar.hu/jogszabaly?docid=a2400069.tv#pr663id","Jogtár megnyitása")</f>
        <v>Jogtár megnyitása</v>
      </c>
    </row>
    <row r="669" customFormat="false" ht="38" hidden="false" customHeight="true" outlineLevel="0" collapsed="false">
      <c r="A669" s="15" t="s">
        <v>3468</v>
      </c>
      <c r="B669" s="15" t="s">
        <v>1299</v>
      </c>
      <c r="C669" s="15" t="s">
        <v>3469</v>
      </c>
      <c r="D669" s="15" t="s">
        <v>3470</v>
      </c>
      <c r="E669" s="16" t="str">
        <f aca="false">HYPERLINK("#'Forrásszöveg'!A"&amp;(MATCH("TV-S0661",Forrásszöveg!$A$6:$A$2497,0)+5),"32. § (1) eleje")</f>
        <v>32. § (1) eleje</v>
      </c>
      <c r="F669" s="16" t="str">
        <f aca="false">HYPERLINK("https://net.jogtar.hu/jogszabaly?docid=a2400069.tv#pr664id","Jogtár megnyitása")</f>
        <v>Jogtár megnyitása</v>
      </c>
    </row>
    <row r="670" customFormat="false" ht="80" hidden="false" customHeight="true" outlineLevel="0" collapsed="false">
      <c r="A670" s="15" t="s">
        <v>3471</v>
      </c>
      <c r="B670" s="15" t="s">
        <v>1299</v>
      </c>
      <c r="C670" s="15" t="s">
        <v>3472</v>
      </c>
      <c r="D670" s="15" t="s">
        <v>3473</v>
      </c>
      <c r="E670" s="16" t="str">
        <f aca="false">HYPERLINK("#'Forrásszöveg'!A"&amp;(MATCH("TV-S0665",Forrásszöveg!$A$6:$A$2497,0)+5),"32. § (2) eleje")</f>
        <v>32. § (2) eleje</v>
      </c>
      <c r="F670" s="16" t="str">
        <f aca="false">HYPERLINK("https://net.jogtar.hu/jogszabaly?docid=a2400069.tv#pr665id","Jogtár megnyitása")</f>
        <v>Jogtár megnyitása</v>
      </c>
    </row>
    <row r="671" customFormat="false" ht="66" hidden="false" customHeight="true" outlineLevel="0" collapsed="false">
      <c r="A671" s="15" t="s">
        <v>3474</v>
      </c>
      <c r="B671" s="15" t="s">
        <v>1299</v>
      </c>
      <c r="C671" s="15" t="s">
        <v>3475</v>
      </c>
      <c r="D671" s="15" t="s">
        <v>3476</v>
      </c>
      <c r="E671" s="16" t="str">
        <f aca="false">HYPERLINK("#'Forrásszöveg'!A"&amp;(MATCH("TV-S0666",Forrásszöveg!$A$6:$A$2497,0)+5),"32. § (3) eleje")</f>
        <v>32. § (3) eleje</v>
      </c>
      <c r="F671" s="16" t="str">
        <f aca="false">HYPERLINK("https://net.jogtar.hu/jogszabaly?docid=a2400069.tv#pr666id","Jogtár megnyitása")</f>
        <v>Jogtár megnyitása</v>
      </c>
    </row>
    <row r="672" customFormat="false" ht="38" hidden="false" customHeight="true" outlineLevel="0" collapsed="false">
      <c r="A672" s="15" t="s">
        <v>3477</v>
      </c>
      <c r="B672" s="15" t="s">
        <v>1299</v>
      </c>
      <c r="C672" s="15" t="s">
        <v>1359</v>
      </c>
      <c r="D672" s="15" t="s">
        <v>1359</v>
      </c>
      <c r="E672" s="16" t="str">
        <f aca="false">HYPERLINK("#'Forrásszöveg'!A"&amp;(MATCH("TV-S0661",Forrásszöveg!$A$6:$A$2497,0)+5),"32. § eleje")</f>
        <v>32. § eleje</v>
      </c>
      <c r="F672" s="16" t="str">
        <f aca="false">HYPERLINK("https://net.jogtar.hu/jogszabaly?docid=a2400069.tv#pr667id","Jogtár megnyitása")</f>
        <v>Jogtár megnyitása</v>
      </c>
    </row>
    <row r="673" customFormat="false" ht="52" hidden="false" customHeight="true" outlineLevel="0" collapsed="false">
      <c r="A673" s="15" t="s">
        <v>3478</v>
      </c>
      <c r="B673" s="15" t="s">
        <v>1299</v>
      </c>
      <c r="C673" s="15" t="s">
        <v>3479</v>
      </c>
      <c r="D673" s="15" t="s">
        <v>3480</v>
      </c>
      <c r="E673" s="16" t="str">
        <f aca="false">HYPERLINK("#'Forrásszöveg'!A"&amp;(MATCH("TV-S0668",Forrásszöveg!$A$6:$A$2497,0)+5),"33. § (1) eleje")</f>
        <v>33. § (1) eleje</v>
      </c>
      <c r="F673" s="16" t="str">
        <f aca="false">HYPERLINK("https://net.jogtar.hu/jogszabaly?docid=a2400069.tv#pr668id","Jogtár megnyitása")</f>
        <v>Jogtár megnyitása</v>
      </c>
    </row>
    <row r="674" customFormat="false" ht="52" hidden="false" customHeight="true" outlineLevel="0" collapsed="false">
      <c r="A674" s="15" t="s">
        <v>3481</v>
      </c>
      <c r="B674" s="15" t="s">
        <v>1299</v>
      </c>
      <c r="C674" s="15" t="s">
        <v>3482</v>
      </c>
      <c r="D674" s="15" t="s">
        <v>3483</v>
      </c>
      <c r="E674" s="16" t="str">
        <f aca="false">HYPERLINK("#'Forrásszöveg'!A"&amp;(MATCH("TV-S0669",Forrásszöveg!$A$6:$A$2497,0)+5),"33. § (2) eleje")</f>
        <v>33. § (2) eleje</v>
      </c>
      <c r="F674" s="16" t="str">
        <f aca="false">HYPERLINK("https://net.jogtar.hu/jogszabaly?docid=a2400069.tv#pr669id","Jogtár megnyitása")</f>
        <v>Jogtár megnyitása</v>
      </c>
    </row>
    <row r="675" customFormat="false" ht="52" hidden="false" customHeight="true" outlineLevel="0" collapsed="false">
      <c r="A675" s="15" t="s">
        <v>3484</v>
      </c>
      <c r="B675" s="15" t="s">
        <v>1299</v>
      </c>
      <c r="C675" s="15" t="s">
        <v>3485</v>
      </c>
      <c r="D675" s="15" t="s">
        <v>3486</v>
      </c>
      <c r="E675" s="16" t="str">
        <f aca="false">HYPERLINK("#'Forrásszöveg'!A"&amp;(MATCH("TV-S0670",Forrásszöveg!$A$6:$A$2497,0)+5),"33. § (3) eleje")</f>
        <v>33. § (3) eleje</v>
      </c>
      <c r="F675" s="16" t="str">
        <f aca="false">HYPERLINK("https://net.jogtar.hu/jogszabaly?docid=a2400069.tv#pr670id","Jogtár megnyitása")</f>
        <v>Jogtár megnyitása</v>
      </c>
    </row>
    <row r="676" customFormat="false" ht="38" hidden="false" customHeight="true" outlineLevel="0" collapsed="false">
      <c r="A676" s="15" t="s">
        <v>3487</v>
      </c>
      <c r="B676" s="15" t="s">
        <v>1299</v>
      </c>
      <c r="C676" s="15" t="s">
        <v>3488</v>
      </c>
      <c r="D676" s="15" t="s">
        <v>3489</v>
      </c>
      <c r="E676" s="16" t="str">
        <f aca="false">HYPERLINK("#'Forrásszöveg'!A"&amp;(MATCH("TV-S0671",Forrásszöveg!$A$6:$A$2497,0)+5),"33. § (4) eleje")</f>
        <v>33. § (4) eleje</v>
      </c>
      <c r="F676" s="16" t="str">
        <f aca="false">HYPERLINK("https://net.jogtar.hu/jogszabaly?docid=a2400069.tv#pr671id","Jogtár megnyitása")</f>
        <v>Jogtár megnyitása</v>
      </c>
    </row>
    <row r="677" customFormat="false" ht="38" hidden="false" customHeight="true" outlineLevel="0" collapsed="false">
      <c r="A677" s="15" t="s">
        <v>3490</v>
      </c>
      <c r="B677" s="15" t="s">
        <v>1299</v>
      </c>
      <c r="C677" s="15" t="s">
        <v>3491</v>
      </c>
      <c r="D677" s="15" t="s">
        <v>3492</v>
      </c>
      <c r="E677" s="16" t="str">
        <f aca="false">HYPERLINK("#'Forrásszöveg'!A"&amp;(MATCH("TV-S0672",Forrásszöveg!$A$6:$A$2497,0)+5),"33. § (5) eleje")</f>
        <v>33. § (5) eleje</v>
      </c>
      <c r="F677" s="16" t="str">
        <f aca="false">HYPERLINK("https://net.jogtar.hu/jogszabaly?docid=a2400069.tv#pr672id","Jogtár megnyitása")</f>
        <v>Jogtár megnyitása</v>
      </c>
    </row>
    <row r="678" customFormat="false" ht="38" hidden="false" customHeight="true" outlineLevel="0" collapsed="false">
      <c r="A678" s="15" t="s">
        <v>3493</v>
      </c>
      <c r="B678" s="15" t="s">
        <v>1299</v>
      </c>
      <c r="C678" s="15" t="s">
        <v>3494</v>
      </c>
      <c r="D678" s="15" t="s">
        <v>3495</v>
      </c>
      <c r="E678" s="16" t="str">
        <f aca="false">HYPERLINK("#'Forrásszöveg'!A"&amp;(MATCH("TV-S0673",Forrásszöveg!$A$6:$A$2497,0)+5),"33. § (6) eleje")</f>
        <v>33. § (6) eleje</v>
      </c>
      <c r="F678" s="16" t="str">
        <f aca="false">HYPERLINK("https://net.jogtar.hu/jogszabaly?docid=a2400069.tv#pr673id","Jogtár megnyitása")</f>
        <v>Jogtár megnyitása</v>
      </c>
    </row>
    <row r="679" customFormat="false" ht="38" hidden="false" customHeight="true" outlineLevel="0" collapsed="false">
      <c r="A679" s="15" t="s">
        <v>3496</v>
      </c>
      <c r="B679" s="15" t="s">
        <v>1299</v>
      </c>
      <c r="C679" s="15" t="s">
        <v>3497</v>
      </c>
      <c r="D679" s="15" t="s">
        <v>3498</v>
      </c>
      <c r="E679" s="16" t="str">
        <f aca="false">HYPERLINK("#'Forrásszöveg'!A"&amp;(MATCH("TV-S0674",Forrásszöveg!$A$6:$A$2497,0)+5),"33. § (7) eleje")</f>
        <v>33. § (7) eleje</v>
      </c>
      <c r="F679" s="16" t="str">
        <f aca="false">HYPERLINK("https://net.jogtar.hu/jogszabaly?docid=a2400069.tv#pr674id","Jogtár megnyitása")</f>
        <v>Jogtár megnyitása</v>
      </c>
    </row>
    <row r="680" customFormat="false" ht="38" hidden="false" customHeight="true" outlineLevel="0" collapsed="false">
      <c r="A680" s="15" t="s">
        <v>3499</v>
      </c>
      <c r="B680" s="15" t="s">
        <v>1299</v>
      </c>
      <c r="C680" s="15" t="s">
        <v>3500</v>
      </c>
      <c r="D680" s="15" t="s">
        <v>3501</v>
      </c>
      <c r="E680" s="16" t="str">
        <f aca="false">HYPERLINK("#'Forrásszöveg'!A"&amp;(MATCH("TV-S0675",Forrásszöveg!$A$6:$A$2497,0)+5),"33. § (8) eleje")</f>
        <v>33. § (8) eleje</v>
      </c>
      <c r="F680" s="16" t="str">
        <f aca="false">HYPERLINK("https://net.jogtar.hu/jogszabaly?docid=a2400069.tv#pr675id","Jogtár megnyitása")</f>
        <v>Jogtár megnyitása</v>
      </c>
    </row>
    <row r="681" customFormat="false" ht="38" hidden="false" customHeight="true" outlineLevel="0" collapsed="false">
      <c r="A681" s="15" t="s">
        <v>3502</v>
      </c>
      <c r="B681" s="15" t="s">
        <v>1299</v>
      </c>
      <c r="C681" s="15" t="s">
        <v>3503</v>
      </c>
      <c r="D681" s="15" t="s">
        <v>3504</v>
      </c>
      <c r="E681" s="16" t="str">
        <f aca="false">HYPERLINK("#'Forrásszöveg'!A"&amp;(MATCH("TV-S0676",Forrásszöveg!$A$6:$A$2497,0)+5),"33. § (9) eleje")</f>
        <v>33. § (9) eleje</v>
      </c>
      <c r="F681" s="16" t="str">
        <f aca="false">HYPERLINK("https://net.jogtar.hu/jogszabaly?docid=a2400069.tv#pr676id","Jogtár megnyitása")</f>
        <v>Jogtár megnyitása</v>
      </c>
    </row>
    <row r="682" customFormat="false" ht="34" hidden="false" customHeight="true" outlineLevel="0" collapsed="false">
      <c r="A682" s="15" t="s">
        <v>3505</v>
      </c>
      <c r="B682" s="15" t="s">
        <v>1299</v>
      </c>
      <c r="C682" s="15" t="s">
        <v>3506</v>
      </c>
      <c r="D682" s="15" t="s">
        <v>3507</v>
      </c>
      <c r="E682" s="16" t="str">
        <f aca="false">HYPERLINK("#'Forrásszöveg'!A"&amp;(MATCH("TV-S0677",Forrásszöveg!$A$6:$A$2497,0)+5),"33. § (10) eleje")</f>
        <v>33. § (10) eleje</v>
      </c>
      <c r="F682" s="16" t="str">
        <f aca="false">HYPERLINK("https://net.jogtar.hu/jogszabaly?docid=a2400069.tv#pr677id","Jogtár megnyitása")</f>
        <v>Jogtár megnyitása</v>
      </c>
    </row>
    <row r="683" customFormat="false" ht="34" hidden="false" customHeight="true" outlineLevel="0" collapsed="false">
      <c r="A683" s="15" t="s">
        <v>3508</v>
      </c>
      <c r="B683" s="15" t="s">
        <v>1299</v>
      </c>
      <c r="C683" s="15" t="s">
        <v>3509</v>
      </c>
      <c r="D683" s="15" t="s">
        <v>3510</v>
      </c>
      <c r="E683" s="16" t="str">
        <f aca="false">HYPERLINK("#'Forrásszöveg'!A"&amp;(MATCH("TV-S0677",Forrásszöveg!$A$6:$A$2497,0)+5),"33. § (10) eleje")</f>
        <v>33. § (10) eleje</v>
      </c>
      <c r="F683" s="16" t="str">
        <f aca="false">HYPERLINK("https://net.jogtar.hu/jogszabaly?docid=a2400069.tv#pr678id","Jogtár megnyitása")</f>
        <v>Jogtár megnyitása</v>
      </c>
    </row>
    <row r="684" customFormat="false" ht="66" hidden="false" customHeight="true" outlineLevel="0" collapsed="false">
      <c r="A684" s="15" t="s">
        <v>3511</v>
      </c>
      <c r="B684" s="15" t="s">
        <v>1299</v>
      </c>
      <c r="C684" s="15" t="s">
        <v>3512</v>
      </c>
      <c r="D684" s="15" t="s">
        <v>3513</v>
      </c>
      <c r="E684" s="16" t="str">
        <f aca="false">HYPERLINK("#'Forrásszöveg'!A"&amp;(MATCH("TV-S0677",Forrásszöveg!$A$6:$A$2497,0)+5),"33. § (10) eleje")</f>
        <v>33. § (10) eleje</v>
      </c>
      <c r="F684" s="16" t="str">
        <f aca="false">HYPERLINK("https://net.jogtar.hu/jogszabaly?docid=a2400069.tv#pr679id","Jogtár megnyitása")</f>
        <v>Jogtár megnyitása</v>
      </c>
    </row>
    <row r="685" customFormat="false" ht="38" hidden="false" customHeight="true" outlineLevel="0" collapsed="false">
      <c r="A685" s="15" t="s">
        <v>3514</v>
      </c>
      <c r="B685" s="15" t="s">
        <v>1299</v>
      </c>
      <c r="C685" s="15" t="s">
        <v>3515</v>
      </c>
      <c r="D685" s="15" t="s">
        <v>3516</v>
      </c>
      <c r="E685" s="16" t="str">
        <f aca="false">HYPERLINK("#'Forrásszöveg'!A"&amp;(MATCH("TV-S0677",Forrásszöveg!$A$6:$A$2497,0)+5),"33. § (10) eleje")</f>
        <v>33. § (10) eleje</v>
      </c>
      <c r="F685" s="16" t="str">
        <f aca="false">HYPERLINK("https://net.jogtar.hu/jogszabaly?docid=a2400069.tv#pr680id","Jogtár megnyitása")</f>
        <v>Jogtár megnyitása</v>
      </c>
    </row>
    <row r="686" customFormat="false" ht="164" hidden="false" customHeight="true" outlineLevel="0" collapsed="false">
      <c r="A686" s="15" t="s">
        <v>3517</v>
      </c>
      <c r="B686" s="15" t="s">
        <v>1299</v>
      </c>
      <c r="C686" s="15" t="s">
        <v>3518</v>
      </c>
      <c r="D686" s="15" t="s">
        <v>3519</v>
      </c>
      <c r="E686" s="16" t="str">
        <f aca="false">HYPERLINK("#'Forrásszöveg'!A"&amp;(MATCH("TV-S0681",Forrásszöveg!$A$6:$A$2497,0)+5),"33. § (11) eleje")</f>
        <v>33. § (11) eleje</v>
      </c>
      <c r="F686" s="16" t="str">
        <f aca="false">HYPERLINK("https://net.jogtar.hu/jogszabaly?docid=a2400069.tv#pr681id","Jogtár megnyitása")</f>
        <v>Jogtár megnyitása</v>
      </c>
    </row>
    <row r="687" customFormat="false" ht="52" hidden="false" customHeight="true" outlineLevel="0" collapsed="false">
      <c r="A687" s="15" t="s">
        <v>3520</v>
      </c>
      <c r="B687" s="15" t="s">
        <v>1299</v>
      </c>
      <c r="C687" s="15" t="s">
        <v>3521</v>
      </c>
      <c r="D687" s="15" t="s">
        <v>3522</v>
      </c>
      <c r="E687" s="16" t="str">
        <f aca="false">HYPERLINK("#'Forrásszöveg'!A"&amp;(MATCH("TV-S0682",Forrásszöveg!$A$6:$A$2497,0)+5),"34. § (1) eleje")</f>
        <v>34. § (1) eleje</v>
      </c>
      <c r="F687" s="16" t="str">
        <f aca="false">HYPERLINK("https://net.jogtar.hu/jogszabaly?docid=a2400069.tv#pr682id","Jogtár megnyitása")</f>
        <v>Jogtár megnyitása</v>
      </c>
    </row>
    <row r="688" customFormat="false" ht="38" hidden="false" customHeight="true" outlineLevel="0" collapsed="false">
      <c r="A688" s="15" t="s">
        <v>3523</v>
      </c>
      <c r="B688" s="15" t="s">
        <v>1299</v>
      </c>
      <c r="C688" s="15" t="s">
        <v>3524</v>
      </c>
      <c r="D688" s="15" t="s">
        <v>3525</v>
      </c>
      <c r="E688" s="16" t="str">
        <f aca="false">HYPERLINK("#'Forrásszöveg'!A"&amp;(MATCH("TV-S0683",Forrásszöveg!$A$6:$A$2497,0)+5),"34. § (2) eleje")</f>
        <v>34. § (2) eleje</v>
      </c>
      <c r="F688" s="16" t="str">
        <f aca="false">HYPERLINK("https://net.jogtar.hu/jogszabaly?docid=a2400069.tv#pr683id","Jogtár megnyitása")</f>
        <v>Jogtár megnyitása</v>
      </c>
    </row>
    <row r="689" customFormat="false" ht="66" hidden="false" customHeight="true" outlineLevel="0" collapsed="false">
      <c r="A689" s="15" t="s">
        <v>3526</v>
      </c>
      <c r="B689" s="15" t="s">
        <v>1299</v>
      </c>
      <c r="C689" s="15" t="s">
        <v>3527</v>
      </c>
      <c r="D689" s="15" t="s">
        <v>3528</v>
      </c>
      <c r="E689" s="16" t="str">
        <f aca="false">HYPERLINK("#'Forrásszöveg'!A"&amp;(MATCH("TV-S0684",Forrásszöveg!$A$6:$A$2497,0)+5),"35. § (1) eleje")</f>
        <v>35. § (1) eleje</v>
      </c>
      <c r="F689" s="16" t="str">
        <f aca="false">HYPERLINK("https://net.jogtar.hu/jogszabaly?docid=a2400069.tv#pr684id","Jogtár megnyitása")</f>
        <v>Jogtár megnyitása</v>
      </c>
    </row>
    <row r="690" customFormat="false" ht="66" hidden="false" customHeight="true" outlineLevel="0" collapsed="false">
      <c r="A690" s="15" t="s">
        <v>3529</v>
      </c>
      <c r="B690" s="15" t="s">
        <v>1299</v>
      </c>
      <c r="C690" s="15" t="s">
        <v>3530</v>
      </c>
      <c r="D690" s="15" t="s">
        <v>3531</v>
      </c>
      <c r="E690" s="16" t="str">
        <f aca="false">HYPERLINK("#'Forrásszöveg'!A"&amp;(MATCH("TV-S0685",Forrásszöveg!$A$6:$A$2497,0)+5),"35. § (2) eleje")</f>
        <v>35. § (2) eleje</v>
      </c>
      <c r="F690" s="16" t="str">
        <f aca="false">HYPERLINK("https://net.jogtar.hu/jogszabaly?docid=a2400069.tv#pr685id","Jogtár megnyitása")</f>
        <v>Jogtár megnyitása</v>
      </c>
    </row>
    <row r="691" customFormat="false" ht="38" hidden="false" customHeight="true" outlineLevel="0" collapsed="false">
      <c r="A691" s="15" t="s">
        <v>3532</v>
      </c>
      <c r="B691" s="15" t="s">
        <v>1299</v>
      </c>
      <c r="C691" s="15" t="s">
        <v>1363</v>
      </c>
      <c r="D691" s="15" t="s">
        <v>1363</v>
      </c>
      <c r="E691" s="16" t="str">
        <f aca="false">HYPERLINK("#'Forrásszöveg'!A"&amp;(MATCH("TV-S0684",Forrásszöveg!$A$6:$A$2497,0)+5),"35. § eleje")</f>
        <v>35. § eleje</v>
      </c>
      <c r="F691" s="16" t="str">
        <f aca="false">HYPERLINK("https://net.jogtar.hu/jogszabaly?docid=a2400069.tv#pr686id","Jogtár megnyitása")</f>
        <v>Jogtár megnyitása</v>
      </c>
    </row>
    <row r="692" customFormat="false" ht="80" hidden="false" customHeight="true" outlineLevel="0" collapsed="false">
      <c r="A692" s="15" t="s">
        <v>3533</v>
      </c>
      <c r="B692" s="15" t="s">
        <v>1299</v>
      </c>
      <c r="C692" s="15" t="s">
        <v>3534</v>
      </c>
      <c r="D692" s="15" t="s">
        <v>3535</v>
      </c>
      <c r="E692" s="16" t="str">
        <f aca="false">HYPERLINK("#'Forrásszöveg'!A"&amp;(MATCH("TV-S0687",Forrásszöveg!$A$6:$A$2497,0)+5),"36. § (1) eleje")</f>
        <v>36. § (1) eleje</v>
      </c>
      <c r="F692" s="16" t="str">
        <f aca="false">HYPERLINK("https://net.jogtar.hu/jogszabaly?docid=a2400069.tv#pr687id","Jogtár megnyitása")</f>
        <v>Jogtár megnyitása</v>
      </c>
    </row>
    <row r="693" customFormat="false" ht="38" hidden="false" customHeight="true" outlineLevel="0" collapsed="false">
      <c r="A693" s="15" t="s">
        <v>3536</v>
      </c>
      <c r="B693" s="15" t="s">
        <v>1299</v>
      </c>
      <c r="C693" s="15" t="s">
        <v>3537</v>
      </c>
      <c r="D693" s="15" t="s">
        <v>3538</v>
      </c>
      <c r="E693" s="16" t="str">
        <f aca="false">HYPERLINK("#'Forrásszöveg'!A"&amp;(MATCH("TV-S0688",Forrásszöveg!$A$6:$A$2497,0)+5),"36. § (2) eleje")</f>
        <v>36. § (2) eleje</v>
      </c>
      <c r="F693" s="16" t="str">
        <f aca="false">HYPERLINK("https://net.jogtar.hu/jogszabaly?docid=a2400069.tv#pr688id","Jogtár megnyitása")</f>
        <v>Jogtár megnyitása</v>
      </c>
    </row>
    <row r="694" customFormat="false" ht="38" hidden="false" customHeight="true" outlineLevel="0" collapsed="false">
      <c r="A694" s="15" t="s">
        <v>3539</v>
      </c>
      <c r="B694" s="15" t="s">
        <v>1299</v>
      </c>
      <c r="C694" s="15" t="s">
        <v>3540</v>
      </c>
      <c r="D694" s="15" t="s">
        <v>3541</v>
      </c>
      <c r="E694" s="16" t="str">
        <f aca="false">HYPERLINK("#'Forrásszöveg'!A"&amp;(MATCH("TV-S0689",Forrásszöveg!$A$6:$A$2497,0)+5),"36. § (3) eleje")</f>
        <v>36. § (3) eleje</v>
      </c>
      <c r="F694" s="16" t="str">
        <f aca="false">HYPERLINK("https://net.jogtar.hu/jogszabaly?docid=a2400069.tv#pr689id","Jogtár megnyitása")</f>
        <v>Jogtár megnyitása</v>
      </c>
    </row>
    <row r="695" customFormat="false" ht="34" hidden="false" customHeight="true" outlineLevel="0" collapsed="false">
      <c r="A695" s="15" t="s">
        <v>3542</v>
      </c>
      <c r="B695" s="15" t="s">
        <v>1299</v>
      </c>
      <c r="C695" s="15" t="s">
        <v>3543</v>
      </c>
      <c r="D695" s="15" t="s">
        <v>3543</v>
      </c>
      <c r="E695" s="16" t="str">
        <f aca="false">HYPERLINK("#'Forrásszöveg'!A"&amp;(MATCH("TV-S0687",Forrásszöveg!$A$6:$A$2497,0)+5),"36. § eleje")</f>
        <v>36. § eleje</v>
      </c>
      <c r="F695" s="16" t="str">
        <f aca="false">HYPERLINK("https://net.jogtar.hu/jogszabaly?docid=a2400069.tv#pr690id","Jogtár megnyitása")</f>
        <v>Jogtár megnyitása</v>
      </c>
    </row>
    <row r="696" customFormat="false" ht="38" hidden="false" customHeight="true" outlineLevel="0" collapsed="false">
      <c r="A696" s="15" t="s">
        <v>3544</v>
      </c>
      <c r="B696" s="15" t="s">
        <v>1299</v>
      </c>
      <c r="C696" s="15" t="s">
        <v>3545</v>
      </c>
      <c r="D696" s="15" t="s">
        <v>3545</v>
      </c>
      <c r="E696" s="16" t="str">
        <f aca="false">HYPERLINK("#'Forrásszöveg'!A"&amp;(MATCH("TV-S0687",Forrásszöveg!$A$6:$A$2497,0)+5),"36. § eleje")</f>
        <v>36. § eleje</v>
      </c>
      <c r="F696" s="16" t="str">
        <f aca="false">HYPERLINK("https://net.jogtar.hu/jogszabaly?docid=a2400069.tv#pr691id","Jogtár megnyitása")</f>
        <v>Jogtár megnyitása</v>
      </c>
    </row>
    <row r="697" customFormat="false" ht="52" hidden="false" customHeight="true" outlineLevel="0" collapsed="false">
      <c r="A697" s="15" t="s">
        <v>3546</v>
      </c>
      <c r="B697" s="15" t="s">
        <v>1299</v>
      </c>
      <c r="C697" s="15" t="s">
        <v>1364</v>
      </c>
      <c r="D697" s="15" t="s">
        <v>3547</v>
      </c>
      <c r="E697" s="16" t="str">
        <f aca="false">HYPERLINK("#'Forrásszöveg'!A"&amp;(MATCH("TV-S0692",Forrásszöveg!$A$6:$A$2497,0)+5),"37. § eleje")</f>
        <v>37. § eleje</v>
      </c>
      <c r="F697" s="16" t="str">
        <f aca="false">HYPERLINK("https://net.jogtar.hu/jogszabaly?docid=a2400069.tv#pr692id","Jogtár megnyitása")</f>
        <v>Jogtár megnyitása</v>
      </c>
    </row>
    <row r="698" customFormat="false" ht="52" hidden="false" customHeight="true" outlineLevel="0" collapsed="false">
      <c r="A698" s="15" t="s">
        <v>3548</v>
      </c>
      <c r="B698" s="15" t="s">
        <v>1299</v>
      </c>
      <c r="C698" s="15" t="s">
        <v>1366</v>
      </c>
      <c r="D698" s="15" t="s">
        <v>1366</v>
      </c>
      <c r="E698" s="16" t="str">
        <f aca="false">HYPERLINK("#'Forrásszöveg'!A"&amp;(MATCH("TV-S0692",Forrásszöveg!$A$6:$A$2497,0)+5),"37. § eleje")</f>
        <v>37. § eleje</v>
      </c>
      <c r="F698" s="16" t="str">
        <f aca="false">HYPERLINK("https://net.jogtar.hu/jogszabaly?docid=a2400069.tv#pr693id","Jogtár megnyitása")</f>
        <v>Jogtár megnyitása</v>
      </c>
    </row>
    <row r="699" customFormat="false" ht="34" hidden="false" customHeight="true" outlineLevel="0" collapsed="false">
      <c r="A699" s="15" t="s">
        <v>3549</v>
      </c>
      <c r="B699" s="15" t="s">
        <v>1299</v>
      </c>
      <c r="C699" s="15" t="s">
        <v>1365</v>
      </c>
      <c r="D699" s="15" t="s">
        <v>3550</v>
      </c>
      <c r="E699" s="16" t="str">
        <f aca="false">HYPERLINK("#'Forrásszöveg'!A"&amp;(MATCH("TV-S0694",Forrásszöveg!$A$6:$A$2497,0)+5),"38. § eleje")</f>
        <v>38. § eleje</v>
      </c>
      <c r="F699" s="16" t="str">
        <f aca="false">HYPERLINK("https://net.jogtar.hu/jogszabaly?docid=a2400069.tv#pr694id","Jogtár megnyitása")</f>
        <v>Jogtár megnyitása</v>
      </c>
    </row>
    <row r="700" customFormat="false" ht="52" hidden="false" customHeight="true" outlineLevel="0" collapsed="false">
      <c r="A700" s="15" t="s">
        <v>3551</v>
      </c>
      <c r="B700" s="15" t="s">
        <v>1299</v>
      </c>
      <c r="C700" s="15" t="s">
        <v>3552</v>
      </c>
      <c r="D700" s="15" t="s">
        <v>3553</v>
      </c>
      <c r="E700" s="16" t="str">
        <f aca="false">HYPERLINK("#'Forrásszöveg'!A"&amp;(MATCH("TV-S0694",Forrásszöveg!$A$6:$A$2497,0)+5),"38. § eleje")</f>
        <v>38. § eleje</v>
      </c>
      <c r="F700" s="16" t="str">
        <f aca="false">HYPERLINK("https://net.jogtar.hu/jogszabaly?docid=a2400069.tv#pr695id","Jogtár megnyitása")</f>
        <v>Jogtár megnyitása</v>
      </c>
    </row>
    <row r="701" customFormat="false" ht="52" hidden="false" customHeight="true" outlineLevel="0" collapsed="false">
      <c r="A701" s="15" t="s">
        <v>3554</v>
      </c>
      <c r="B701" s="15" t="s">
        <v>1299</v>
      </c>
      <c r="C701" s="15" t="s">
        <v>3555</v>
      </c>
      <c r="D701" s="15" t="s">
        <v>3556</v>
      </c>
      <c r="E701" s="16" t="str">
        <f aca="false">HYPERLINK("#'Forrásszöveg'!A"&amp;(MATCH("TV-S0694",Forrásszöveg!$A$6:$A$2497,0)+5),"38. § eleje")</f>
        <v>38. § eleje</v>
      </c>
      <c r="F701" s="16" t="str">
        <f aca="false">HYPERLINK("https://net.jogtar.hu/jogszabaly?docid=a2400069.tv#pr696id","Jogtár megnyitása")</f>
        <v>Jogtár megnyitása</v>
      </c>
    </row>
    <row r="702" customFormat="false" ht="38" hidden="false" customHeight="true" outlineLevel="0" collapsed="false">
      <c r="A702" s="15" t="s">
        <v>3557</v>
      </c>
      <c r="B702" s="15" t="s">
        <v>1299</v>
      </c>
      <c r="C702" s="15" t="s">
        <v>3558</v>
      </c>
      <c r="D702" s="15" t="s">
        <v>3559</v>
      </c>
      <c r="E702" s="16" t="str">
        <f aca="false">HYPERLINK("#'Forrásszöveg'!A"&amp;(MATCH("TV-S0694",Forrásszöveg!$A$6:$A$2497,0)+5),"38. § eleje")</f>
        <v>38. § eleje</v>
      </c>
      <c r="F702" s="16" t="str">
        <f aca="false">HYPERLINK("https://net.jogtar.hu/jogszabaly?docid=a2400069.tv#pr697id","Jogtár megnyitása")</f>
        <v>Jogtár megnyitása</v>
      </c>
    </row>
    <row r="703" customFormat="false" ht="34" hidden="false" customHeight="true" outlineLevel="0" collapsed="false">
      <c r="A703" s="15" t="s">
        <v>3560</v>
      </c>
      <c r="B703" s="15" t="s">
        <v>1299</v>
      </c>
      <c r="C703" s="15" t="s">
        <v>3561</v>
      </c>
      <c r="D703" s="15" t="s">
        <v>3562</v>
      </c>
      <c r="E703" s="16" t="str">
        <f aca="false">HYPERLINK("#'Forrásszöveg'!A"&amp;(MATCH("TV-S0694",Forrásszöveg!$A$6:$A$2497,0)+5),"38. § eleje")</f>
        <v>38. § eleje</v>
      </c>
      <c r="F703" s="16" t="str">
        <f aca="false">HYPERLINK("https://net.jogtar.hu/jogszabaly?docid=a2400069.tv#pr698id","Jogtár megnyitása")</f>
        <v>Jogtár megnyitása</v>
      </c>
    </row>
    <row r="704" customFormat="false" ht="38" hidden="false" customHeight="true" outlineLevel="0" collapsed="false">
      <c r="A704" s="15" t="s">
        <v>3563</v>
      </c>
      <c r="B704" s="15" t="s">
        <v>1299</v>
      </c>
      <c r="C704" s="15" t="s">
        <v>3564</v>
      </c>
      <c r="D704" s="15" t="s">
        <v>3565</v>
      </c>
      <c r="E704" s="16" t="str">
        <f aca="false">HYPERLINK("#'Forrásszöveg'!A"&amp;(MATCH("TV-S0694",Forrásszöveg!$A$6:$A$2497,0)+5),"38. § eleje")</f>
        <v>38. § eleje</v>
      </c>
      <c r="F704" s="16" t="str">
        <f aca="false">HYPERLINK("https://net.jogtar.hu/jogszabaly?docid=a2400069.tv#pr699id","Jogtár megnyitása")</f>
        <v>Jogtár megnyitása</v>
      </c>
    </row>
    <row r="705" customFormat="false" ht="38" hidden="false" customHeight="true" outlineLevel="0" collapsed="false">
      <c r="A705" s="15" t="s">
        <v>3566</v>
      </c>
      <c r="B705" s="15" t="s">
        <v>1299</v>
      </c>
      <c r="C705" s="15" t="s">
        <v>3567</v>
      </c>
      <c r="D705" s="15" t="s">
        <v>3568</v>
      </c>
      <c r="E705" s="16" t="str">
        <f aca="false">HYPERLINK("#'Forrásszöveg'!A"&amp;(MATCH("TV-S0694",Forrásszöveg!$A$6:$A$2497,0)+5),"38. § eleje")</f>
        <v>38. § eleje</v>
      </c>
      <c r="F705" s="16" t="str">
        <f aca="false">HYPERLINK("https://net.jogtar.hu/jogszabaly?docid=a2400069.tv#pr700id","Jogtár megnyitása")</f>
        <v>Jogtár megnyitása</v>
      </c>
    </row>
    <row r="706" customFormat="false" ht="38" hidden="false" customHeight="true" outlineLevel="0" collapsed="false">
      <c r="A706" s="15" t="s">
        <v>3569</v>
      </c>
      <c r="B706" s="15" t="s">
        <v>1299</v>
      </c>
      <c r="C706" s="15" t="s">
        <v>3570</v>
      </c>
      <c r="D706" s="15" t="s">
        <v>3571</v>
      </c>
      <c r="E706" s="16" t="str">
        <f aca="false">HYPERLINK("#'Forrásszöveg'!A"&amp;(MATCH("TV-S0694",Forrásszöveg!$A$6:$A$2497,0)+5),"38. § eleje")</f>
        <v>38. § eleje</v>
      </c>
      <c r="F706" s="16" t="str">
        <f aca="false">HYPERLINK("https://net.jogtar.hu/jogszabaly?docid=a2400069.tv#pr701id","Jogtár megnyitása")</f>
        <v>Jogtár megnyitása</v>
      </c>
    </row>
    <row r="707" customFormat="false" ht="52" hidden="false" customHeight="true" outlineLevel="0" collapsed="false">
      <c r="A707" s="15" t="s">
        <v>3572</v>
      </c>
      <c r="B707" s="15" t="s">
        <v>1299</v>
      </c>
      <c r="C707" s="15" t="s">
        <v>3573</v>
      </c>
      <c r="D707" s="15" t="s">
        <v>3574</v>
      </c>
      <c r="E707" s="16" t="str">
        <f aca="false">HYPERLINK("#'Forrásszöveg'!A"&amp;(MATCH("TV-S0694",Forrásszöveg!$A$6:$A$2497,0)+5),"38. § eleje")</f>
        <v>38. § eleje</v>
      </c>
      <c r="F707" s="16" t="str">
        <f aca="false">HYPERLINK("https://net.jogtar.hu/jogszabaly?docid=a2400069.tv#pr702id","Jogtár megnyitása")</f>
        <v>Jogtár megnyitása</v>
      </c>
    </row>
    <row r="708" customFormat="false" ht="38" hidden="false" customHeight="true" outlineLevel="0" collapsed="false">
      <c r="A708" s="15" t="s">
        <v>3575</v>
      </c>
      <c r="B708" s="15" t="s">
        <v>1299</v>
      </c>
      <c r="C708" s="15" t="s">
        <v>3576</v>
      </c>
      <c r="D708" s="15" t="s">
        <v>3577</v>
      </c>
      <c r="E708" s="16" t="str">
        <f aca="false">HYPERLINK("#'Forrásszöveg'!A"&amp;(MATCH("TV-S0694",Forrásszöveg!$A$6:$A$2497,0)+5),"38. § eleje")</f>
        <v>38. § eleje</v>
      </c>
      <c r="F708" s="16" t="str">
        <f aca="false">HYPERLINK("https://net.jogtar.hu/jogszabaly?docid=a2400069.tv#pr703id","Jogtár megnyitása")</f>
        <v>Jogtár megnyitása</v>
      </c>
    </row>
    <row r="709" customFormat="false" ht="38" hidden="false" customHeight="true" outlineLevel="0" collapsed="false">
      <c r="A709" s="15" t="s">
        <v>3578</v>
      </c>
      <c r="B709" s="15" t="s">
        <v>1299</v>
      </c>
      <c r="C709" s="15" t="s">
        <v>3579</v>
      </c>
      <c r="D709" s="15" t="s">
        <v>3580</v>
      </c>
      <c r="E709" s="16" t="str">
        <f aca="false">HYPERLINK("#'Forrásszöveg'!A"&amp;(MATCH("TV-S0694",Forrásszöveg!$A$6:$A$2497,0)+5),"38. § eleje")</f>
        <v>38. § eleje</v>
      </c>
      <c r="F709" s="16" t="str">
        <f aca="false">HYPERLINK("https://net.jogtar.hu/jogszabaly?docid=a2400069.tv#pr704id","Jogtár megnyitása")</f>
        <v>Jogtár megnyitása</v>
      </c>
    </row>
    <row r="710" customFormat="false" ht="38" hidden="false" customHeight="true" outlineLevel="0" collapsed="false">
      <c r="A710" s="15" t="s">
        <v>3581</v>
      </c>
      <c r="B710" s="15" t="s">
        <v>1299</v>
      </c>
      <c r="C710" s="15" t="s">
        <v>3582</v>
      </c>
      <c r="D710" s="15" t="s">
        <v>3583</v>
      </c>
      <c r="E710" s="16" t="str">
        <f aca="false">HYPERLINK("#'Forrásszöveg'!A"&amp;(MATCH("TV-S0694",Forrásszöveg!$A$6:$A$2497,0)+5),"38. § eleje")</f>
        <v>38. § eleje</v>
      </c>
      <c r="F710" s="16" t="str">
        <f aca="false">HYPERLINK("https://net.jogtar.hu/jogszabaly?docid=a2400069.tv#pr705id","Jogtár megnyitása")</f>
        <v>Jogtár megnyitása</v>
      </c>
    </row>
    <row r="711" customFormat="false" ht="34" hidden="false" customHeight="true" outlineLevel="0" collapsed="false">
      <c r="A711" s="15" t="s">
        <v>3584</v>
      </c>
      <c r="B711" s="15" t="s">
        <v>1299</v>
      </c>
      <c r="C711" s="15" t="s">
        <v>3585</v>
      </c>
      <c r="D711" s="15" t="s">
        <v>3586</v>
      </c>
      <c r="E711" s="16" t="str">
        <f aca="false">HYPERLINK("#'Forrásszöveg'!A"&amp;(MATCH("TV-S0706",Forrásszöveg!$A$6:$A$2497,0)+5),"39. § (1) eleje")</f>
        <v>39. § (1) eleje</v>
      </c>
      <c r="F711" s="16" t="str">
        <f aca="false">HYPERLINK("https://net.jogtar.hu/jogszabaly?docid=a2400069.tv#pr706id","Jogtár megnyitása")</f>
        <v>Jogtár megnyitása</v>
      </c>
    </row>
    <row r="712" customFormat="false" ht="38" hidden="false" customHeight="true" outlineLevel="0" collapsed="false">
      <c r="A712" s="15" t="s">
        <v>3587</v>
      </c>
      <c r="B712" s="15" t="s">
        <v>1299</v>
      </c>
      <c r="C712" s="15" t="s">
        <v>3588</v>
      </c>
      <c r="D712" s="15" t="s">
        <v>3589</v>
      </c>
      <c r="E712" s="16" t="str">
        <f aca="false">HYPERLINK("#'Forrásszöveg'!A"&amp;(MATCH("TV-S0706",Forrásszöveg!$A$6:$A$2497,0)+5),"39. § (1) eleje")</f>
        <v>39. § (1) eleje</v>
      </c>
      <c r="F712" s="16" t="str">
        <f aca="false">HYPERLINK("https://net.jogtar.hu/jogszabaly?docid=a2400069.tv#pr707id","Jogtár megnyitása")</f>
        <v>Jogtár megnyitása</v>
      </c>
    </row>
    <row r="713" customFormat="false" ht="38" hidden="false" customHeight="true" outlineLevel="0" collapsed="false">
      <c r="A713" s="15" t="s">
        <v>3590</v>
      </c>
      <c r="B713" s="15" t="s">
        <v>1299</v>
      </c>
      <c r="C713" s="15" t="s">
        <v>3591</v>
      </c>
      <c r="D713" s="15" t="s">
        <v>3592</v>
      </c>
      <c r="E713" s="16" t="str">
        <f aca="false">HYPERLINK("#'Forrásszöveg'!A"&amp;(MATCH("TV-S0706",Forrásszöveg!$A$6:$A$2497,0)+5),"39. § (1) eleje")</f>
        <v>39. § (1) eleje</v>
      </c>
      <c r="F713" s="16" t="str">
        <f aca="false">HYPERLINK("https://net.jogtar.hu/jogszabaly?docid=a2400069.tv#pr708id","Jogtár megnyitása")</f>
        <v>Jogtár megnyitása</v>
      </c>
    </row>
    <row r="714" customFormat="false" ht="80" hidden="false" customHeight="true" outlineLevel="0" collapsed="false">
      <c r="A714" s="15" t="s">
        <v>3593</v>
      </c>
      <c r="B714" s="15" t="s">
        <v>1299</v>
      </c>
      <c r="C714" s="15" t="s">
        <v>3594</v>
      </c>
      <c r="D714" s="15" t="s">
        <v>3595</v>
      </c>
      <c r="E714" s="16" t="str">
        <f aca="false">HYPERLINK("#'Forrásszöveg'!A"&amp;(MATCH("TV-S0706",Forrásszöveg!$A$6:$A$2497,0)+5),"39. § (1) eleje")</f>
        <v>39. § (1) eleje</v>
      </c>
      <c r="F714" s="16" t="str">
        <f aca="false">HYPERLINK("https://net.jogtar.hu/jogszabaly?docid=a2400069.tv#pr709id","Jogtár megnyitása")</f>
        <v>Jogtár megnyitása</v>
      </c>
    </row>
    <row r="715" customFormat="false" ht="34" hidden="false" customHeight="true" outlineLevel="0" collapsed="false">
      <c r="A715" s="15" t="s">
        <v>3596</v>
      </c>
      <c r="B715" s="15" t="s">
        <v>1299</v>
      </c>
      <c r="C715" s="15" t="s">
        <v>3597</v>
      </c>
      <c r="D715" s="15" t="s">
        <v>3598</v>
      </c>
      <c r="E715" s="16" t="str">
        <f aca="false">HYPERLINK("#'Forrásszöveg'!A"&amp;(MATCH("TV-S0706",Forrásszöveg!$A$6:$A$2497,0)+5),"39. § (1) eleje")</f>
        <v>39. § (1) eleje</v>
      </c>
      <c r="F715" s="16" t="str">
        <f aca="false">HYPERLINK("https://net.jogtar.hu/jogszabaly?docid=a2400069.tv#pr710id","Jogtár megnyitása")</f>
        <v>Jogtár megnyitása</v>
      </c>
    </row>
    <row r="716" customFormat="false" ht="34" hidden="false" customHeight="true" outlineLevel="0" collapsed="false">
      <c r="A716" s="15" t="s">
        <v>3599</v>
      </c>
      <c r="B716" s="15" t="s">
        <v>1299</v>
      </c>
      <c r="C716" s="15" t="s">
        <v>3600</v>
      </c>
      <c r="D716" s="15" t="s">
        <v>3601</v>
      </c>
      <c r="E716" s="16" t="str">
        <f aca="false">HYPERLINK("#'Forrásszöveg'!A"&amp;(MATCH("TV-S0706",Forrásszöveg!$A$6:$A$2497,0)+5),"39. § (1) eleje")</f>
        <v>39. § (1) eleje</v>
      </c>
      <c r="F716" s="16" t="str">
        <f aca="false">HYPERLINK("https://net.jogtar.hu/jogszabaly?docid=a2400069.tv#pr711id","Jogtár megnyitása")</f>
        <v>Jogtár megnyitása</v>
      </c>
    </row>
    <row r="717" customFormat="false" ht="34" hidden="false" customHeight="true" outlineLevel="0" collapsed="false">
      <c r="A717" s="15" t="s">
        <v>3602</v>
      </c>
      <c r="B717" s="15" t="s">
        <v>1299</v>
      </c>
      <c r="C717" s="15" t="s">
        <v>3603</v>
      </c>
      <c r="D717" s="15" t="s">
        <v>3604</v>
      </c>
      <c r="E717" s="16" t="str">
        <f aca="false">HYPERLINK("#'Forrásszöveg'!A"&amp;(MATCH("TV-S0706",Forrásszöveg!$A$6:$A$2497,0)+5),"39. § (1) eleje")</f>
        <v>39. § (1) eleje</v>
      </c>
      <c r="F717" s="16" t="str">
        <f aca="false">HYPERLINK("https://net.jogtar.hu/jogszabaly?docid=a2400069.tv#pr712id","Jogtár megnyitása")</f>
        <v>Jogtár megnyitása</v>
      </c>
    </row>
    <row r="718" customFormat="false" ht="34" hidden="false" customHeight="true" outlineLevel="0" collapsed="false">
      <c r="A718" s="15" t="s">
        <v>3605</v>
      </c>
      <c r="B718" s="15" t="s">
        <v>1299</v>
      </c>
      <c r="C718" s="15" t="s">
        <v>3606</v>
      </c>
      <c r="D718" s="15" t="s">
        <v>3607</v>
      </c>
      <c r="E718" s="16" t="str">
        <f aca="false">HYPERLINK("#'Forrásszöveg'!A"&amp;(MATCH("TV-S0706",Forrásszöveg!$A$6:$A$2497,0)+5),"39. § (1) eleje")</f>
        <v>39. § (1) eleje</v>
      </c>
      <c r="F718" s="16" t="str">
        <f aca="false">HYPERLINK("https://net.jogtar.hu/jogszabaly?docid=a2400069.tv#pr713id","Jogtár megnyitása")</f>
        <v>Jogtár megnyitása</v>
      </c>
    </row>
    <row r="719" customFormat="false" ht="34" hidden="false" customHeight="true" outlineLevel="0" collapsed="false">
      <c r="A719" s="15" t="s">
        <v>3608</v>
      </c>
      <c r="B719" s="15" t="s">
        <v>1299</v>
      </c>
      <c r="C719" s="15" t="s">
        <v>3609</v>
      </c>
      <c r="D719" s="15" t="s">
        <v>3610</v>
      </c>
      <c r="E719" s="16" t="str">
        <f aca="false">HYPERLINK("#'Forrásszöveg'!A"&amp;(MATCH("TV-S0706",Forrásszöveg!$A$6:$A$2497,0)+5),"39. § (1) eleje")</f>
        <v>39. § (1) eleje</v>
      </c>
      <c r="F719" s="16" t="str">
        <f aca="false">HYPERLINK("https://net.jogtar.hu/jogszabaly?docid=a2400069.tv#pr714id","Jogtár megnyitása")</f>
        <v>Jogtár megnyitása</v>
      </c>
    </row>
    <row r="720" customFormat="false" ht="34" hidden="false" customHeight="true" outlineLevel="0" collapsed="false">
      <c r="A720" s="15" t="s">
        <v>3611</v>
      </c>
      <c r="B720" s="15" t="s">
        <v>1299</v>
      </c>
      <c r="C720" s="15" t="s">
        <v>3612</v>
      </c>
      <c r="D720" s="15" t="s">
        <v>3613</v>
      </c>
      <c r="E720" s="16" t="str">
        <f aca="false">HYPERLINK("#'Forrásszöveg'!A"&amp;(MATCH("TV-S0706",Forrásszöveg!$A$6:$A$2497,0)+5),"39. § (1) eleje")</f>
        <v>39. § (1) eleje</v>
      </c>
      <c r="F720" s="16" t="str">
        <f aca="false">HYPERLINK("https://net.jogtar.hu/jogszabaly?docid=a2400069.tv#pr715id","Jogtár megnyitása")</f>
        <v>Jogtár megnyitása</v>
      </c>
    </row>
    <row r="721" customFormat="false" ht="52" hidden="false" customHeight="true" outlineLevel="0" collapsed="false">
      <c r="A721" s="15" t="s">
        <v>3614</v>
      </c>
      <c r="B721" s="15" t="s">
        <v>1299</v>
      </c>
      <c r="C721" s="15" t="s">
        <v>3615</v>
      </c>
      <c r="D721" s="15" t="s">
        <v>3616</v>
      </c>
      <c r="E721" s="16" t="str">
        <f aca="false">HYPERLINK("#'Forrásszöveg'!A"&amp;(MATCH("TV-S0706",Forrásszöveg!$A$6:$A$2497,0)+5),"39. § (1) eleje")</f>
        <v>39. § (1) eleje</v>
      </c>
      <c r="F721" s="16" t="str">
        <f aca="false">HYPERLINK("https://net.jogtar.hu/jogszabaly?docid=a2400069.tv#pr716id","Jogtár megnyitása")</f>
        <v>Jogtár megnyitása</v>
      </c>
    </row>
    <row r="722" customFormat="false" ht="38" hidden="false" customHeight="true" outlineLevel="0" collapsed="false">
      <c r="A722" s="15" t="s">
        <v>3617</v>
      </c>
      <c r="B722" s="15" t="s">
        <v>1299</v>
      </c>
      <c r="C722" s="15" t="s">
        <v>3618</v>
      </c>
      <c r="D722" s="15" t="s">
        <v>3619</v>
      </c>
      <c r="E722" s="16" t="str">
        <f aca="false">HYPERLINK("#'Forrásszöveg'!A"&amp;(MATCH("TV-S0717",Forrásszöveg!$A$6:$A$2497,0)+5),"39. § (2) eleje")</f>
        <v>39. § (2) eleje</v>
      </c>
      <c r="F722" s="16" t="str">
        <f aca="false">HYPERLINK("https://net.jogtar.hu/jogszabaly?docid=a2400069.tv#pr717id","Jogtár megnyitása")</f>
        <v>Jogtár megnyitása</v>
      </c>
    </row>
    <row r="723" customFormat="false" ht="34" hidden="false" customHeight="true" outlineLevel="0" collapsed="false">
      <c r="A723" s="15" t="s">
        <v>3620</v>
      </c>
      <c r="B723" s="15" t="s">
        <v>1299</v>
      </c>
      <c r="C723" s="15" t="s">
        <v>3621</v>
      </c>
      <c r="D723" s="15" t="s">
        <v>3622</v>
      </c>
      <c r="E723" s="16" t="str">
        <f aca="false">HYPERLINK("#'Forrásszöveg'!A"&amp;(MATCH("TV-S0718",Forrásszöveg!$A$6:$A$2497,0)+5),"39. § (3) eleje")</f>
        <v>39. § (3) eleje</v>
      </c>
      <c r="F723" s="16" t="str">
        <f aca="false">HYPERLINK("https://net.jogtar.hu/jogszabaly?docid=a2400069.tv#pr718id","Jogtár megnyitása")</f>
        <v>Jogtár megnyitása</v>
      </c>
    </row>
    <row r="724" customFormat="false" ht="34" hidden="false" customHeight="true" outlineLevel="0" collapsed="false">
      <c r="A724" s="15" t="s">
        <v>3623</v>
      </c>
      <c r="B724" s="15" t="s">
        <v>1299</v>
      </c>
      <c r="C724" s="15" t="s">
        <v>3624</v>
      </c>
      <c r="D724" s="15" t="s">
        <v>3625</v>
      </c>
      <c r="E724" s="16" t="str">
        <f aca="false">HYPERLINK("#'Forrásszöveg'!A"&amp;(MATCH("TV-S0718",Forrásszöveg!$A$6:$A$2497,0)+5),"39. § (3) eleje")</f>
        <v>39. § (3) eleje</v>
      </c>
      <c r="F724" s="16" t="str">
        <f aca="false">HYPERLINK("https://net.jogtar.hu/jogszabaly?docid=a2400069.tv#pr719id","Jogtár megnyitása")</f>
        <v>Jogtár megnyitása</v>
      </c>
    </row>
    <row r="725" customFormat="false" ht="52" hidden="false" customHeight="true" outlineLevel="0" collapsed="false">
      <c r="A725" s="15" t="s">
        <v>3626</v>
      </c>
      <c r="B725" s="15" t="s">
        <v>1299</v>
      </c>
      <c r="C725" s="15" t="s">
        <v>3627</v>
      </c>
      <c r="D725" s="15" t="s">
        <v>3628</v>
      </c>
      <c r="E725" s="16" t="str">
        <f aca="false">HYPERLINK("#'Forrásszöveg'!A"&amp;(MATCH("TV-S0718",Forrásszöveg!$A$6:$A$2497,0)+5),"39. § (3) eleje")</f>
        <v>39. § (3) eleje</v>
      </c>
      <c r="F725" s="16" t="str">
        <f aca="false">HYPERLINK("https://net.jogtar.hu/jogszabaly?docid=a2400069.tv#pr720id","Jogtár megnyitása")</f>
        <v>Jogtár megnyitása</v>
      </c>
    </row>
    <row r="726" customFormat="false" ht="34" hidden="false" customHeight="true" outlineLevel="0" collapsed="false">
      <c r="A726" s="15" t="s">
        <v>3629</v>
      </c>
      <c r="B726" s="15" t="s">
        <v>1299</v>
      </c>
      <c r="C726" s="15" t="s">
        <v>3630</v>
      </c>
      <c r="D726" s="15" t="s">
        <v>3631</v>
      </c>
      <c r="E726" s="16" t="str">
        <f aca="false">HYPERLINK("#'Forrásszöveg'!A"&amp;(MATCH("TV-S0718",Forrásszöveg!$A$6:$A$2497,0)+5),"39. § (3) eleje")</f>
        <v>39. § (3) eleje</v>
      </c>
      <c r="F726" s="16" t="str">
        <f aca="false">HYPERLINK("https://net.jogtar.hu/jogszabaly?docid=a2400069.tv#pr721id","Jogtár megnyitása")</f>
        <v>Jogtár megnyitása</v>
      </c>
    </row>
    <row r="727" customFormat="false" ht="52" hidden="false" customHeight="true" outlineLevel="0" collapsed="false">
      <c r="A727" s="15" t="s">
        <v>3632</v>
      </c>
      <c r="B727" s="15" t="s">
        <v>1299</v>
      </c>
      <c r="C727" s="15" t="s">
        <v>1369</v>
      </c>
      <c r="D727" s="15" t="s">
        <v>1369</v>
      </c>
      <c r="E727" s="16" t="str">
        <f aca="false">HYPERLINK("#'Forrásszöveg'!A"&amp;(MATCH("TV-S0706",Forrásszöveg!$A$6:$A$2497,0)+5),"39. § eleje")</f>
        <v>39. § eleje</v>
      </c>
      <c r="F727" s="16" t="str">
        <f aca="false">HYPERLINK("https://net.jogtar.hu/jogszabaly?docid=a2400069.tv#pr722id","Jogtár megnyitása")</f>
        <v>Jogtár megnyitása</v>
      </c>
    </row>
    <row r="728" customFormat="false" ht="38" hidden="false" customHeight="true" outlineLevel="0" collapsed="false">
      <c r="A728" s="15" t="s">
        <v>3633</v>
      </c>
      <c r="B728" s="15" t="s">
        <v>1299</v>
      </c>
      <c r="C728" s="15" t="s">
        <v>3634</v>
      </c>
      <c r="D728" s="15" t="s">
        <v>3635</v>
      </c>
      <c r="E728" s="16" t="str">
        <f aca="false">HYPERLINK("#'Forrásszöveg'!A"&amp;(MATCH("TV-S0723",Forrásszöveg!$A$6:$A$2497,0)+5),"40. § (1) eleje")</f>
        <v>40. § (1) eleje</v>
      </c>
      <c r="F728" s="16" t="str">
        <f aca="false">HYPERLINK("https://net.jogtar.hu/jogszabaly?docid=a2400069.tv#pr723id","Jogtár megnyitása")</f>
        <v>Jogtár megnyitása</v>
      </c>
    </row>
    <row r="729" customFormat="false" ht="52" hidden="false" customHeight="true" outlineLevel="0" collapsed="false">
      <c r="A729" s="15" t="s">
        <v>3636</v>
      </c>
      <c r="B729" s="15" t="s">
        <v>1299</v>
      </c>
      <c r="C729" s="15" t="s">
        <v>3637</v>
      </c>
      <c r="D729" s="15" t="s">
        <v>3638</v>
      </c>
      <c r="E729" s="16" t="str">
        <f aca="false">HYPERLINK("#'Forrásszöveg'!A"&amp;(MATCH("TV-S0724",Forrásszöveg!$A$6:$A$2497,0)+5),"40. § (2) eleje")</f>
        <v>40. § (2) eleje</v>
      </c>
      <c r="F729" s="16" t="str">
        <f aca="false">HYPERLINK("https://net.jogtar.hu/jogszabaly?docid=a2400069.tv#pr724id","Jogtár megnyitása")</f>
        <v>Jogtár megnyitása</v>
      </c>
    </row>
    <row r="730" customFormat="false" ht="38" hidden="false" customHeight="true" outlineLevel="0" collapsed="false">
      <c r="A730" s="15" t="s">
        <v>3639</v>
      </c>
      <c r="B730" s="15" t="s">
        <v>1299</v>
      </c>
      <c r="C730" s="15" t="s">
        <v>3640</v>
      </c>
      <c r="D730" s="15" t="s">
        <v>3641</v>
      </c>
      <c r="E730" s="16" t="str">
        <f aca="false">HYPERLINK("#'Forrásszöveg'!A"&amp;(MATCH("TV-S0724",Forrásszöveg!$A$6:$A$2497,0)+5),"40. § (2) eleje")</f>
        <v>40. § (2) eleje</v>
      </c>
      <c r="F730" s="16" t="str">
        <f aca="false">HYPERLINK("https://net.jogtar.hu/jogszabaly?docid=a2400069.tv#pr725id","Jogtár megnyitása")</f>
        <v>Jogtár megnyitása</v>
      </c>
    </row>
    <row r="731" customFormat="false" ht="52" hidden="false" customHeight="true" outlineLevel="0" collapsed="false">
      <c r="A731" s="15" t="s">
        <v>3642</v>
      </c>
      <c r="B731" s="15" t="s">
        <v>1299</v>
      </c>
      <c r="C731" s="15" t="s">
        <v>3643</v>
      </c>
      <c r="D731" s="15" t="s">
        <v>3644</v>
      </c>
      <c r="E731" s="16" t="str">
        <f aca="false">HYPERLINK("#'Forrásszöveg'!A"&amp;(MATCH("TV-S0724",Forrásszöveg!$A$6:$A$2497,0)+5),"40. § (2) eleje")</f>
        <v>40. § (2) eleje</v>
      </c>
      <c r="F731" s="16" t="str">
        <f aca="false">HYPERLINK("https://net.jogtar.hu/jogszabaly?docid=a2400069.tv#pr726id","Jogtár megnyitása")</f>
        <v>Jogtár megnyitása</v>
      </c>
    </row>
    <row r="732" customFormat="false" ht="38" hidden="false" customHeight="true" outlineLevel="0" collapsed="false">
      <c r="A732" s="15" t="s">
        <v>3645</v>
      </c>
      <c r="B732" s="15" t="s">
        <v>1299</v>
      </c>
      <c r="C732" s="15" t="s">
        <v>3646</v>
      </c>
      <c r="D732" s="15" t="s">
        <v>3647</v>
      </c>
      <c r="E732" s="16" t="str">
        <f aca="false">HYPERLINK("#'Forrásszöveg'!A"&amp;(MATCH("TV-S0724",Forrásszöveg!$A$6:$A$2497,0)+5),"40. § (2) eleje")</f>
        <v>40. § (2) eleje</v>
      </c>
      <c r="F732" s="16" t="str">
        <f aca="false">HYPERLINK("https://net.jogtar.hu/jogszabaly?docid=a2400069.tv#pr727id","Jogtár megnyitása")</f>
        <v>Jogtár megnyitása</v>
      </c>
    </row>
    <row r="733" customFormat="false" ht="34" hidden="false" customHeight="true" outlineLevel="0" collapsed="false">
      <c r="A733" s="15" t="s">
        <v>3648</v>
      </c>
      <c r="B733" s="15" t="s">
        <v>1299</v>
      </c>
      <c r="C733" s="15" t="s">
        <v>3637</v>
      </c>
      <c r="D733" s="15" t="s">
        <v>3649</v>
      </c>
      <c r="E733" s="16" t="str">
        <f aca="false">HYPERLINK("#'Forrásszöveg'!A"&amp;(MATCH("TV-S0724",Forrásszöveg!$A$6:$A$2497,0)+5),"40. § (2) eleje")</f>
        <v>40. § (2) eleje</v>
      </c>
      <c r="F733" s="16" t="str">
        <f aca="false">HYPERLINK("https://net.jogtar.hu/jogszabaly?docid=a2400069.tv#pr728id","Jogtár megnyitása")</f>
        <v>Jogtár megnyitása</v>
      </c>
    </row>
    <row r="734" customFormat="false" ht="52" hidden="false" customHeight="true" outlineLevel="0" collapsed="false">
      <c r="A734" s="15" t="s">
        <v>3650</v>
      </c>
      <c r="B734" s="15" t="s">
        <v>1299</v>
      </c>
      <c r="C734" s="15" t="s">
        <v>3651</v>
      </c>
      <c r="D734" s="15" t="s">
        <v>3652</v>
      </c>
      <c r="E734" s="16" t="str">
        <f aca="false">HYPERLINK("#'Forrásszöveg'!A"&amp;(MATCH("TV-S0729",Forrásszöveg!$A$6:$A$2497,0)+5),"40. § (3) eleje")</f>
        <v>40. § (3) eleje</v>
      </c>
      <c r="F734" s="16" t="str">
        <f aca="false">HYPERLINK("https://net.jogtar.hu/jogszabaly?docid=a2400069.tv#pr729id","Jogtár megnyitása")</f>
        <v>Jogtár megnyitása</v>
      </c>
    </row>
    <row r="735" customFormat="false" ht="34" hidden="false" customHeight="true" outlineLevel="0" collapsed="false">
      <c r="A735" s="15" t="s">
        <v>3653</v>
      </c>
      <c r="B735" s="15" t="s">
        <v>1299</v>
      </c>
      <c r="C735" s="15" t="s">
        <v>3654</v>
      </c>
      <c r="D735" s="15" t="s">
        <v>3655</v>
      </c>
      <c r="E735" s="16" t="str">
        <f aca="false">HYPERLINK("#'Forrásszöveg'!A"&amp;(MATCH("TV-S0730",Forrásszöveg!$A$6:$A$2497,0)+5),"40. § (4) eleje")</f>
        <v>40. § (4) eleje</v>
      </c>
      <c r="F735" s="16" t="str">
        <f aca="false">HYPERLINK("https://net.jogtar.hu/jogszabaly?docid=a2400069.tv#pr730id","Jogtár megnyitása")</f>
        <v>Jogtár megnyitása</v>
      </c>
    </row>
    <row r="736" customFormat="false" ht="38" hidden="false" customHeight="true" outlineLevel="0" collapsed="false">
      <c r="A736" s="15" t="s">
        <v>3656</v>
      </c>
      <c r="B736" s="15" t="s">
        <v>1299</v>
      </c>
      <c r="C736" s="15" t="s">
        <v>3657</v>
      </c>
      <c r="D736" s="15" t="s">
        <v>3658</v>
      </c>
      <c r="E736" s="16" t="str">
        <f aca="false">HYPERLINK("#'Forrásszöveg'!A"&amp;(MATCH("TV-S0730",Forrásszöveg!$A$6:$A$2497,0)+5),"40. § (4) eleje")</f>
        <v>40. § (4) eleje</v>
      </c>
      <c r="F736" s="16" t="str">
        <f aca="false">HYPERLINK("https://net.jogtar.hu/jogszabaly?docid=a2400069.tv#pr731id","Jogtár megnyitása")</f>
        <v>Jogtár megnyitása</v>
      </c>
    </row>
    <row r="737" customFormat="false" ht="34" hidden="false" customHeight="true" outlineLevel="0" collapsed="false">
      <c r="A737" s="15" t="s">
        <v>3659</v>
      </c>
      <c r="B737" s="15" t="s">
        <v>1299</v>
      </c>
      <c r="C737" s="15" t="s">
        <v>3660</v>
      </c>
      <c r="D737" s="15" t="s">
        <v>3661</v>
      </c>
      <c r="E737" s="16" t="str">
        <f aca="false">HYPERLINK("#'Forrásszöveg'!A"&amp;(MATCH("TV-S0730",Forrásszöveg!$A$6:$A$2497,0)+5),"40. § (4) eleje")</f>
        <v>40. § (4) eleje</v>
      </c>
      <c r="F737" s="16" t="str">
        <f aca="false">HYPERLINK("https://net.jogtar.hu/jogszabaly?docid=a2400069.tv#pr732id","Jogtár megnyitása")</f>
        <v>Jogtár megnyitása</v>
      </c>
    </row>
    <row r="738" customFormat="false" ht="34" hidden="false" customHeight="true" outlineLevel="0" collapsed="false">
      <c r="A738" s="15" t="s">
        <v>3662</v>
      </c>
      <c r="B738" s="15" t="s">
        <v>1299</v>
      </c>
      <c r="C738" s="15" t="s">
        <v>3663</v>
      </c>
      <c r="D738" s="15" t="s">
        <v>3664</v>
      </c>
      <c r="E738" s="16" t="str">
        <f aca="false">HYPERLINK("#'Forrásszöveg'!A"&amp;(MATCH("TV-S0730",Forrásszöveg!$A$6:$A$2497,0)+5),"40. § (4) eleje")</f>
        <v>40. § (4) eleje</v>
      </c>
      <c r="F738" s="16" t="str">
        <f aca="false">HYPERLINK("https://net.jogtar.hu/jogszabaly?docid=a2400069.tv#pr733id","Jogtár megnyitása")</f>
        <v>Jogtár megnyitása</v>
      </c>
    </row>
    <row r="739" customFormat="false" ht="34" hidden="false" customHeight="true" outlineLevel="0" collapsed="false">
      <c r="A739" s="15" t="s">
        <v>3665</v>
      </c>
      <c r="B739" s="15" t="s">
        <v>1299</v>
      </c>
      <c r="C739" s="15" t="s">
        <v>3666</v>
      </c>
      <c r="D739" s="15" t="s">
        <v>3667</v>
      </c>
      <c r="E739" s="16" t="str">
        <f aca="false">HYPERLINK("#'Forrásszöveg'!A"&amp;(MATCH("TV-S0730",Forrásszöveg!$A$6:$A$2497,0)+5),"40. § (4) eleje")</f>
        <v>40. § (4) eleje</v>
      </c>
      <c r="F739" s="16" t="str">
        <f aca="false">HYPERLINK("https://net.jogtar.hu/jogszabaly?docid=a2400069.tv#pr734id","Jogtár megnyitása")</f>
        <v>Jogtár megnyitása</v>
      </c>
    </row>
    <row r="740" customFormat="false" ht="38" hidden="false" customHeight="true" outlineLevel="0" collapsed="false">
      <c r="A740" s="15" t="s">
        <v>3668</v>
      </c>
      <c r="B740" s="15" t="s">
        <v>1299</v>
      </c>
      <c r="C740" s="15" t="s">
        <v>3669</v>
      </c>
      <c r="D740" s="15" t="s">
        <v>3670</v>
      </c>
      <c r="E740" s="16" t="str">
        <f aca="false">HYPERLINK("#'Forrásszöveg'!A"&amp;(MATCH("TV-S0730",Forrásszöveg!$A$6:$A$2497,0)+5),"40. § (4) eleje")</f>
        <v>40. § (4) eleje</v>
      </c>
      <c r="F740" s="16" t="str">
        <f aca="false">HYPERLINK("https://net.jogtar.hu/jogszabaly?docid=a2400069.tv#pr735id","Jogtár megnyitása")</f>
        <v>Jogtár megnyitása</v>
      </c>
    </row>
    <row r="741" customFormat="false" ht="34" hidden="false" customHeight="true" outlineLevel="0" collapsed="false">
      <c r="A741" s="15" t="s">
        <v>3671</v>
      </c>
      <c r="B741" s="15" t="s">
        <v>1299</v>
      </c>
      <c r="C741" s="15" t="s">
        <v>3672</v>
      </c>
      <c r="D741" s="15" t="s">
        <v>3673</v>
      </c>
      <c r="E741" s="16" t="str">
        <f aca="false">HYPERLINK("#'Forrásszöveg'!A"&amp;(MATCH("TV-S0730",Forrásszöveg!$A$6:$A$2497,0)+5),"40. § (4) eleje")</f>
        <v>40. § (4) eleje</v>
      </c>
      <c r="F741" s="16" t="str">
        <f aca="false">HYPERLINK("https://net.jogtar.hu/jogszabaly?docid=a2400069.tv#pr736id","Jogtár megnyitása")</f>
        <v>Jogtár megnyitása</v>
      </c>
    </row>
    <row r="742" customFormat="false" ht="34" hidden="false" customHeight="true" outlineLevel="0" collapsed="false">
      <c r="A742" s="15" t="s">
        <v>3674</v>
      </c>
      <c r="B742" s="15" t="s">
        <v>1299</v>
      </c>
      <c r="C742" s="15" t="s">
        <v>3675</v>
      </c>
      <c r="D742" s="15" t="s">
        <v>3676</v>
      </c>
      <c r="E742" s="16" t="str">
        <f aca="false">HYPERLINK("#'Forrásszöveg'!A"&amp;(MATCH("TV-S0730",Forrásszöveg!$A$6:$A$2497,0)+5),"40. § (4) eleje")</f>
        <v>40. § (4) eleje</v>
      </c>
      <c r="F742" s="16" t="str">
        <f aca="false">HYPERLINK("https://net.jogtar.hu/jogszabaly?docid=a2400069.tv#pr737id","Jogtár megnyitása")</f>
        <v>Jogtár megnyitása</v>
      </c>
    </row>
    <row r="743" customFormat="false" ht="34" hidden="false" customHeight="true" outlineLevel="0" collapsed="false">
      <c r="A743" s="15" t="s">
        <v>3677</v>
      </c>
      <c r="B743" s="15" t="s">
        <v>1299</v>
      </c>
      <c r="C743" s="15" t="s">
        <v>3678</v>
      </c>
      <c r="D743" s="15" t="s">
        <v>3679</v>
      </c>
      <c r="E743" s="16" t="str">
        <f aca="false">HYPERLINK("#'Forrásszöveg'!A"&amp;(MATCH("TV-S0730",Forrásszöveg!$A$6:$A$2497,0)+5),"40. § (4) eleje")</f>
        <v>40. § (4) eleje</v>
      </c>
      <c r="F743" s="16" t="str">
        <f aca="false">HYPERLINK("https://net.jogtar.hu/jogszabaly?docid=a2400069.tv#pr738id","Jogtár megnyitása")</f>
        <v>Jogtár megnyitása</v>
      </c>
    </row>
    <row r="744" customFormat="false" ht="38" hidden="false" customHeight="true" outlineLevel="0" collapsed="false">
      <c r="A744" s="15" t="s">
        <v>3680</v>
      </c>
      <c r="B744" s="15" t="s">
        <v>1299</v>
      </c>
      <c r="C744" s="15" t="s">
        <v>3681</v>
      </c>
      <c r="D744" s="15" t="s">
        <v>3682</v>
      </c>
      <c r="E744" s="16" t="str">
        <f aca="false">HYPERLINK("#'Forrásszöveg'!A"&amp;(MATCH("TV-S0730",Forrásszöveg!$A$6:$A$2497,0)+5),"40. § (4) eleje")</f>
        <v>40. § (4) eleje</v>
      </c>
      <c r="F744" s="16" t="str">
        <f aca="false">HYPERLINK("https://net.jogtar.hu/jogszabaly?docid=a2400069.tv#pr739id","Jogtár megnyitása")</f>
        <v>Jogtár megnyitása</v>
      </c>
    </row>
    <row r="745" customFormat="false" ht="38" hidden="false" customHeight="true" outlineLevel="0" collapsed="false">
      <c r="A745" s="15" t="s">
        <v>3683</v>
      </c>
      <c r="B745" s="15" t="s">
        <v>1299</v>
      </c>
      <c r="C745" s="15" t="s">
        <v>3684</v>
      </c>
      <c r="D745" s="15" t="s">
        <v>3685</v>
      </c>
      <c r="E745" s="16" t="str">
        <f aca="false">HYPERLINK("#'Forrásszöveg'!A"&amp;(MATCH("TV-S0730",Forrásszöveg!$A$6:$A$2497,0)+5),"40. § (4) eleje")</f>
        <v>40. § (4) eleje</v>
      </c>
      <c r="F745" s="16" t="str">
        <f aca="false">HYPERLINK("https://net.jogtar.hu/jogszabaly?docid=a2400069.tv#pr740id","Jogtár megnyitása")</f>
        <v>Jogtár megnyitása</v>
      </c>
    </row>
    <row r="746" customFormat="false" ht="66" hidden="false" customHeight="true" outlineLevel="0" collapsed="false">
      <c r="A746" s="15" t="s">
        <v>3686</v>
      </c>
      <c r="B746" s="15" t="s">
        <v>1299</v>
      </c>
      <c r="C746" s="15" t="s">
        <v>1371</v>
      </c>
      <c r="D746" s="15" t="s">
        <v>1371</v>
      </c>
      <c r="E746" s="16" t="str">
        <f aca="false">HYPERLINK("#'Forrásszöveg'!A"&amp;(MATCH("TV-S0723",Forrásszöveg!$A$6:$A$2497,0)+5),"40. § eleje")</f>
        <v>40. § eleje</v>
      </c>
      <c r="F746" s="16" t="str">
        <f aca="false">HYPERLINK("https://net.jogtar.hu/jogszabaly?docid=a2400069.tv#pr741id","Jogtár megnyitása")</f>
        <v>Jogtár megnyitása</v>
      </c>
    </row>
    <row r="747" customFormat="false" ht="34" hidden="false" customHeight="true" outlineLevel="0" collapsed="false">
      <c r="A747" s="15" t="s">
        <v>3687</v>
      </c>
      <c r="B747" s="15" t="s">
        <v>1299</v>
      </c>
      <c r="C747" s="15" t="s">
        <v>3688</v>
      </c>
      <c r="D747" s="15" t="s">
        <v>3689</v>
      </c>
      <c r="E747" s="16" t="str">
        <f aca="false">HYPERLINK("#'Forrásszöveg'!A"&amp;(MATCH("TV-S0742",Forrásszöveg!$A$6:$A$2497,0)+5),"41. § (1) eleje")</f>
        <v>41. § (1) eleje</v>
      </c>
      <c r="F747" s="16" t="str">
        <f aca="false">HYPERLINK("https://net.jogtar.hu/jogszabaly?docid=a2400069.tv#pr742id","Jogtár megnyitása")</f>
        <v>Jogtár megnyitása</v>
      </c>
    </row>
    <row r="748" customFormat="false" ht="38" hidden="false" customHeight="true" outlineLevel="0" collapsed="false">
      <c r="A748" s="15" t="s">
        <v>3690</v>
      </c>
      <c r="B748" s="15" t="s">
        <v>1299</v>
      </c>
      <c r="C748" s="15" t="s">
        <v>3691</v>
      </c>
      <c r="D748" s="15" t="s">
        <v>3692</v>
      </c>
      <c r="E748" s="16" t="str">
        <f aca="false">HYPERLINK("#'Forrásszöveg'!A"&amp;(MATCH("TV-S0742",Forrásszöveg!$A$6:$A$2497,0)+5),"41. § (1) eleje")</f>
        <v>41. § (1) eleje</v>
      </c>
      <c r="F748" s="16" t="str">
        <f aca="false">HYPERLINK("https://net.jogtar.hu/jogszabaly?docid=a2400069.tv#pr743id","Jogtár megnyitása")</f>
        <v>Jogtár megnyitása</v>
      </c>
    </row>
    <row r="749" customFormat="false" ht="34" hidden="false" customHeight="true" outlineLevel="0" collapsed="false">
      <c r="A749" s="15" t="s">
        <v>3693</v>
      </c>
      <c r="B749" s="15" t="s">
        <v>1299</v>
      </c>
      <c r="C749" s="15" t="s">
        <v>3694</v>
      </c>
      <c r="D749" s="15" t="s">
        <v>3695</v>
      </c>
      <c r="E749" s="16" t="str">
        <f aca="false">HYPERLINK("#'Forrásszöveg'!A"&amp;(MATCH("TV-S0742",Forrásszöveg!$A$6:$A$2497,0)+5),"41. § (1) eleje")</f>
        <v>41. § (1) eleje</v>
      </c>
      <c r="F749" s="16" t="str">
        <f aca="false">HYPERLINK("https://net.jogtar.hu/jogszabaly?docid=a2400069.tv#pr744id","Jogtár megnyitása")</f>
        <v>Jogtár megnyitása</v>
      </c>
    </row>
    <row r="750" customFormat="false" ht="34" hidden="false" customHeight="true" outlineLevel="0" collapsed="false">
      <c r="A750" s="15" t="s">
        <v>3696</v>
      </c>
      <c r="B750" s="15" t="s">
        <v>1299</v>
      </c>
      <c r="C750" s="15" t="s">
        <v>3697</v>
      </c>
      <c r="D750" s="15" t="s">
        <v>3698</v>
      </c>
      <c r="E750" s="16" t="str">
        <f aca="false">HYPERLINK("#'Forrásszöveg'!A"&amp;(MATCH("TV-S0742",Forrásszöveg!$A$6:$A$2497,0)+5),"41. § (1) eleje")</f>
        <v>41. § (1) eleje</v>
      </c>
      <c r="F750" s="16" t="str">
        <f aca="false">HYPERLINK("https://net.jogtar.hu/jogszabaly?docid=a2400069.tv#pr745id","Jogtár megnyitása")</f>
        <v>Jogtár megnyitása</v>
      </c>
    </row>
    <row r="751" customFormat="false" ht="34" hidden="false" customHeight="true" outlineLevel="0" collapsed="false">
      <c r="A751" s="15" t="s">
        <v>3699</v>
      </c>
      <c r="B751" s="15" t="s">
        <v>1299</v>
      </c>
      <c r="C751" s="15" t="s">
        <v>3700</v>
      </c>
      <c r="D751" s="15" t="s">
        <v>3701</v>
      </c>
      <c r="E751" s="16" t="str">
        <f aca="false">HYPERLINK("#'Forrásszöveg'!A"&amp;(MATCH("TV-S0746",Forrásszöveg!$A$6:$A$2497,0)+5),"41. § (2) eleje")</f>
        <v>41. § (2) eleje</v>
      </c>
      <c r="F751" s="16" t="str">
        <f aca="false">HYPERLINK("https://net.jogtar.hu/jogszabaly?docid=a2400069.tv#pr746id","Jogtár megnyitása")</f>
        <v>Jogtár megnyitása</v>
      </c>
    </row>
    <row r="752" customFormat="false" ht="34" hidden="false" customHeight="true" outlineLevel="0" collapsed="false">
      <c r="A752" s="15" t="s">
        <v>3702</v>
      </c>
      <c r="B752" s="15" t="s">
        <v>1299</v>
      </c>
      <c r="C752" s="15" t="s">
        <v>3703</v>
      </c>
      <c r="D752" s="15" t="s">
        <v>3704</v>
      </c>
      <c r="E752" s="16" t="str">
        <f aca="false">HYPERLINK("#'Forrásszöveg'!A"&amp;(MATCH("TV-S0746",Forrásszöveg!$A$6:$A$2497,0)+5),"41. § (2) eleje")</f>
        <v>41. § (2) eleje</v>
      </c>
      <c r="F752" s="16" t="str">
        <f aca="false">HYPERLINK("https://net.jogtar.hu/jogszabaly?docid=a2400069.tv#pr747id","Jogtár megnyitása")</f>
        <v>Jogtár megnyitása</v>
      </c>
    </row>
    <row r="753" customFormat="false" ht="34" hidden="false" customHeight="true" outlineLevel="0" collapsed="false">
      <c r="A753" s="15" t="s">
        <v>3705</v>
      </c>
      <c r="B753" s="15" t="s">
        <v>1299</v>
      </c>
      <c r="C753" s="15" t="s">
        <v>3706</v>
      </c>
      <c r="D753" s="15" t="s">
        <v>3707</v>
      </c>
      <c r="E753" s="16" t="str">
        <f aca="false">HYPERLINK("#'Forrásszöveg'!A"&amp;(MATCH("TV-S0746",Forrásszöveg!$A$6:$A$2497,0)+5),"41. § (2) eleje")</f>
        <v>41. § (2) eleje</v>
      </c>
      <c r="F753" s="16" t="str">
        <f aca="false">HYPERLINK("https://net.jogtar.hu/jogszabaly?docid=a2400069.tv#pr748id","Jogtár megnyitása")</f>
        <v>Jogtár megnyitása</v>
      </c>
    </row>
    <row r="754" customFormat="false" ht="34" hidden="false" customHeight="true" outlineLevel="0" collapsed="false">
      <c r="A754" s="15" t="s">
        <v>3708</v>
      </c>
      <c r="B754" s="15" t="s">
        <v>1299</v>
      </c>
      <c r="C754" s="15" t="s">
        <v>3709</v>
      </c>
      <c r="D754" s="15" t="s">
        <v>3710</v>
      </c>
      <c r="E754" s="16" t="str">
        <f aca="false">HYPERLINK("#'Forrásszöveg'!A"&amp;(MATCH("TV-S0746",Forrásszöveg!$A$6:$A$2497,0)+5),"41. § (2) eleje")</f>
        <v>41. § (2) eleje</v>
      </c>
      <c r="F754" s="16" t="str">
        <f aca="false">HYPERLINK("https://net.jogtar.hu/jogszabaly?docid=a2400069.tv#pr749id","Jogtár megnyitása")</f>
        <v>Jogtár megnyitása</v>
      </c>
    </row>
    <row r="755" customFormat="false" ht="34" hidden="false" customHeight="true" outlineLevel="0" collapsed="false">
      <c r="A755" s="15" t="s">
        <v>3711</v>
      </c>
      <c r="B755" s="15" t="s">
        <v>1299</v>
      </c>
      <c r="C755" s="15" t="s">
        <v>3712</v>
      </c>
      <c r="D755" s="15" t="s">
        <v>3713</v>
      </c>
      <c r="E755" s="16" t="str">
        <f aca="false">HYPERLINK("#'Forrásszöveg'!A"&amp;(MATCH("TV-S0746",Forrásszöveg!$A$6:$A$2497,0)+5),"41. § (2) eleje")</f>
        <v>41. § (2) eleje</v>
      </c>
      <c r="F755" s="16" t="str">
        <f aca="false">HYPERLINK("https://net.jogtar.hu/jogszabaly?docid=a2400069.tv#pr750id","Jogtár megnyitása")</f>
        <v>Jogtár megnyitása</v>
      </c>
    </row>
    <row r="756" customFormat="false" ht="38" hidden="false" customHeight="true" outlineLevel="0" collapsed="false">
      <c r="A756" s="15" t="s">
        <v>3714</v>
      </c>
      <c r="B756" s="15" t="s">
        <v>1299</v>
      </c>
      <c r="C756" s="15" t="s">
        <v>3715</v>
      </c>
      <c r="D756" s="15" t="s">
        <v>3716</v>
      </c>
      <c r="E756" s="16" t="str">
        <f aca="false">HYPERLINK("#'Forrásszöveg'!A"&amp;(MATCH("TV-S0746",Forrásszöveg!$A$6:$A$2497,0)+5),"41. § (2) eleje")</f>
        <v>41. § (2) eleje</v>
      </c>
      <c r="F756" s="16" t="str">
        <f aca="false">HYPERLINK("https://net.jogtar.hu/jogszabaly?docid=a2400069.tv#pr751id","Jogtár megnyitása")</f>
        <v>Jogtár megnyitása</v>
      </c>
    </row>
    <row r="757" customFormat="false" ht="34" hidden="false" customHeight="true" outlineLevel="0" collapsed="false">
      <c r="A757" s="15" t="s">
        <v>3717</v>
      </c>
      <c r="B757" s="15" t="s">
        <v>1299</v>
      </c>
      <c r="C757" s="15" t="s">
        <v>3718</v>
      </c>
      <c r="D757" s="15" t="s">
        <v>3719</v>
      </c>
      <c r="E757" s="16" t="str">
        <f aca="false">HYPERLINK("#'Forrásszöveg'!A"&amp;(MATCH("TV-S0746",Forrásszöveg!$A$6:$A$2497,0)+5),"41. § (2) eleje")</f>
        <v>41. § (2) eleje</v>
      </c>
      <c r="F757" s="16" t="str">
        <f aca="false">HYPERLINK("https://net.jogtar.hu/jogszabaly?docid=a2400069.tv#pr752id","Jogtár megnyitása")</f>
        <v>Jogtár megnyitása</v>
      </c>
    </row>
    <row r="758" customFormat="false" ht="38" hidden="false" customHeight="true" outlineLevel="0" collapsed="false">
      <c r="A758" s="15" t="s">
        <v>3720</v>
      </c>
      <c r="B758" s="15" t="s">
        <v>1299</v>
      </c>
      <c r="C758" s="15" t="s">
        <v>3721</v>
      </c>
      <c r="D758" s="15" t="s">
        <v>3722</v>
      </c>
      <c r="E758" s="16" t="str">
        <f aca="false">HYPERLINK("#'Forrásszöveg'!A"&amp;(MATCH("TV-S0746",Forrásszöveg!$A$6:$A$2497,0)+5),"41. § (2) eleje")</f>
        <v>41. § (2) eleje</v>
      </c>
      <c r="F758" s="16" t="str">
        <f aca="false">HYPERLINK("https://net.jogtar.hu/jogszabaly?docid=a2400069.tv#pr753id","Jogtár megnyitása")</f>
        <v>Jogtár megnyitása</v>
      </c>
    </row>
    <row r="759" customFormat="false" ht="34" hidden="false" customHeight="true" outlineLevel="0" collapsed="false">
      <c r="A759" s="15" t="s">
        <v>3723</v>
      </c>
      <c r="B759" s="15" t="s">
        <v>1299</v>
      </c>
      <c r="C759" s="15" t="s">
        <v>3724</v>
      </c>
      <c r="D759" s="15" t="s">
        <v>3725</v>
      </c>
      <c r="E759" s="16" t="str">
        <f aca="false">HYPERLINK("#'Forrásszöveg'!A"&amp;(MATCH("TV-S0746",Forrásszöveg!$A$6:$A$2497,0)+5),"41. § (2) eleje")</f>
        <v>41. § (2) eleje</v>
      </c>
      <c r="F759" s="16" t="str">
        <f aca="false">HYPERLINK("https://net.jogtar.hu/jogszabaly?docid=a2400069.tv#pr754id","Jogtár megnyitása")</f>
        <v>Jogtár megnyitása</v>
      </c>
    </row>
    <row r="760" customFormat="false" ht="66" hidden="false" customHeight="true" outlineLevel="0" collapsed="false">
      <c r="A760" s="15" t="s">
        <v>3726</v>
      </c>
      <c r="B760" s="15" t="s">
        <v>1299</v>
      </c>
      <c r="C760" s="15" t="s">
        <v>3727</v>
      </c>
      <c r="D760" s="15" t="s">
        <v>3728</v>
      </c>
      <c r="E760" s="16" t="str">
        <f aca="false">HYPERLINK("#'Forrásszöveg'!A"&amp;(MATCH("TV-S0755",Forrásszöveg!$A$6:$A$2497,0)+5),"41. § (3) eleje")</f>
        <v>41. § (3) eleje</v>
      </c>
      <c r="F760" s="16" t="str">
        <f aca="false">HYPERLINK("https://net.jogtar.hu/jogszabaly?docid=a2400069.tv#pr755id","Jogtár megnyitása")</f>
        <v>Jogtár megnyitása</v>
      </c>
    </row>
    <row r="761" customFormat="false" ht="52" hidden="false" customHeight="true" outlineLevel="0" collapsed="false">
      <c r="A761" s="15" t="s">
        <v>3729</v>
      </c>
      <c r="B761" s="15" t="s">
        <v>1299</v>
      </c>
      <c r="C761" s="15" t="s">
        <v>3730</v>
      </c>
      <c r="D761" s="15" t="s">
        <v>3731</v>
      </c>
      <c r="E761" s="16" t="str">
        <f aca="false">HYPERLINK("#'Forrásszöveg'!A"&amp;(MATCH("TV-S0756",Forrásszöveg!$A$6:$A$2497,0)+5),"42. § (1) eleje")</f>
        <v>42. § (1) eleje</v>
      </c>
      <c r="F761" s="16" t="str">
        <f aca="false">HYPERLINK("https://net.jogtar.hu/jogszabaly?docid=a2400069.tv#pr756id","Jogtár megnyitása")</f>
        <v>Jogtár megnyitása</v>
      </c>
    </row>
    <row r="762" customFormat="false" ht="66" hidden="false" customHeight="true" outlineLevel="0" collapsed="false">
      <c r="A762" s="15" t="s">
        <v>3732</v>
      </c>
      <c r="B762" s="15" t="s">
        <v>1299</v>
      </c>
      <c r="C762" s="15" t="s">
        <v>3733</v>
      </c>
      <c r="D762" s="15" t="s">
        <v>3734</v>
      </c>
      <c r="E762" s="16" t="str">
        <f aca="false">HYPERLINK("#'Forrásszöveg'!A"&amp;(MATCH("TV-S0757",Forrásszöveg!$A$6:$A$2497,0)+5),"42. § (2) eleje")</f>
        <v>42. § (2) eleje</v>
      </c>
      <c r="F762" s="16" t="str">
        <f aca="false">HYPERLINK("https://net.jogtar.hu/jogszabaly?docid=a2400069.tv#pr757id","Jogtár megnyitása")</f>
        <v>Jogtár megnyitása</v>
      </c>
    </row>
    <row r="763" customFormat="false" ht="38" hidden="false" customHeight="true" outlineLevel="0" collapsed="false">
      <c r="A763" s="15" t="s">
        <v>3735</v>
      </c>
      <c r="B763" s="15" t="s">
        <v>1299</v>
      </c>
      <c r="C763" s="15" t="s">
        <v>1374</v>
      </c>
      <c r="D763" s="15" t="s">
        <v>1374</v>
      </c>
      <c r="E763" s="16" t="str">
        <f aca="false">HYPERLINK("#'Forrásszöveg'!A"&amp;(MATCH("TV-S0756",Forrásszöveg!$A$6:$A$2497,0)+5),"42. § eleje")</f>
        <v>42. § eleje</v>
      </c>
      <c r="F763" s="16" t="str">
        <f aca="false">HYPERLINK("https://net.jogtar.hu/jogszabaly?docid=a2400069.tv#pr758id","Jogtár megnyitása")</f>
        <v>Jogtár megnyitása</v>
      </c>
    </row>
    <row r="764" customFormat="false" ht="52" hidden="false" customHeight="true" outlineLevel="0" collapsed="false">
      <c r="A764" s="15" t="s">
        <v>3736</v>
      </c>
      <c r="B764" s="15" t="s">
        <v>1299</v>
      </c>
      <c r="C764" s="15" t="s">
        <v>3737</v>
      </c>
      <c r="D764" s="15" t="s">
        <v>3738</v>
      </c>
      <c r="E764" s="16" t="str">
        <f aca="false">HYPERLINK("#'Forrásszöveg'!A"&amp;(MATCH("TV-S0759",Forrásszöveg!$A$6:$A$2497,0)+5),"43. § (1) eleje")</f>
        <v>43. § (1) eleje</v>
      </c>
      <c r="F764" s="16" t="str">
        <f aca="false">HYPERLINK("https://net.jogtar.hu/jogszabaly?docid=a2400069.tv#pr759id","Jogtár megnyitása")</f>
        <v>Jogtár megnyitása</v>
      </c>
    </row>
    <row r="765" customFormat="false" ht="66" hidden="false" customHeight="true" outlineLevel="0" collapsed="false">
      <c r="A765" s="15" t="s">
        <v>3739</v>
      </c>
      <c r="B765" s="15" t="s">
        <v>1299</v>
      </c>
      <c r="C765" s="15" t="s">
        <v>3740</v>
      </c>
      <c r="D765" s="15" t="s">
        <v>3741</v>
      </c>
      <c r="E765" s="16" t="str">
        <f aca="false">HYPERLINK("#'Forrásszöveg'!A"&amp;(MATCH("TV-S0760",Forrásszöveg!$A$6:$A$2497,0)+5),"43. § (2) eleje")</f>
        <v>43. § (2) eleje</v>
      </c>
      <c r="F765" s="16" t="str">
        <f aca="false">HYPERLINK("https://net.jogtar.hu/jogszabaly?docid=a2400069.tv#pr760id","Jogtár megnyitása")</f>
        <v>Jogtár megnyitása</v>
      </c>
    </row>
    <row r="766" customFormat="false" ht="80" hidden="false" customHeight="true" outlineLevel="0" collapsed="false">
      <c r="A766" s="15" t="s">
        <v>3742</v>
      </c>
      <c r="B766" s="15" t="s">
        <v>1299</v>
      </c>
      <c r="C766" s="15" t="s">
        <v>3743</v>
      </c>
      <c r="D766" s="15" t="s">
        <v>3744</v>
      </c>
      <c r="E766" s="16" t="str">
        <f aca="false">HYPERLINK("#'Forrásszöveg'!A"&amp;(MATCH("TV-S0761",Forrásszöveg!$A$6:$A$2497,0)+5),"43. § (3) eleje")</f>
        <v>43. § (3) eleje</v>
      </c>
      <c r="F766" s="16" t="str">
        <f aca="false">HYPERLINK("https://net.jogtar.hu/jogszabaly?docid=a2400069.tv#pr761id","Jogtár megnyitása")</f>
        <v>Jogtár megnyitása</v>
      </c>
    </row>
    <row r="767" customFormat="false" ht="34" hidden="false" customHeight="true" outlineLevel="0" collapsed="false">
      <c r="A767" s="15" t="s">
        <v>3745</v>
      </c>
      <c r="B767" s="15" t="s">
        <v>1299</v>
      </c>
      <c r="C767" s="15" t="s">
        <v>3746</v>
      </c>
      <c r="D767" s="15" t="s">
        <v>3747</v>
      </c>
      <c r="E767" s="16" t="str">
        <f aca="false">HYPERLINK("#'Forrásszöveg'!A"&amp;(MATCH("TV-S0762",Forrásszöveg!$A$6:$A$2497,0)+5),"44. § (1) eleje")</f>
        <v>44. § (1) eleje</v>
      </c>
      <c r="F767" s="16" t="str">
        <f aca="false">HYPERLINK("https://net.jogtar.hu/jogszabaly?docid=a2400069.tv#pr762id","Jogtár megnyitása")</f>
        <v>Jogtár megnyitása</v>
      </c>
    </row>
    <row r="768" customFormat="false" ht="52" hidden="false" customHeight="true" outlineLevel="0" collapsed="false">
      <c r="A768" s="15" t="s">
        <v>3748</v>
      </c>
      <c r="B768" s="15" t="s">
        <v>1299</v>
      </c>
      <c r="C768" s="15" t="s">
        <v>3749</v>
      </c>
      <c r="D768" s="15" t="s">
        <v>3750</v>
      </c>
      <c r="E768" s="16" t="str">
        <f aca="false">HYPERLINK("#'Forrásszöveg'!A"&amp;(MATCH("TV-S0762",Forrásszöveg!$A$6:$A$2497,0)+5),"44. § (1) eleje")</f>
        <v>44. § (1) eleje</v>
      </c>
      <c r="F768" s="16" t="str">
        <f aca="false">HYPERLINK("https://net.jogtar.hu/jogszabaly?docid=a2400069.tv#pr763id","Jogtár megnyitása")</f>
        <v>Jogtár megnyitása</v>
      </c>
    </row>
    <row r="769" customFormat="false" ht="52" hidden="false" customHeight="true" outlineLevel="0" collapsed="false">
      <c r="A769" s="15" t="s">
        <v>3751</v>
      </c>
      <c r="B769" s="15" t="s">
        <v>1299</v>
      </c>
      <c r="C769" s="15" t="s">
        <v>3752</v>
      </c>
      <c r="D769" s="15" t="s">
        <v>3753</v>
      </c>
      <c r="E769" s="16" t="str">
        <f aca="false">HYPERLINK("#'Forrásszöveg'!A"&amp;(MATCH("TV-S0762",Forrásszöveg!$A$6:$A$2497,0)+5),"44. § (1) eleje")</f>
        <v>44. § (1) eleje</v>
      </c>
      <c r="F769" s="16" t="str">
        <f aca="false">HYPERLINK("https://net.jogtar.hu/jogszabaly?docid=a2400069.tv#pr764id","Jogtár megnyitása")</f>
        <v>Jogtár megnyitása</v>
      </c>
    </row>
    <row r="770" customFormat="false" ht="34" hidden="false" customHeight="true" outlineLevel="0" collapsed="false">
      <c r="A770" s="15" t="s">
        <v>3754</v>
      </c>
      <c r="B770" s="15" t="s">
        <v>1299</v>
      </c>
      <c r="C770" s="15" t="s">
        <v>3755</v>
      </c>
      <c r="D770" s="15" t="s">
        <v>3756</v>
      </c>
      <c r="E770" s="16" t="str">
        <f aca="false">HYPERLINK("#'Forrásszöveg'!A"&amp;(MATCH("TV-S0762",Forrásszöveg!$A$6:$A$2497,0)+5),"44. § (1) eleje")</f>
        <v>44. § (1) eleje</v>
      </c>
      <c r="F770" s="16" t="str">
        <f aca="false">HYPERLINK("https://net.jogtar.hu/jogszabaly?docid=a2400069.tv#pr765id","Jogtár megnyitása")</f>
        <v>Jogtár megnyitása</v>
      </c>
    </row>
    <row r="771" customFormat="false" ht="52" hidden="false" customHeight="true" outlineLevel="0" collapsed="false">
      <c r="A771" s="15" t="s">
        <v>3757</v>
      </c>
      <c r="B771" s="15" t="s">
        <v>1299</v>
      </c>
      <c r="C771" s="15" t="s">
        <v>3758</v>
      </c>
      <c r="D771" s="15" t="s">
        <v>3759</v>
      </c>
      <c r="E771" s="16" t="str">
        <f aca="false">HYPERLINK("#'Forrásszöveg'!A"&amp;(MATCH("TV-S0766",Forrásszöveg!$A$6:$A$2497,0)+5),"44. § (2) eleje")</f>
        <v>44. § (2) eleje</v>
      </c>
      <c r="F771" s="16" t="str">
        <f aca="false">HYPERLINK("https://net.jogtar.hu/jogszabaly?docid=a2400069.tv#pr766id","Jogtár megnyitása")</f>
        <v>Jogtár megnyitása</v>
      </c>
    </row>
    <row r="772" customFormat="false" ht="34" hidden="false" customHeight="true" outlineLevel="0" collapsed="false">
      <c r="A772" s="15" t="s">
        <v>3760</v>
      </c>
      <c r="B772" s="15" t="s">
        <v>1299</v>
      </c>
      <c r="C772" s="15" t="s">
        <v>3761</v>
      </c>
      <c r="D772" s="15" t="s">
        <v>3762</v>
      </c>
      <c r="E772" s="16" t="str">
        <f aca="false">HYPERLINK("#'Forrásszöveg'!A"&amp;(MATCH("TV-S0766",Forrásszöveg!$A$6:$A$2497,0)+5),"44. § (2) eleje")</f>
        <v>44. § (2) eleje</v>
      </c>
      <c r="F772" s="16" t="str">
        <f aca="false">HYPERLINK("https://net.jogtar.hu/jogszabaly?docid=a2400069.tv#pr767id","Jogtár megnyitása")</f>
        <v>Jogtár megnyitása</v>
      </c>
    </row>
    <row r="773" customFormat="false" ht="34" hidden="false" customHeight="true" outlineLevel="0" collapsed="false">
      <c r="A773" s="15" t="s">
        <v>3763</v>
      </c>
      <c r="B773" s="15" t="s">
        <v>1299</v>
      </c>
      <c r="C773" s="15" t="s">
        <v>3764</v>
      </c>
      <c r="D773" s="15" t="s">
        <v>3765</v>
      </c>
      <c r="E773" s="16" t="str">
        <f aca="false">HYPERLINK("#'Forrásszöveg'!A"&amp;(MATCH("TV-S0766",Forrásszöveg!$A$6:$A$2497,0)+5),"44. § (2) eleje")</f>
        <v>44. § (2) eleje</v>
      </c>
      <c r="F773" s="16" t="str">
        <f aca="false">HYPERLINK("https://net.jogtar.hu/jogszabaly?docid=a2400069.tv#pr768id","Jogtár megnyitása")</f>
        <v>Jogtár megnyitása</v>
      </c>
    </row>
    <row r="774" customFormat="false" ht="34" hidden="false" customHeight="true" outlineLevel="0" collapsed="false">
      <c r="A774" s="15" t="s">
        <v>3766</v>
      </c>
      <c r="B774" s="15" t="s">
        <v>1299</v>
      </c>
      <c r="C774" s="15" t="s">
        <v>3758</v>
      </c>
      <c r="D774" s="15" t="s">
        <v>3767</v>
      </c>
      <c r="E774" s="16" t="str">
        <f aca="false">HYPERLINK("#'Forrásszöveg'!A"&amp;(MATCH("TV-S0766",Forrásszöveg!$A$6:$A$2497,0)+5),"44. § (2) eleje")</f>
        <v>44. § (2) eleje</v>
      </c>
      <c r="F774" s="16" t="str">
        <f aca="false">HYPERLINK("https://net.jogtar.hu/jogszabaly?docid=a2400069.tv#pr769id","Jogtár megnyitása")</f>
        <v>Jogtár megnyitása</v>
      </c>
    </row>
    <row r="775" customFormat="false" ht="80" hidden="false" customHeight="true" outlineLevel="0" collapsed="false">
      <c r="A775" s="15" t="s">
        <v>3768</v>
      </c>
      <c r="B775" s="15" t="s">
        <v>1299</v>
      </c>
      <c r="C775" s="15" t="s">
        <v>3769</v>
      </c>
      <c r="D775" s="15" t="s">
        <v>3770</v>
      </c>
      <c r="E775" s="16" t="str">
        <f aca="false">HYPERLINK("#'Forrásszöveg'!A"&amp;(MATCH("TV-S0770",Forrásszöveg!$A$6:$A$2497,0)+5),"44. § (3) eleje")</f>
        <v>44. § (3) eleje</v>
      </c>
      <c r="F775" s="16" t="str">
        <f aca="false">HYPERLINK("https://net.jogtar.hu/jogszabaly?docid=a2400069.tv#pr770id","Jogtár megnyitása")</f>
        <v>Jogtár megnyitása</v>
      </c>
    </row>
    <row r="776" customFormat="false" ht="38" hidden="false" customHeight="true" outlineLevel="0" collapsed="false">
      <c r="A776" s="15" t="s">
        <v>3771</v>
      </c>
      <c r="B776" s="15" t="s">
        <v>1299</v>
      </c>
      <c r="C776" s="15" t="s">
        <v>1377</v>
      </c>
      <c r="D776" s="15" t="s">
        <v>1377</v>
      </c>
      <c r="E776" s="16" t="str">
        <f aca="false">HYPERLINK("#'Forrásszöveg'!A"&amp;(MATCH("TV-S0762",Forrásszöveg!$A$6:$A$2497,0)+5),"44. § eleje")</f>
        <v>44. § eleje</v>
      </c>
      <c r="F776" s="16" t="str">
        <f aca="false">HYPERLINK("https://net.jogtar.hu/jogszabaly?docid=a2400069.tv#pr771id","Jogtár megnyitása")</f>
        <v>Jogtár megnyitása</v>
      </c>
    </row>
    <row r="777" customFormat="false" ht="34" hidden="false" customHeight="true" outlineLevel="0" collapsed="false">
      <c r="A777" s="15" t="s">
        <v>3772</v>
      </c>
      <c r="B777" s="15" t="s">
        <v>1299</v>
      </c>
      <c r="C777" s="15" t="s">
        <v>3773</v>
      </c>
      <c r="D777" s="15" t="s">
        <v>3774</v>
      </c>
      <c r="E777" s="16" t="str">
        <f aca="false">HYPERLINK("#'Forrásszöveg'!A"&amp;(MATCH("TV-S0772",Forrásszöveg!$A$6:$A$2497,0)+5),"45. § (1) eleje")</f>
        <v>45. § (1) eleje</v>
      </c>
      <c r="F777" s="16" t="str">
        <f aca="false">HYPERLINK("https://net.jogtar.hu/jogszabaly?docid=a2400069.tv#pr772id","Jogtár megnyitása")</f>
        <v>Jogtár megnyitása</v>
      </c>
    </row>
    <row r="778" customFormat="false" ht="34" hidden="false" customHeight="true" outlineLevel="0" collapsed="false">
      <c r="A778" s="15" t="s">
        <v>3775</v>
      </c>
      <c r="B778" s="15" t="s">
        <v>1299</v>
      </c>
      <c r="C778" s="15" t="s">
        <v>3776</v>
      </c>
      <c r="D778" s="15" t="s">
        <v>3264</v>
      </c>
      <c r="E778" s="16" t="str">
        <f aca="false">HYPERLINK("#'Forrásszöveg'!A"&amp;(MATCH("TV-S0772",Forrásszöveg!$A$6:$A$2497,0)+5),"45. § (1) eleje")</f>
        <v>45. § (1) eleje</v>
      </c>
      <c r="F778" s="16" t="str">
        <f aca="false">HYPERLINK("https://net.jogtar.hu/jogszabaly?docid=a2400069.tv#pr773id","Jogtár megnyitása")</f>
        <v>Jogtár megnyitása</v>
      </c>
    </row>
    <row r="779" customFormat="false" ht="38" hidden="false" customHeight="true" outlineLevel="0" collapsed="false">
      <c r="A779" s="15" t="s">
        <v>3777</v>
      </c>
      <c r="B779" s="15" t="s">
        <v>1299</v>
      </c>
      <c r="C779" s="15" t="s">
        <v>3778</v>
      </c>
      <c r="D779" s="15" t="s">
        <v>3779</v>
      </c>
      <c r="E779" s="16" t="str">
        <f aca="false">HYPERLINK("#'Forrásszöveg'!A"&amp;(MATCH("TV-S0772",Forrásszöveg!$A$6:$A$2497,0)+5),"45. § (1) eleje")</f>
        <v>45. § (1) eleje</v>
      </c>
      <c r="F779" s="16" t="str">
        <f aca="false">HYPERLINK("https://net.jogtar.hu/jogszabaly?docid=a2400069.tv#pr774id","Jogtár megnyitása")</f>
        <v>Jogtár megnyitása</v>
      </c>
    </row>
    <row r="780" customFormat="false" ht="34" hidden="false" customHeight="true" outlineLevel="0" collapsed="false">
      <c r="A780" s="15" t="s">
        <v>3780</v>
      </c>
      <c r="B780" s="15" t="s">
        <v>1299</v>
      </c>
      <c r="C780" s="15" t="s">
        <v>3773</v>
      </c>
      <c r="D780" s="15" t="s">
        <v>2961</v>
      </c>
      <c r="E780" s="16" t="str">
        <f aca="false">HYPERLINK("#'Forrásszöveg'!A"&amp;(MATCH("TV-S0772",Forrásszöveg!$A$6:$A$2497,0)+5),"45. § (1) eleje")</f>
        <v>45. § (1) eleje</v>
      </c>
      <c r="F780" s="16" t="str">
        <f aca="false">HYPERLINK("https://net.jogtar.hu/jogszabaly?docid=a2400069.tv#pr775id","Jogtár megnyitása")</f>
        <v>Jogtár megnyitása</v>
      </c>
    </row>
    <row r="781" customFormat="false" ht="66" hidden="false" customHeight="true" outlineLevel="0" collapsed="false">
      <c r="A781" s="15" t="s">
        <v>3781</v>
      </c>
      <c r="B781" s="15" t="s">
        <v>1299</v>
      </c>
      <c r="C781" s="15" t="s">
        <v>3782</v>
      </c>
      <c r="D781" s="15" t="s">
        <v>3783</v>
      </c>
      <c r="E781" s="16" t="str">
        <f aca="false">HYPERLINK("#'Forrásszöveg'!A"&amp;(MATCH("TV-S0776",Forrásszöveg!$A$6:$A$2497,0)+5),"45. § (2) eleje")</f>
        <v>45. § (2) eleje</v>
      </c>
      <c r="F781" s="16" t="str">
        <f aca="false">HYPERLINK("https://net.jogtar.hu/jogszabaly?docid=a2400069.tv#pr776id","Jogtár megnyitása")</f>
        <v>Jogtár megnyitása</v>
      </c>
    </row>
    <row r="782" customFormat="false" ht="34" hidden="false" customHeight="true" outlineLevel="0" collapsed="false">
      <c r="A782" s="15" t="s">
        <v>3784</v>
      </c>
      <c r="B782" s="15" t="s">
        <v>1299</v>
      </c>
      <c r="C782" s="15" t="s">
        <v>3785</v>
      </c>
      <c r="D782" s="15" t="s">
        <v>3786</v>
      </c>
      <c r="E782" s="16" t="str">
        <f aca="false">HYPERLINK("#'Forrásszöveg'!A"&amp;(MATCH("TV-S0777",Forrásszöveg!$A$6:$A$2497,0)+5),"46. § (1) eleje")</f>
        <v>46. § (1) eleje</v>
      </c>
      <c r="F782" s="16" t="str">
        <f aca="false">HYPERLINK("https://net.jogtar.hu/jogszabaly?docid=a2400069.tv#pr777id","Jogtár megnyitása")</f>
        <v>Jogtár megnyitása</v>
      </c>
    </row>
    <row r="783" customFormat="false" ht="38" hidden="false" customHeight="true" outlineLevel="0" collapsed="false">
      <c r="A783" s="15" t="s">
        <v>3787</v>
      </c>
      <c r="B783" s="15" t="s">
        <v>1299</v>
      </c>
      <c r="C783" s="15" t="s">
        <v>3788</v>
      </c>
      <c r="D783" s="15" t="s">
        <v>3789</v>
      </c>
      <c r="E783" s="16" t="str">
        <f aca="false">HYPERLINK("#'Forrásszöveg'!A"&amp;(MATCH("TV-S0777",Forrásszöveg!$A$6:$A$2497,0)+5),"46. § (1) eleje")</f>
        <v>46. § (1) eleje</v>
      </c>
      <c r="F783" s="16" t="str">
        <f aca="false">HYPERLINK("https://net.jogtar.hu/jogszabaly?docid=a2400069.tv#pr778id","Jogtár megnyitása")</f>
        <v>Jogtár megnyitása</v>
      </c>
    </row>
    <row r="784" customFormat="false" ht="34" hidden="false" customHeight="true" outlineLevel="0" collapsed="false">
      <c r="A784" s="15" t="s">
        <v>3790</v>
      </c>
      <c r="B784" s="15" t="s">
        <v>1299</v>
      </c>
      <c r="C784" s="15" t="s">
        <v>3791</v>
      </c>
      <c r="D784" s="15" t="s">
        <v>3792</v>
      </c>
      <c r="E784" s="16" t="str">
        <f aca="false">HYPERLINK("#'Forrásszöveg'!A"&amp;(MATCH("TV-S0777",Forrásszöveg!$A$6:$A$2497,0)+5),"46. § (1) eleje")</f>
        <v>46. § (1) eleje</v>
      </c>
      <c r="F784" s="16" t="str">
        <f aca="false">HYPERLINK("https://net.jogtar.hu/jogszabaly?docid=a2400069.tv#pr779id","Jogtár megnyitása")</f>
        <v>Jogtár megnyitása</v>
      </c>
    </row>
    <row r="785" customFormat="false" ht="38" hidden="false" customHeight="true" outlineLevel="0" collapsed="false">
      <c r="A785" s="15" t="s">
        <v>3793</v>
      </c>
      <c r="B785" s="15" t="s">
        <v>1299</v>
      </c>
      <c r="C785" s="15" t="s">
        <v>3794</v>
      </c>
      <c r="D785" s="15" t="s">
        <v>3795</v>
      </c>
      <c r="E785" s="16" t="str">
        <f aca="false">HYPERLINK("#'Forrásszöveg'!A"&amp;(MATCH("TV-S0777",Forrásszöveg!$A$6:$A$2497,0)+5),"46. § (1) eleje")</f>
        <v>46. § (1) eleje</v>
      </c>
      <c r="F785" s="16" t="str">
        <f aca="false">HYPERLINK("https://net.jogtar.hu/jogszabaly?docid=a2400069.tv#pr780id","Jogtár megnyitása")</f>
        <v>Jogtár megnyitása</v>
      </c>
    </row>
    <row r="786" customFormat="false" ht="34" hidden="false" customHeight="true" outlineLevel="0" collapsed="false">
      <c r="A786" s="15" t="s">
        <v>3796</v>
      </c>
      <c r="B786" s="15" t="s">
        <v>1299</v>
      </c>
      <c r="C786" s="15" t="s">
        <v>3797</v>
      </c>
      <c r="D786" s="15" t="s">
        <v>3798</v>
      </c>
      <c r="E786" s="16" t="str">
        <f aca="false">HYPERLINK("#'Forrásszöveg'!A"&amp;(MATCH("TV-S0777",Forrásszöveg!$A$6:$A$2497,0)+5),"46. § (1) eleje")</f>
        <v>46. § (1) eleje</v>
      </c>
      <c r="F786" s="16" t="str">
        <f aca="false">HYPERLINK("https://net.jogtar.hu/jogszabaly?docid=a2400069.tv#pr781id","Jogtár megnyitása")</f>
        <v>Jogtár megnyitása</v>
      </c>
    </row>
    <row r="787" customFormat="false" ht="34" hidden="false" customHeight="true" outlineLevel="0" collapsed="false">
      <c r="A787" s="15" t="s">
        <v>3799</v>
      </c>
      <c r="B787" s="15" t="s">
        <v>1299</v>
      </c>
      <c r="C787" s="15" t="s">
        <v>3800</v>
      </c>
      <c r="D787" s="15" t="s">
        <v>3801</v>
      </c>
      <c r="E787" s="16" t="str">
        <f aca="false">HYPERLINK("#'Forrásszöveg'!A"&amp;(MATCH("TV-S0777",Forrásszöveg!$A$6:$A$2497,0)+5),"46. § (1) eleje")</f>
        <v>46. § (1) eleje</v>
      </c>
      <c r="F787" s="16" t="str">
        <f aca="false">HYPERLINK("https://net.jogtar.hu/jogszabaly?docid=a2400069.tv#pr782id","Jogtár megnyitása")</f>
        <v>Jogtár megnyitása</v>
      </c>
    </row>
    <row r="788" customFormat="false" ht="34" hidden="false" customHeight="true" outlineLevel="0" collapsed="false">
      <c r="A788" s="15" t="s">
        <v>3802</v>
      </c>
      <c r="B788" s="15" t="s">
        <v>1299</v>
      </c>
      <c r="C788" s="15" t="s">
        <v>3803</v>
      </c>
      <c r="D788" s="15" t="s">
        <v>3804</v>
      </c>
      <c r="E788" s="16" t="str">
        <f aca="false">HYPERLINK("#'Forrásszöveg'!A"&amp;(MATCH("TV-S0783",Forrásszöveg!$A$6:$A$2497,0)+5),"46. § (2) eleje")</f>
        <v>46. § (2) eleje</v>
      </c>
      <c r="F788" s="16" t="str">
        <f aca="false">HYPERLINK("https://net.jogtar.hu/jogszabaly?docid=a2400069.tv#pr783id","Jogtár megnyitása")</f>
        <v>Jogtár megnyitása</v>
      </c>
    </row>
    <row r="789" customFormat="false" ht="38" hidden="false" customHeight="true" outlineLevel="0" collapsed="false">
      <c r="A789" s="15" t="s">
        <v>3805</v>
      </c>
      <c r="B789" s="15" t="s">
        <v>1299</v>
      </c>
      <c r="C789" s="15" t="s">
        <v>3806</v>
      </c>
      <c r="D789" s="15" t="s">
        <v>3807</v>
      </c>
      <c r="E789" s="16" t="str">
        <f aca="false">HYPERLINK("#'Forrásszöveg'!A"&amp;(MATCH("TV-S0783",Forrásszöveg!$A$6:$A$2497,0)+5),"46. § (2) eleje")</f>
        <v>46. § (2) eleje</v>
      </c>
      <c r="F789" s="16" t="str">
        <f aca="false">HYPERLINK("https://net.jogtar.hu/jogszabaly?docid=a2400069.tv#pr784id","Jogtár megnyitása")</f>
        <v>Jogtár megnyitása</v>
      </c>
    </row>
    <row r="790" customFormat="false" ht="38" hidden="false" customHeight="true" outlineLevel="0" collapsed="false">
      <c r="A790" s="15" t="s">
        <v>3808</v>
      </c>
      <c r="B790" s="15" t="s">
        <v>1299</v>
      </c>
      <c r="C790" s="15" t="s">
        <v>3809</v>
      </c>
      <c r="D790" s="15" t="s">
        <v>3810</v>
      </c>
      <c r="E790" s="16" t="str">
        <f aca="false">HYPERLINK("#'Forrásszöveg'!A"&amp;(MATCH("TV-S0783",Forrásszöveg!$A$6:$A$2497,0)+5),"46. § (2) eleje")</f>
        <v>46. § (2) eleje</v>
      </c>
      <c r="F790" s="16" t="str">
        <f aca="false">HYPERLINK("https://net.jogtar.hu/jogszabaly?docid=a2400069.tv#pr785id","Jogtár megnyitása")</f>
        <v>Jogtár megnyitása</v>
      </c>
    </row>
    <row r="791" customFormat="false" ht="38" hidden="false" customHeight="true" outlineLevel="0" collapsed="false">
      <c r="A791" s="15" t="s">
        <v>3811</v>
      </c>
      <c r="B791" s="15" t="s">
        <v>1299</v>
      </c>
      <c r="C791" s="15" t="s">
        <v>3812</v>
      </c>
      <c r="D791" s="15" t="s">
        <v>3813</v>
      </c>
      <c r="E791" s="16" t="str">
        <f aca="false">HYPERLINK("#'Forrásszöveg'!A"&amp;(MATCH("TV-S0783",Forrásszöveg!$A$6:$A$2497,0)+5),"46. § (2) eleje")</f>
        <v>46. § (2) eleje</v>
      </c>
      <c r="F791" s="16" t="str">
        <f aca="false">HYPERLINK("https://net.jogtar.hu/jogszabaly?docid=a2400069.tv#pr786id","Jogtár megnyitása")</f>
        <v>Jogtár megnyitása</v>
      </c>
    </row>
    <row r="792" customFormat="false" ht="34" hidden="false" customHeight="true" outlineLevel="0" collapsed="false">
      <c r="A792" s="15" t="s">
        <v>3814</v>
      </c>
      <c r="B792" s="15" t="s">
        <v>1299</v>
      </c>
      <c r="C792" s="15" t="s">
        <v>3815</v>
      </c>
      <c r="D792" s="15" t="s">
        <v>3816</v>
      </c>
      <c r="E792" s="16" t="str">
        <f aca="false">HYPERLINK("#'Forrásszöveg'!A"&amp;(MATCH("TV-S0787",Forrásszöveg!$A$6:$A$2497,0)+5),"46. § (3) eleje")</f>
        <v>46. § (3) eleje</v>
      </c>
      <c r="F792" s="16" t="str">
        <f aca="false">HYPERLINK("https://net.jogtar.hu/jogszabaly?docid=a2400069.tv#pr787id","Jogtár megnyitása")</f>
        <v>Jogtár megnyitása</v>
      </c>
    </row>
    <row r="793" customFormat="false" ht="34" hidden="false" customHeight="true" outlineLevel="0" collapsed="false">
      <c r="A793" s="15" t="s">
        <v>3817</v>
      </c>
      <c r="B793" s="15" t="s">
        <v>1299</v>
      </c>
      <c r="C793" s="15" t="s">
        <v>3818</v>
      </c>
      <c r="D793" s="15" t="s">
        <v>3819</v>
      </c>
      <c r="E793" s="16" t="str">
        <f aca="false">HYPERLINK("#'Forrásszöveg'!A"&amp;(MATCH("TV-S0788",Forrásszöveg!$A$6:$A$2497,0)+5),"47. § (1) eleje")</f>
        <v>47. § (1) eleje</v>
      </c>
      <c r="F793" s="16" t="str">
        <f aca="false">HYPERLINK("https://net.jogtar.hu/jogszabaly?docid=a2400069.tv#pr788id","Jogtár megnyitása")</f>
        <v>Jogtár megnyitása</v>
      </c>
    </row>
    <row r="794" customFormat="false" ht="34" hidden="false" customHeight="true" outlineLevel="0" collapsed="false">
      <c r="A794" s="15" t="s">
        <v>3820</v>
      </c>
      <c r="B794" s="15" t="s">
        <v>1299</v>
      </c>
      <c r="C794" s="15" t="s">
        <v>3821</v>
      </c>
      <c r="D794" s="15" t="s">
        <v>3822</v>
      </c>
      <c r="E794" s="16" t="str">
        <f aca="false">HYPERLINK("#'Forrásszöveg'!A"&amp;(MATCH("TV-S0789",Forrásszöveg!$A$6:$A$2497,0)+5),"47. § (2) eleje")</f>
        <v>47. § (2) eleje</v>
      </c>
      <c r="F794" s="16" t="str">
        <f aca="false">HYPERLINK("https://net.jogtar.hu/jogszabaly?docid=a2400069.tv#pr789id","Jogtár megnyitása")</f>
        <v>Jogtár megnyitása</v>
      </c>
    </row>
    <row r="795" customFormat="false" ht="66" hidden="false" customHeight="true" outlineLevel="0" collapsed="false">
      <c r="A795" s="15" t="s">
        <v>3823</v>
      </c>
      <c r="B795" s="15" t="s">
        <v>1299</v>
      </c>
      <c r="C795" s="15" t="s">
        <v>3824</v>
      </c>
      <c r="D795" s="15" t="s">
        <v>3825</v>
      </c>
      <c r="E795" s="16" t="str">
        <f aca="false">HYPERLINK("#'Forrásszöveg'!A"&amp;(MATCH("TV-S0790",Forrásszöveg!$A$6:$A$2497,0)+5),"47. § (3) eleje")</f>
        <v>47. § (3) eleje</v>
      </c>
      <c r="F795" s="16" t="str">
        <f aca="false">HYPERLINK("https://net.jogtar.hu/jogszabaly?docid=a2400069.tv#pr790id","Jogtár megnyitása")</f>
        <v>Jogtár megnyitása</v>
      </c>
    </row>
    <row r="796" customFormat="false" ht="52" hidden="false" customHeight="true" outlineLevel="0" collapsed="false">
      <c r="A796" s="15" t="s">
        <v>3826</v>
      </c>
      <c r="B796" s="15" t="s">
        <v>1299</v>
      </c>
      <c r="C796" s="15" t="s">
        <v>3827</v>
      </c>
      <c r="D796" s="15" t="s">
        <v>3828</v>
      </c>
      <c r="E796" s="16" t="str">
        <f aca="false">HYPERLINK("#'Forrásszöveg'!A"&amp;(MATCH("TV-S0791",Forrásszöveg!$A$6:$A$2497,0)+5),"47. § (4) eleje")</f>
        <v>47. § (4) eleje</v>
      </c>
      <c r="F796" s="16" t="str">
        <f aca="false">HYPERLINK("https://net.jogtar.hu/jogszabaly?docid=a2400069.tv#pr791id","Jogtár megnyitása")</f>
        <v>Jogtár megnyitása</v>
      </c>
    </row>
    <row r="797" customFormat="false" ht="34" hidden="false" customHeight="true" outlineLevel="0" collapsed="false">
      <c r="A797" s="15" t="s">
        <v>3829</v>
      </c>
      <c r="B797" s="15" t="s">
        <v>1299</v>
      </c>
      <c r="C797" s="15" t="s">
        <v>3830</v>
      </c>
      <c r="D797" s="15" t="s">
        <v>3831</v>
      </c>
      <c r="E797" s="16" t="str">
        <f aca="false">HYPERLINK("#'Forrásszöveg'!A"&amp;(MATCH("TV-S0791",Forrásszöveg!$A$6:$A$2497,0)+5),"47. § (4) eleje")</f>
        <v>47. § (4) eleje</v>
      </c>
      <c r="F797" s="16" t="str">
        <f aca="false">HYPERLINK("https://net.jogtar.hu/jogszabaly?docid=a2400069.tv#pr792id","Jogtár megnyitása")</f>
        <v>Jogtár megnyitása</v>
      </c>
    </row>
    <row r="798" customFormat="false" ht="52" hidden="false" customHeight="true" outlineLevel="0" collapsed="false">
      <c r="A798" s="15" t="s">
        <v>3832</v>
      </c>
      <c r="B798" s="15" t="s">
        <v>1299</v>
      </c>
      <c r="C798" s="15" t="s">
        <v>3833</v>
      </c>
      <c r="D798" s="15" t="s">
        <v>3834</v>
      </c>
      <c r="E798" s="16" t="str">
        <f aca="false">HYPERLINK("#'Forrásszöveg'!A"&amp;(MATCH("TV-S0791",Forrásszöveg!$A$6:$A$2497,0)+5),"47. § (4) eleje")</f>
        <v>47. § (4) eleje</v>
      </c>
      <c r="F798" s="16" t="str">
        <f aca="false">HYPERLINK("https://net.jogtar.hu/jogszabaly?docid=a2400069.tv#pr793id","Jogtár megnyitása")</f>
        <v>Jogtár megnyitása</v>
      </c>
    </row>
    <row r="799" customFormat="false" ht="38" hidden="false" customHeight="true" outlineLevel="0" collapsed="false">
      <c r="A799" s="15" t="s">
        <v>3835</v>
      </c>
      <c r="B799" s="15" t="s">
        <v>1299</v>
      </c>
      <c r="C799" s="15" t="s">
        <v>3836</v>
      </c>
      <c r="D799" s="15" t="s">
        <v>3837</v>
      </c>
      <c r="E799" s="16" t="str">
        <f aca="false">HYPERLINK("#'Forrásszöveg'!A"&amp;(MATCH("TV-S0794",Forrásszöveg!$A$6:$A$2497,0)+5),"47. § (5) eleje")</f>
        <v>47. § (5) eleje</v>
      </c>
      <c r="F799" s="16" t="str">
        <f aca="false">HYPERLINK("https://net.jogtar.hu/jogszabaly?docid=a2400069.tv#pr794id","Jogtár megnyitása")</f>
        <v>Jogtár megnyitása</v>
      </c>
    </row>
    <row r="800" customFormat="false" ht="38" hidden="false" customHeight="true" outlineLevel="0" collapsed="false">
      <c r="A800" s="15" t="s">
        <v>3838</v>
      </c>
      <c r="B800" s="15" t="s">
        <v>1299</v>
      </c>
      <c r="C800" s="15" t="s">
        <v>3839</v>
      </c>
      <c r="D800" s="15" t="s">
        <v>3840</v>
      </c>
      <c r="E800" s="16" t="str">
        <f aca="false">HYPERLINK("#'Forrásszöveg'!A"&amp;(MATCH("TV-S0795",Forrásszöveg!$A$6:$A$2497,0)+5),"47. § (6) eleje")</f>
        <v>47. § (6) eleje</v>
      </c>
      <c r="F800" s="16" t="str">
        <f aca="false">HYPERLINK("https://net.jogtar.hu/jogszabaly?docid=a2400069.tv#pr795id","Jogtár megnyitása")</f>
        <v>Jogtár megnyitása</v>
      </c>
    </row>
    <row r="801" customFormat="false" ht="52" hidden="false" customHeight="true" outlineLevel="0" collapsed="false">
      <c r="A801" s="15" t="s">
        <v>3841</v>
      </c>
      <c r="B801" s="15" t="s">
        <v>1299</v>
      </c>
      <c r="C801" s="15" t="s">
        <v>3842</v>
      </c>
      <c r="D801" s="15" t="s">
        <v>3843</v>
      </c>
      <c r="E801" s="16" t="str">
        <f aca="false">HYPERLINK("#'Forrásszöveg'!A"&amp;(MATCH("TV-S0796",Forrásszöveg!$A$6:$A$2497,0)+5),"47. § (7) eleje")</f>
        <v>47. § (7) eleje</v>
      </c>
      <c r="F801" s="16" t="str">
        <f aca="false">HYPERLINK("https://net.jogtar.hu/jogszabaly?docid=a2400069.tv#pr796id","Jogtár megnyitása")</f>
        <v>Jogtár megnyitása</v>
      </c>
    </row>
    <row r="802" customFormat="false" ht="34" hidden="false" customHeight="true" outlineLevel="0" collapsed="false">
      <c r="A802" s="15" t="s">
        <v>3844</v>
      </c>
      <c r="B802" s="15" t="s">
        <v>1299</v>
      </c>
      <c r="C802" s="15" t="s">
        <v>3845</v>
      </c>
      <c r="D802" s="15" t="s">
        <v>3846</v>
      </c>
      <c r="E802" s="16" t="str">
        <f aca="false">HYPERLINK("#'Forrásszöveg'!A"&amp;(MATCH("TV-S0797",Forrásszöveg!$A$6:$A$2497,0)+5),"47. § (8) eleje")</f>
        <v>47. § (8) eleje</v>
      </c>
      <c r="F802" s="16" t="str">
        <f aca="false">HYPERLINK("https://net.jogtar.hu/jogszabaly?docid=a2400069.tv#pr797id","Jogtár megnyitása")</f>
        <v>Jogtár megnyitása</v>
      </c>
    </row>
    <row r="803" customFormat="false" ht="38" hidden="false" customHeight="true" outlineLevel="0" collapsed="false">
      <c r="A803" s="15" t="s">
        <v>3847</v>
      </c>
      <c r="B803" s="15" t="s">
        <v>1299</v>
      </c>
      <c r="C803" s="15" t="s">
        <v>3848</v>
      </c>
      <c r="D803" s="15" t="s">
        <v>3849</v>
      </c>
      <c r="E803" s="16" t="str">
        <f aca="false">HYPERLINK("#'Forrásszöveg'!A"&amp;(MATCH("TV-S0797",Forrásszöveg!$A$6:$A$2497,0)+5),"47. § (8) eleje")</f>
        <v>47. § (8) eleje</v>
      </c>
      <c r="F803" s="16" t="str">
        <f aca="false">HYPERLINK("https://net.jogtar.hu/jogszabaly?docid=a2400069.tv#pr798id","Jogtár megnyitása")</f>
        <v>Jogtár megnyitása</v>
      </c>
    </row>
    <row r="804" customFormat="false" ht="38" hidden="false" customHeight="true" outlineLevel="0" collapsed="false">
      <c r="A804" s="15" t="s">
        <v>3850</v>
      </c>
      <c r="B804" s="15" t="s">
        <v>1299</v>
      </c>
      <c r="C804" s="15" t="s">
        <v>3851</v>
      </c>
      <c r="D804" s="15" t="s">
        <v>3852</v>
      </c>
      <c r="E804" s="16" t="str">
        <f aca="false">HYPERLINK("#'Forrásszöveg'!A"&amp;(MATCH("TV-S0797",Forrásszöveg!$A$6:$A$2497,0)+5),"47. § (8) eleje")</f>
        <v>47. § (8) eleje</v>
      </c>
      <c r="F804" s="16" t="str">
        <f aca="false">HYPERLINK("https://net.jogtar.hu/jogszabaly?docid=a2400069.tv#pr799id","Jogtár megnyitása")</f>
        <v>Jogtár megnyitása</v>
      </c>
    </row>
    <row r="805" customFormat="false" ht="38" hidden="false" customHeight="true" outlineLevel="0" collapsed="false">
      <c r="A805" s="15" t="s">
        <v>3853</v>
      </c>
      <c r="B805" s="15" t="s">
        <v>1299</v>
      </c>
      <c r="C805" s="15" t="s">
        <v>3854</v>
      </c>
      <c r="D805" s="15" t="s">
        <v>3855</v>
      </c>
      <c r="E805" s="16" t="str">
        <f aca="false">HYPERLINK("#'Forrásszöveg'!A"&amp;(MATCH("TV-S0800",Forrásszöveg!$A$6:$A$2497,0)+5),"47. § (9) eleje")</f>
        <v>47. § (9) eleje</v>
      </c>
      <c r="F805" s="16" t="str">
        <f aca="false">HYPERLINK("https://net.jogtar.hu/jogszabaly?docid=a2400069.tv#pr800id","Jogtár megnyitása")</f>
        <v>Jogtár megnyitása</v>
      </c>
    </row>
    <row r="806" customFormat="false" ht="66" hidden="false" customHeight="true" outlineLevel="0" collapsed="false">
      <c r="A806" s="15" t="s">
        <v>3856</v>
      </c>
      <c r="B806" s="15" t="s">
        <v>1299</v>
      </c>
      <c r="C806" s="15" t="s">
        <v>3857</v>
      </c>
      <c r="D806" s="15" t="s">
        <v>3858</v>
      </c>
      <c r="E806" s="16" t="str">
        <f aca="false">HYPERLINK("#'Forrásszöveg'!A"&amp;(MATCH("TV-S0801",Forrásszöveg!$A$6:$A$2497,0)+5),"47. § (10) eleje")</f>
        <v>47. § (10) eleje</v>
      </c>
      <c r="F806" s="16" t="str">
        <f aca="false">HYPERLINK("https://net.jogtar.hu/jogszabaly?docid=a2400069.tv#pr801id","Jogtár megnyitása")</f>
        <v>Jogtár megnyitása</v>
      </c>
    </row>
    <row r="807" customFormat="false" ht="34" hidden="false" customHeight="true" outlineLevel="0" collapsed="false">
      <c r="A807" s="15" t="s">
        <v>3859</v>
      </c>
      <c r="B807" s="15" t="s">
        <v>1299</v>
      </c>
      <c r="C807" s="15" t="s">
        <v>3860</v>
      </c>
      <c r="D807" s="15" t="s">
        <v>3861</v>
      </c>
      <c r="E807" s="16" t="str">
        <f aca="false">HYPERLINK("#'Forrásszöveg'!A"&amp;(MATCH("TV-S0802",Forrásszöveg!$A$6:$A$2497,0)+5),"48. § (1) eleje")</f>
        <v>48. § (1) eleje</v>
      </c>
      <c r="F807" s="16" t="str">
        <f aca="false">HYPERLINK("https://net.jogtar.hu/jogszabaly?docid=a2400069.tv#pr802id","Jogtár megnyitása")</f>
        <v>Jogtár megnyitása</v>
      </c>
    </row>
    <row r="808" customFormat="false" ht="38" hidden="false" customHeight="true" outlineLevel="0" collapsed="false">
      <c r="A808" s="15" t="s">
        <v>3862</v>
      </c>
      <c r="B808" s="15" t="s">
        <v>1299</v>
      </c>
      <c r="C808" s="15" t="s">
        <v>3863</v>
      </c>
      <c r="D808" s="15" t="s">
        <v>3864</v>
      </c>
      <c r="E808" s="16" t="str">
        <f aca="false">HYPERLINK("#'Forrásszöveg'!A"&amp;(MATCH("TV-S0802",Forrásszöveg!$A$6:$A$2497,0)+5),"48. § (1) eleje")</f>
        <v>48. § (1) eleje</v>
      </c>
      <c r="F808" s="16" t="str">
        <f aca="false">HYPERLINK("https://net.jogtar.hu/jogszabaly?docid=a2400069.tv#pr803id","Jogtár megnyitása")</f>
        <v>Jogtár megnyitása</v>
      </c>
    </row>
    <row r="809" customFormat="false" ht="38" hidden="false" customHeight="true" outlineLevel="0" collapsed="false">
      <c r="A809" s="15" t="s">
        <v>3865</v>
      </c>
      <c r="B809" s="15" t="s">
        <v>1299</v>
      </c>
      <c r="C809" s="15" t="s">
        <v>3866</v>
      </c>
      <c r="D809" s="15" t="s">
        <v>3867</v>
      </c>
      <c r="E809" s="16" t="str">
        <f aca="false">HYPERLINK("#'Forrásszöveg'!A"&amp;(MATCH("TV-S0802",Forrásszöveg!$A$6:$A$2497,0)+5),"48. § (1) eleje")</f>
        <v>48. § (1) eleje</v>
      </c>
      <c r="F809" s="16" t="str">
        <f aca="false">HYPERLINK("https://net.jogtar.hu/jogszabaly?docid=a2400069.tv#pr804id","Jogtár megnyitása")</f>
        <v>Jogtár megnyitása</v>
      </c>
    </row>
    <row r="810" customFormat="false" ht="66" hidden="false" customHeight="true" outlineLevel="0" collapsed="false">
      <c r="A810" s="15" t="s">
        <v>3868</v>
      </c>
      <c r="B810" s="15" t="s">
        <v>1299</v>
      </c>
      <c r="C810" s="15" t="s">
        <v>3869</v>
      </c>
      <c r="D810" s="15" t="s">
        <v>3870</v>
      </c>
      <c r="E810" s="16" t="str">
        <f aca="false">HYPERLINK("#'Forrásszöveg'!A"&amp;(MATCH("TV-S0802",Forrásszöveg!$A$6:$A$2497,0)+5),"48. § (1) eleje")</f>
        <v>48. § (1) eleje</v>
      </c>
      <c r="F810" s="16" t="str">
        <f aca="false">HYPERLINK("https://net.jogtar.hu/jogszabaly?docid=a2400069.tv#pr805id","Jogtár megnyitása")</f>
        <v>Jogtár megnyitása</v>
      </c>
    </row>
    <row r="811" customFormat="false" ht="38" hidden="false" customHeight="true" outlineLevel="0" collapsed="false">
      <c r="A811" s="15" t="s">
        <v>3871</v>
      </c>
      <c r="B811" s="15" t="s">
        <v>1299</v>
      </c>
      <c r="C811" s="15" t="s">
        <v>3872</v>
      </c>
      <c r="D811" s="15" t="s">
        <v>3873</v>
      </c>
      <c r="E811" s="16" t="str">
        <f aca="false">HYPERLINK("#'Forrásszöveg'!A"&amp;(MATCH("TV-S0802",Forrásszöveg!$A$6:$A$2497,0)+5),"48. § (1) eleje")</f>
        <v>48. § (1) eleje</v>
      </c>
      <c r="F811" s="16" t="str">
        <f aca="false">HYPERLINK("https://net.jogtar.hu/jogszabaly?docid=a2400069.tv#pr806id","Jogtár megnyitása")</f>
        <v>Jogtár megnyitása</v>
      </c>
    </row>
    <row r="812" customFormat="false" ht="38" hidden="false" customHeight="true" outlineLevel="0" collapsed="false">
      <c r="A812" s="15" t="s">
        <v>3874</v>
      </c>
      <c r="B812" s="15" t="s">
        <v>1299</v>
      </c>
      <c r="C812" s="15" t="s">
        <v>3875</v>
      </c>
      <c r="D812" s="15" t="s">
        <v>3876</v>
      </c>
      <c r="E812" s="16" t="str">
        <f aca="false">HYPERLINK("#'Forrásszöveg'!A"&amp;(MATCH("TV-S0802",Forrásszöveg!$A$6:$A$2497,0)+5),"48. § (1) eleje")</f>
        <v>48. § (1) eleje</v>
      </c>
      <c r="F812" s="16" t="str">
        <f aca="false">HYPERLINK("https://net.jogtar.hu/jogszabaly?docid=a2400069.tv#pr807id","Jogtár megnyitása")</f>
        <v>Jogtár megnyitása</v>
      </c>
    </row>
    <row r="813" customFormat="false" ht="38" hidden="false" customHeight="true" outlineLevel="0" collapsed="false">
      <c r="A813" s="15" t="s">
        <v>3877</v>
      </c>
      <c r="B813" s="15" t="s">
        <v>1299</v>
      </c>
      <c r="C813" s="15" t="s">
        <v>3878</v>
      </c>
      <c r="D813" s="15" t="s">
        <v>3879</v>
      </c>
      <c r="E813" s="16" t="str">
        <f aca="false">HYPERLINK("#'Forrásszöveg'!A"&amp;(MATCH("TV-S0802",Forrásszöveg!$A$6:$A$2497,0)+5),"48. § (1) eleje")</f>
        <v>48. § (1) eleje</v>
      </c>
      <c r="F813" s="16" t="str">
        <f aca="false">HYPERLINK("https://net.jogtar.hu/jogszabaly?docid=a2400069.tv#pr808id","Jogtár megnyitása")</f>
        <v>Jogtár megnyitása</v>
      </c>
    </row>
    <row r="814" customFormat="false" ht="38" hidden="false" customHeight="true" outlineLevel="0" collapsed="false">
      <c r="A814" s="15" t="s">
        <v>3880</v>
      </c>
      <c r="B814" s="15" t="s">
        <v>1299</v>
      </c>
      <c r="C814" s="15" t="s">
        <v>3881</v>
      </c>
      <c r="D814" s="15" t="s">
        <v>3882</v>
      </c>
      <c r="E814" s="16" t="str">
        <f aca="false">HYPERLINK("#'Forrásszöveg'!A"&amp;(MATCH("TV-S0802",Forrásszöveg!$A$6:$A$2497,0)+5),"48. § (1) eleje")</f>
        <v>48. § (1) eleje</v>
      </c>
      <c r="F814" s="16" t="str">
        <f aca="false">HYPERLINK("https://net.jogtar.hu/jogszabaly?docid=a2400069.tv#pr809id","Jogtár megnyitása")</f>
        <v>Jogtár megnyitása</v>
      </c>
    </row>
    <row r="815" customFormat="false" ht="34" hidden="false" customHeight="true" outlineLevel="0" collapsed="false">
      <c r="A815" s="15" t="s">
        <v>3883</v>
      </c>
      <c r="B815" s="15" t="s">
        <v>1299</v>
      </c>
      <c r="C815" s="15" t="s">
        <v>3884</v>
      </c>
      <c r="D815" s="15" t="s">
        <v>3885</v>
      </c>
      <c r="E815" s="16" t="str">
        <f aca="false">HYPERLINK("#'Forrásszöveg'!A"&amp;(MATCH("TV-S0802",Forrásszöveg!$A$6:$A$2497,0)+5),"48. § (1) eleje")</f>
        <v>48. § (1) eleje</v>
      </c>
      <c r="F815" s="16" t="str">
        <f aca="false">HYPERLINK("https://net.jogtar.hu/jogszabaly?docid=a2400069.tv#pr810id","Jogtár megnyitása")</f>
        <v>Jogtár megnyitása</v>
      </c>
    </row>
    <row r="816" customFormat="false" ht="38" hidden="false" customHeight="true" outlineLevel="0" collapsed="false">
      <c r="A816" s="15" t="s">
        <v>3886</v>
      </c>
      <c r="B816" s="15" t="s">
        <v>1299</v>
      </c>
      <c r="C816" s="15" t="s">
        <v>3887</v>
      </c>
      <c r="D816" s="15" t="s">
        <v>3888</v>
      </c>
      <c r="E816" s="16" t="str">
        <f aca="false">HYPERLINK("#'Forrásszöveg'!A"&amp;(MATCH("TV-S0802",Forrásszöveg!$A$6:$A$2497,0)+5),"48. § (1) eleje")</f>
        <v>48. § (1) eleje</v>
      </c>
      <c r="F816" s="16" t="str">
        <f aca="false">HYPERLINK("https://net.jogtar.hu/jogszabaly?docid=a2400069.tv#pr811id","Jogtár megnyitása")</f>
        <v>Jogtár megnyitása</v>
      </c>
    </row>
    <row r="817" customFormat="false" ht="34" hidden="false" customHeight="true" outlineLevel="0" collapsed="false">
      <c r="A817" s="15" t="s">
        <v>3889</v>
      </c>
      <c r="B817" s="15" t="s">
        <v>1299</v>
      </c>
      <c r="C817" s="15" t="s">
        <v>3890</v>
      </c>
      <c r="D817" s="15" t="s">
        <v>3891</v>
      </c>
      <c r="E817" s="16" t="str">
        <f aca="false">HYPERLINK("#'Forrásszöveg'!A"&amp;(MATCH("TV-S0802",Forrásszöveg!$A$6:$A$2497,0)+5),"48. § (1) eleje")</f>
        <v>48. § (1) eleje</v>
      </c>
      <c r="F817" s="16" t="str">
        <f aca="false">HYPERLINK("https://net.jogtar.hu/jogszabaly?docid=a2400069.tv#pr812id","Jogtár megnyitása")</f>
        <v>Jogtár megnyitása</v>
      </c>
    </row>
    <row r="818" customFormat="false" ht="34" hidden="false" customHeight="true" outlineLevel="0" collapsed="false">
      <c r="A818" s="15" t="s">
        <v>3892</v>
      </c>
      <c r="B818" s="15" t="s">
        <v>1299</v>
      </c>
      <c r="C818" s="15" t="s">
        <v>3893</v>
      </c>
      <c r="D818" s="15" t="s">
        <v>3894</v>
      </c>
      <c r="E818" s="16" t="str">
        <f aca="false">HYPERLINK("#'Forrásszöveg'!A"&amp;(MATCH("TV-S0802",Forrásszöveg!$A$6:$A$2497,0)+5),"48. § (1) eleje")</f>
        <v>48. § (1) eleje</v>
      </c>
      <c r="F818" s="16" t="str">
        <f aca="false">HYPERLINK("https://net.jogtar.hu/jogszabaly?docid=a2400069.tv#pr813id","Jogtár megnyitása")</f>
        <v>Jogtár megnyitása</v>
      </c>
    </row>
    <row r="819" customFormat="false" ht="34" hidden="false" customHeight="true" outlineLevel="0" collapsed="false">
      <c r="A819" s="15" t="s">
        <v>3895</v>
      </c>
      <c r="B819" s="15" t="s">
        <v>1299</v>
      </c>
      <c r="C819" s="15" t="s">
        <v>3896</v>
      </c>
      <c r="D819" s="15" t="s">
        <v>3897</v>
      </c>
      <c r="E819" s="16" t="str">
        <f aca="false">HYPERLINK("#'Forrásszöveg'!A"&amp;(MATCH("TV-S0802",Forrásszöveg!$A$6:$A$2497,0)+5),"48. § (1) eleje")</f>
        <v>48. § (1) eleje</v>
      </c>
      <c r="F819" s="16" t="str">
        <f aca="false">HYPERLINK("https://net.jogtar.hu/jogszabaly?docid=a2400069.tv#pr814id","Jogtár megnyitása")</f>
        <v>Jogtár megnyitása</v>
      </c>
    </row>
    <row r="820" customFormat="false" ht="38" hidden="false" customHeight="true" outlineLevel="0" collapsed="false">
      <c r="A820" s="15" t="s">
        <v>3898</v>
      </c>
      <c r="B820" s="15" t="s">
        <v>1299</v>
      </c>
      <c r="C820" s="15" t="s">
        <v>3899</v>
      </c>
      <c r="D820" s="15" t="s">
        <v>3900</v>
      </c>
      <c r="E820" s="16" t="str">
        <f aca="false">HYPERLINK("#'Forrásszöveg'!A"&amp;(MATCH("TV-S0802",Forrásszöveg!$A$6:$A$2497,0)+5),"48. § (1) eleje")</f>
        <v>48. § (1) eleje</v>
      </c>
      <c r="F820" s="16" t="str">
        <f aca="false">HYPERLINK("https://net.jogtar.hu/jogszabaly?docid=a2400069.tv#pr815id","Jogtár megnyitása")</f>
        <v>Jogtár megnyitása</v>
      </c>
    </row>
    <row r="821" customFormat="false" ht="34" hidden="false" customHeight="true" outlineLevel="0" collapsed="false">
      <c r="A821" s="15" t="s">
        <v>3901</v>
      </c>
      <c r="B821" s="15" t="s">
        <v>1299</v>
      </c>
      <c r="C821" s="15" t="s">
        <v>3902</v>
      </c>
      <c r="D821" s="15" t="s">
        <v>3903</v>
      </c>
      <c r="E821" s="16" t="str">
        <f aca="false">HYPERLINK("#'Forrásszöveg'!A"&amp;(MATCH("TV-S0802",Forrásszöveg!$A$6:$A$2497,0)+5),"48. § (1) eleje")</f>
        <v>48. § (1) eleje</v>
      </c>
      <c r="F821" s="16" t="str">
        <f aca="false">HYPERLINK("https://net.jogtar.hu/jogszabaly?docid=a2400069.tv#pr816id","Jogtár megnyitása")</f>
        <v>Jogtár megnyitása</v>
      </c>
    </row>
    <row r="822" customFormat="false" ht="34" hidden="false" customHeight="true" outlineLevel="0" collapsed="false">
      <c r="A822" s="15" t="s">
        <v>3904</v>
      </c>
      <c r="B822" s="15" t="s">
        <v>1299</v>
      </c>
      <c r="C822" s="15" t="s">
        <v>3905</v>
      </c>
      <c r="D822" s="15" t="s">
        <v>3906</v>
      </c>
      <c r="E822" s="16" t="str">
        <f aca="false">HYPERLINK("#'Forrásszöveg'!A"&amp;(MATCH("TV-S0802",Forrásszöveg!$A$6:$A$2497,0)+5),"48. § (1) eleje")</f>
        <v>48. § (1) eleje</v>
      </c>
      <c r="F822" s="16" t="str">
        <f aca="false">HYPERLINK("https://net.jogtar.hu/jogszabaly?docid=a2400069.tv#pr817id","Jogtár megnyitása")</f>
        <v>Jogtár megnyitása</v>
      </c>
    </row>
    <row r="823" customFormat="false" ht="34" hidden="false" customHeight="true" outlineLevel="0" collapsed="false">
      <c r="A823" s="15" t="s">
        <v>3907</v>
      </c>
      <c r="B823" s="15" t="s">
        <v>1299</v>
      </c>
      <c r="C823" s="15" t="s">
        <v>3908</v>
      </c>
      <c r="D823" s="15" t="s">
        <v>3909</v>
      </c>
      <c r="E823" s="16" t="str">
        <f aca="false">HYPERLINK("#'Forrásszöveg'!A"&amp;(MATCH("TV-S0802",Forrásszöveg!$A$6:$A$2497,0)+5),"48. § (1) eleje")</f>
        <v>48. § (1) eleje</v>
      </c>
      <c r="F823" s="16" t="str">
        <f aca="false">HYPERLINK("https://net.jogtar.hu/jogszabaly?docid=a2400069.tv#pr818id","Jogtár megnyitása")</f>
        <v>Jogtár megnyitása</v>
      </c>
    </row>
    <row r="824" customFormat="false" ht="38" hidden="false" customHeight="true" outlineLevel="0" collapsed="false">
      <c r="A824" s="15" t="s">
        <v>3910</v>
      </c>
      <c r="B824" s="15" t="s">
        <v>1299</v>
      </c>
      <c r="C824" s="15" t="s">
        <v>3911</v>
      </c>
      <c r="D824" s="15" t="s">
        <v>3912</v>
      </c>
      <c r="E824" s="16" t="str">
        <f aca="false">HYPERLINK("#'Forrásszöveg'!A"&amp;(MATCH("TV-S0819",Forrásszöveg!$A$6:$A$2497,0)+5),"48. § (2) eleje")</f>
        <v>48. § (2) eleje</v>
      </c>
      <c r="F824" s="16" t="str">
        <f aca="false">HYPERLINK("https://net.jogtar.hu/jogszabaly?docid=a2400069.tv#pr819id","Jogtár megnyitása")</f>
        <v>Jogtár megnyitása</v>
      </c>
    </row>
    <row r="825" customFormat="false" ht="52" hidden="false" customHeight="true" outlineLevel="0" collapsed="false">
      <c r="A825" s="15" t="s">
        <v>3913</v>
      </c>
      <c r="B825" s="15" t="s">
        <v>1299</v>
      </c>
      <c r="C825" s="15" t="s">
        <v>3914</v>
      </c>
      <c r="D825" s="15" t="s">
        <v>3915</v>
      </c>
      <c r="E825" s="16" t="str">
        <f aca="false">HYPERLINK("#'Forrásszöveg'!A"&amp;(MATCH("TV-S0820",Forrásszöveg!$A$6:$A$2497,0)+5),"48. § (3) eleje")</f>
        <v>48. § (3) eleje</v>
      </c>
      <c r="F825" s="16" t="str">
        <f aca="false">HYPERLINK("https://net.jogtar.hu/jogszabaly?docid=a2400069.tv#pr820id","Jogtár megnyitása")</f>
        <v>Jogtár megnyitása</v>
      </c>
    </row>
    <row r="826" customFormat="false" ht="38" hidden="false" customHeight="true" outlineLevel="0" collapsed="false">
      <c r="A826" s="15" t="s">
        <v>3916</v>
      </c>
      <c r="B826" s="15" t="s">
        <v>1299</v>
      </c>
      <c r="C826" s="15" t="s">
        <v>3917</v>
      </c>
      <c r="D826" s="15" t="s">
        <v>3918</v>
      </c>
      <c r="E826" s="16" t="str">
        <f aca="false">HYPERLINK("#'Forrásszöveg'!A"&amp;(MATCH("TV-S0821",Forrásszöveg!$A$6:$A$2497,0)+5),"48. § (4) eleje")</f>
        <v>48. § (4) eleje</v>
      </c>
      <c r="F826" s="16" t="str">
        <f aca="false">HYPERLINK("https://net.jogtar.hu/jogszabaly?docid=a2400069.tv#pr821id","Jogtár megnyitása")</f>
        <v>Jogtár megnyitása</v>
      </c>
    </row>
    <row r="827" customFormat="false" ht="38" hidden="false" customHeight="true" outlineLevel="0" collapsed="false">
      <c r="A827" s="15" t="s">
        <v>3919</v>
      </c>
      <c r="B827" s="15" t="s">
        <v>1299</v>
      </c>
      <c r="C827" s="15" t="s">
        <v>3920</v>
      </c>
      <c r="D827" s="15" t="s">
        <v>3921</v>
      </c>
      <c r="E827" s="16" t="str">
        <f aca="false">HYPERLINK("#'Forrásszöveg'!A"&amp;(MATCH("TV-S0821",Forrásszöveg!$A$6:$A$2497,0)+5),"48. § (4) eleje")</f>
        <v>48. § (4) eleje</v>
      </c>
      <c r="F827" s="16" t="str">
        <f aca="false">HYPERLINK("https://net.jogtar.hu/jogszabaly?docid=a2400069.tv#pr822id","Jogtár megnyitása")</f>
        <v>Jogtár megnyitása</v>
      </c>
    </row>
    <row r="828" customFormat="false" ht="38" hidden="false" customHeight="true" outlineLevel="0" collapsed="false">
      <c r="A828" s="15" t="s">
        <v>3922</v>
      </c>
      <c r="B828" s="15" t="s">
        <v>1299</v>
      </c>
      <c r="C828" s="15" t="s">
        <v>3923</v>
      </c>
      <c r="D828" s="15" t="s">
        <v>3924</v>
      </c>
      <c r="E828" s="16" t="str">
        <f aca="false">HYPERLINK("#'Forrásszöveg'!A"&amp;(MATCH("TV-S0821",Forrásszöveg!$A$6:$A$2497,0)+5),"48. § (4) eleje")</f>
        <v>48. § (4) eleje</v>
      </c>
      <c r="F828" s="16" t="str">
        <f aca="false">HYPERLINK("https://net.jogtar.hu/jogszabaly?docid=a2400069.tv#pr823id","Jogtár megnyitása")</f>
        <v>Jogtár megnyitása</v>
      </c>
    </row>
    <row r="829" customFormat="false" ht="38" hidden="false" customHeight="true" outlineLevel="0" collapsed="false">
      <c r="A829" s="15" t="s">
        <v>3925</v>
      </c>
      <c r="B829" s="15" t="s">
        <v>1299</v>
      </c>
      <c r="C829" s="15" t="s">
        <v>3926</v>
      </c>
      <c r="D829" s="15" t="s">
        <v>3927</v>
      </c>
      <c r="E829" s="16" t="str">
        <f aca="false">HYPERLINK("#'Forrásszöveg'!A"&amp;(MATCH("TV-S0821",Forrásszöveg!$A$6:$A$2497,0)+5),"48. § (4) eleje")</f>
        <v>48. § (4) eleje</v>
      </c>
      <c r="F829" s="16" t="str">
        <f aca="false">HYPERLINK("https://net.jogtar.hu/jogszabaly?docid=a2400069.tv#pr824id","Jogtár megnyitása")</f>
        <v>Jogtár megnyitása</v>
      </c>
    </row>
    <row r="830" customFormat="false" ht="34" hidden="false" customHeight="true" outlineLevel="0" collapsed="false">
      <c r="A830" s="15" t="s">
        <v>3928</v>
      </c>
      <c r="B830" s="15" t="s">
        <v>1299</v>
      </c>
      <c r="C830" s="15" t="s">
        <v>3917</v>
      </c>
      <c r="D830" s="15" t="s">
        <v>3929</v>
      </c>
      <c r="E830" s="16" t="str">
        <f aca="false">HYPERLINK("#'Forrásszöveg'!A"&amp;(MATCH("TV-S0821",Forrásszöveg!$A$6:$A$2497,0)+5),"48. § (4) eleje")</f>
        <v>48. § (4) eleje</v>
      </c>
      <c r="F830" s="16" t="str">
        <f aca="false">HYPERLINK("https://net.jogtar.hu/jogszabaly?docid=a2400069.tv#pr825id","Jogtár megnyitása")</f>
        <v>Jogtár megnyitása</v>
      </c>
    </row>
    <row r="831" customFormat="false" ht="52" hidden="false" customHeight="true" outlineLevel="0" collapsed="false">
      <c r="A831" s="15" t="s">
        <v>3930</v>
      </c>
      <c r="B831" s="15" t="s">
        <v>1299</v>
      </c>
      <c r="C831" s="15" t="s">
        <v>3931</v>
      </c>
      <c r="D831" s="15" t="s">
        <v>3932</v>
      </c>
      <c r="E831" s="16" t="str">
        <f aca="false">HYPERLINK("#'Forrásszöveg'!A"&amp;(MATCH("TV-S0826",Forrásszöveg!$A$6:$A$2497,0)+5),"48. § (5) eleje")</f>
        <v>48. § (5) eleje</v>
      </c>
      <c r="F831" s="16" t="str">
        <f aca="false">HYPERLINK("https://net.jogtar.hu/jogszabaly?docid=a2400069.tv#pr826id","Jogtár megnyitása")</f>
        <v>Jogtár megnyitása</v>
      </c>
    </row>
    <row r="832" customFormat="false" ht="80" hidden="false" customHeight="true" outlineLevel="0" collapsed="false">
      <c r="A832" s="15" t="s">
        <v>3933</v>
      </c>
      <c r="B832" s="15" t="s">
        <v>1299</v>
      </c>
      <c r="C832" s="15" t="s">
        <v>3934</v>
      </c>
      <c r="D832" s="15" t="s">
        <v>3935</v>
      </c>
      <c r="E832" s="16" t="str">
        <f aca="false">HYPERLINK("#'Forrásszöveg'!A"&amp;(MATCH("TV-S0827",Forrásszöveg!$A$6:$A$2497,0)+5),"49. § (1) eleje")</f>
        <v>49. § (1) eleje</v>
      </c>
      <c r="F832" s="16" t="str">
        <f aca="false">HYPERLINK("https://net.jogtar.hu/jogszabaly?docid=a2400069.tv#pr827id","Jogtár megnyitása")</f>
        <v>Jogtár megnyitása</v>
      </c>
    </row>
    <row r="833" customFormat="false" ht="66" hidden="false" customHeight="true" outlineLevel="0" collapsed="false">
      <c r="A833" s="15" t="s">
        <v>3936</v>
      </c>
      <c r="B833" s="15" t="s">
        <v>1299</v>
      </c>
      <c r="C833" s="15" t="s">
        <v>3937</v>
      </c>
      <c r="D833" s="15" t="s">
        <v>3938</v>
      </c>
      <c r="E833" s="16" t="str">
        <f aca="false">HYPERLINK("#'Forrásszöveg'!A"&amp;(MATCH("TV-S0828",Forrásszöveg!$A$6:$A$2497,0)+5),"49. § (2) eleje")</f>
        <v>49. § (2) eleje</v>
      </c>
      <c r="F833" s="16" t="str">
        <f aca="false">HYPERLINK("https://net.jogtar.hu/jogszabaly?docid=a2400069.tv#pr828id","Jogtár megnyitása")</f>
        <v>Jogtár megnyitása</v>
      </c>
    </row>
    <row r="834" customFormat="false" ht="66" hidden="false" customHeight="true" outlineLevel="0" collapsed="false">
      <c r="A834" s="15" t="s">
        <v>3939</v>
      </c>
      <c r="B834" s="15" t="s">
        <v>1299</v>
      </c>
      <c r="C834" s="15" t="s">
        <v>3940</v>
      </c>
      <c r="D834" s="15" t="s">
        <v>3941</v>
      </c>
      <c r="E834" s="16" t="str">
        <f aca="false">HYPERLINK("#'Forrásszöveg'!A"&amp;(MATCH("TV-S0829",Forrásszöveg!$A$6:$A$2497,0)+5),"49. § (3) eleje")</f>
        <v>49. § (3) eleje</v>
      </c>
      <c r="F834" s="16" t="str">
        <f aca="false">HYPERLINK("https://net.jogtar.hu/jogszabaly?docid=a2400069.tv#pr829id","Jogtár megnyitása")</f>
        <v>Jogtár megnyitása</v>
      </c>
    </row>
    <row r="835" customFormat="false" ht="178" hidden="false" customHeight="true" outlineLevel="0" collapsed="false">
      <c r="A835" s="15" t="s">
        <v>3942</v>
      </c>
      <c r="B835" s="15" t="s">
        <v>1299</v>
      </c>
      <c r="C835" s="15" t="s">
        <v>3943</v>
      </c>
      <c r="D835" s="15" t="s">
        <v>3944</v>
      </c>
      <c r="E835" s="16" t="str">
        <f aca="false">HYPERLINK("#'Forrásszöveg'!A"&amp;(MATCH("TV-S0830",Forrásszöveg!$A$6:$A$2497,0)+5),"50. § (1) eleje")</f>
        <v>50. § (1) eleje</v>
      </c>
      <c r="F835" s="16" t="str">
        <f aca="false">HYPERLINK("https://net.jogtar.hu/jogszabaly?docid=a2400069.tv#pr830id","Jogtár megnyitása")</f>
        <v>Jogtár megnyitása</v>
      </c>
    </row>
    <row r="836" customFormat="false" ht="34" hidden="false" customHeight="true" outlineLevel="0" collapsed="false">
      <c r="A836" s="15" t="s">
        <v>3945</v>
      </c>
      <c r="B836" s="15" t="s">
        <v>1299</v>
      </c>
      <c r="C836" s="15" t="s">
        <v>3946</v>
      </c>
      <c r="D836" s="15" t="s">
        <v>3947</v>
      </c>
      <c r="E836" s="16" t="str">
        <f aca="false">HYPERLINK("#'Forrásszöveg'!A"&amp;(MATCH("TV-S0831",Forrásszöveg!$A$6:$A$2497,0)+5),"50. § (2) eleje")</f>
        <v>50. § (2) eleje</v>
      </c>
      <c r="F836" s="16" t="str">
        <f aca="false">HYPERLINK("https://net.jogtar.hu/jogszabaly?docid=a2400069.tv#pr831id","Jogtár megnyitása")</f>
        <v>Jogtár megnyitása</v>
      </c>
    </row>
    <row r="837" customFormat="false" ht="66" hidden="false" customHeight="true" outlineLevel="0" collapsed="false">
      <c r="A837" s="15" t="s">
        <v>3948</v>
      </c>
      <c r="B837" s="15" t="s">
        <v>1299</v>
      </c>
      <c r="C837" s="15" t="s">
        <v>3949</v>
      </c>
      <c r="D837" s="15" t="s">
        <v>3950</v>
      </c>
      <c r="E837" s="16" t="str">
        <f aca="false">HYPERLINK("#'Forrásszöveg'!A"&amp;(MATCH("TV-S0832",Forrásszöveg!$A$6:$A$2497,0)+5),"50. § (3) eleje")</f>
        <v>50. § (3) eleje</v>
      </c>
      <c r="F837" s="16" t="str">
        <f aca="false">HYPERLINK("https://net.jogtar.hu/jogszabaly?docid=a2400069.tv#pr832id","Jogtár megnyitása")</f>
        <v>Jogtár megnyitása</v>
      </c>
    </row>
    <row r="838" customFormat="false" ht="52" hidden="false" customHeight="true" outlineLevel="0" collapsed="false">
      <c r="A838" s="15" t="s">
        <v>3951</v>
      </c>
      <c r="B838" s="15" t="s">
        <v>1299</v>
      </c>
      <c r="C838" s="15" t="s">
        <v>3952</v>
      </c>
      <c r="D838" s="15" t="s">
        <v>3953</v>
      </c>
      <c r="E838" s="16" t="str">
        <f aca="false">HYPERLINK("#'Forrásszöveg'!A"&amp;(MATCH("TV-S0833",Forrásszöveg!$A$6:$A$2497,0)+5),"50. § (4) eleje")</f>
        <v>50. § (4) eleje</v>
      </c>
      <c r="F838" s="16" t="str">
        <f aca="false">HYPERLINK("https://net.jogtar.hu/jogszabaly?docid=a2400069.tv#pr833id","Jogtár megnyitása")</f>
        <v>Jogtár megnyitása</v>
      </c>
    </row>
    <row r="839" customFormat="false" ht="52" hidden="false" customHeight="true" outlineLevel="0" collapsed="false">
      <c r="A839" s="15" t="s">
        <v>3954</v>
      </c>
      <c r="B839" s="15" t="s">
        <v>1299</v>
      </c>
      <c r="C839" s="15" t="s">
        <v>3955</v>
      </c>
      <c r="D839" s="15" t="s">
        <v>3956</v>
      </c>
      <c r="E839" s="16" t="str">
        <f aca="false">HYPERLINK("#'Forrásszöveg'!A"&amp;(MATCH("TV-S0834",Forrásszöveg!$A$6:$A$2497,0)+5),"50. § (5) eleje")</f>
        <v>50. § (5) eleje</v>
      </c>
      <c r="F839" s="16" t="str">
        <f aca="false">HYPERLINK("https://net.jogtar.hu/jogszabaly?docid=a2400069.tv#pr834id","Jogtár megnyitása")</f>
        <v>Jogtár megnyitása</v>
      </c>
    </row>
    <row r="840" customFormat="false" ht="34" hidden="false" customHeight="true" outlineLevel="0" collapsed="false">
      <c r="A840" s="15" t="s">
        <v>3957</v>
      </c>
      <c r="B840" s="15" t="s">
        <v>1299</v>
      </c>
      <c r="C840" s="15" t="s">
        <v>3958</v>
      </c>
      <c r="D840" s="15" t="s">
        <v>3958</v>
      </c>
      <c r="E840" s="16" t="str">
        <f aca="false">HYPERLINK("#'Forrásszöveg'!A"&amp;(MATCH("TV-S0830",Forrásszöveg!$A$6:$A$2497,0)+5),"50. § eleje")</f>
        <v>50. § eleje</v>
      </c>
      <c r="F840" s="16" t="str">
        <f aca="false">HYPERLINK("https://net.jogtar.hu/jogszabaly?docid=a2400069.tv#pr835id","Jogtár megnyitása")</f>
        <v>Jogtár megnyitása</v>
      </c>
    </row>
    <row r="841" customFormat="false" ht="34" hidden="false" customHeight="true" outlineLevel="0" collapsed="false">
      <c r="A841" s="15" t="s">
        <v>3959</v>
      </c>
      <c r="B841" s="15" t="s">
        <v>1299</v>
      </c>
      <c r="C841" s="15" t="s">
        <v>3960</v>
      </c>
      <c r="D841" s="15" t="s">
        <v>3960</v>
      </c>
      <c r="E841" s="16" t="str">
        <f aca="false">HYPERLINK("#'Forrásszöveg'!A"&amp;(MATCH("TV-S0830",Forrásszöveg!$A$6:$A$2497,0)+5),"50. § eleje")</f>
        <v>50. § eleje</v>
      </c>
      <c r="F841" s="16" t="str">
        <f aca="false">HYPERLINK("https://net.jogtar.hu/jogszabaly?docid=a2400069.tv#pr836id","Jogtár megnyitása")</f>
        <v>Jogtár megnyitása</v>
      </c>
    </row>
    <row r="842" customFormat="false" ht="52" hidden="false" customHeight="true" outlineLevel="0" collapsed="false">
      <c r="A842" s="15" t="s">
        <v>3961</v>
      </c>
      <c r="B842" s="15" t="s">
        <v>1299</v>
      </c>
      <c r="C842" s="15" t="s">
        <v>1384</v>
      </c>
      <c r="D842" s="15" t="s">
        <v>1384</v>
      </c>
      <c r="E842" s="16" t="str">
        <f aca="false">HYPERLINK("#'Forrásszöveg'!A"&amp;(MATCH("TV-S0830",Forrásszöveg!$A$6:$A$2497,0)+5),"50. § eleje")</f>
        <v>50. § eleje</v>
      </c>
      <c r="F842" s="16" t="str">
        <f aca="false">HYPERLINK("https://net.jogtar.hu/jogszabaly?docid=a2400069.tv#pr837id","Jogtár megnyitása")</f>
        <v>Jogtár megnyitása</v>
      </c>
    </row>
    <row r="843" customFormat="false" ht="38" hidden="false" customHeight="true" outlineLevel="0" collapsed="false">
      <c r="A843" s="15" t="s">
        <v>3962</v>
      </c>
      <c r="B843" s="15" t="s">
        <v>1299</v>
      </c>
      <c r="C843" s="15" t="s">
        <v>1383</v>
      </c>
      <c r="D843" s="15" t="s">
        <v>3963</v>
      </c>
      <c r="E843" s="16" t="str">
        <f aca="false">HYPERLINK("#'Forrásszöveg'!A"&amp;(MATCH("TV-S0838",Forrásszöveg!$A$6:$A$2497,0)+5),"51. § eleje")</f>
        <v>51. § eleje</v>
      </c>
      <c r="F843" s="16" t="str">
        <f aca="false">HYPERLINK("https://net.jogtar.hu/jogszabaly?docid=a2400069.tv#pr838id","Jogtár megnyitása")</f>
        <v>Jogtár megnyitása</v>
      </c>
    </row>
    <row r="844" customFormat="false" ht="38" hidden="false" customHeight="true" outlineLevel="0" collapsed="false">
      <c r="A844" s="15" t="s">
        <v>3964</v>
      </c>
      <c r="B844" s="15" t="s">
        <v>1299</v>
      </c>
      <c r="C844" s="15" t="s">
        <v>3965</v>
      </c>
      <c r="D844" s="15" t="s">
        <v>3966</v>
      </c>
      <c r="E844" s="16" t="str">
        <f aca="false">HYPERLINK("#'Forrásszöveg'!A"&amp;(MATCH("TV-S0838",Forrásszöveg!$A$6:$A$2497,0)+5),"51. § eleje")</f>
        <v>51. § eleje</v>
      </c>
      <c r="F844" s="16" t="str">
        <f aca="false">HYPERLINK("https://net.jogtar.hu/jogszabaly?docid=a2400069.tv#pr839id","Jogtár megnyitása")</f>
        <v>Jogtár megnyitása</v>
      </c>
    </row>
    <row r="845" customFormat="false" ht="80" hidden="false" customHeight="true" outlineLevel="0" collapsed="false">
      <c r="A845" s="15" t="s">
        <v>3967</v>
      </c>
      <c r="B845" s="15" t="s">
        <v>1299</v>
      </c>
      <c r="C845" s="15" t="s">
        <v>3968</v>
      </c>
      <c r="D845" s="15" t="s">
        <v>3969</v>
      </c>
      <c r="E845" s="16" t="str">
        <f aca="false">HYPERLINK("#'Forrásszöveg'!A"&amp;(MATCH("TV-S0838",Forrásszöveg!$A$6:$A$2497,0)+5),"51. § eleje")</f>
        <v>51. § eleje</v>
      </c>
      <c r="F845" s="16" t="str">
        <f aca="false">HYPERLINK("https://net.jogtar.hu/jogszabaly?docid=a2400069.tv#pr840id","Jogtár megnyitása")</f>
        <v>Jogtár megnyitása</v>
      </c>
    </row>
    <row r="846" customFormat="false" ht="34" hidden="false" customHeight="true" outlineLevel="0" collapsed="false">
      <c r="A846" s="15" t="s">
        <v>3970</v>
      </c>
      <c r="B846" s="15" t="s">
        <v>1299</v>
      </c>
      <c r="C846" s="15" t="s">
        <v>1383</v>
      </c>
      <c r="D846" s="15" t="s">
        <v>3971</v>
      </c>
      <c r="E846" s="16" t="str">
        <f aca="false">HYPERLINK("#'Forrásszöveg'!A"&amp;(MATCH("TV-S0838",Forrásszöveg!$A$6:$A$2497,0)+5),"51. § eleje")</f>
        <v>51. § eleje</v>
      </c>
      <c r="F846" s="16" t="str">
        <f aca="false">HYPERLINK("https://net.jogtar.hu/jogszabaly?docid=a2400069.tv#pr841id","Jogtár megnyitása")</f>
        <v>Jogtár megnyitása</v>
      </c>
    </row>
    <row r="847" customFormat="false" ht="52" hidden="false" customHeight="true" outlineLevel="0" collapsed="false">
      <c r="A847" s="15" t="s">
        <v>3972</v>
      </c>
      <c r="B847" s="15" t="s">
        <v>1299</v>
      </c>
      <c r="C847" s="15" t="s">
        <v>1386</v>
      </c>
      <c r="D847" s="15" t="s">
        <v>1386</v>
      </c>
      <c r="E847" s="16" t="str">
        <f aca="false">HYPERLINK("#'Forrásszöveg'!A"&amp;(MATCH("TV-S0838",Forrásszöveg!$A$6:$A$2497,0)+5),"51. § eleje")</f>
        <v>51. § eleje</v>
      </c>
      <c r="F847" s="16" t="str">
        <f aca="false">HYPERLINK("https://net.jogtar.hu/jogszabaly?docid=a2400069.tv#pr842id","Jogtár megnyitása")</f>
        <v>Jogtár megnyitása</v>
      </c>
    </row>
    <row r="848" customFormat="false" ht="108" hidden="false" customHeight="true" outlineLevel="0" collapsed="false">
      <c r="A848" s="15" t="s">
        <v>3973</v>
      </c>
      <c r="B848" s="15" t="s">
        <v>1299</v>
      </c>
      <c r="C848" s="15" t="s">
        <v>1385</v>
      </c>
      <c r="D848" s="15" t="s">
        <v>3974</v>
      </c>
      <c r="E848" s="16" t="str">
        <f aca="false">HYPERLINK("#'Forrásszöveg'!A"&amp;(MATCH("TV-S0843",Forrásszöveg!$A$6:$A$2497,0)+5),"52. § eleje")</f>
        <v>52. § eleje</v>
      </c>
      <c r="F848" s="16" t="str">
        <f aca="false">HYPERLINK("https://net.jogtar.hu/jogszabaly?docid=a2400069.tv#pr843id","Jogtár megnyitása")</f>
        <v>Jogtár megnyitása</v>
      </c>
    </row>
    <row r="849" customFormat="false" ht="52" hidden="false" customHeight="true" outlineLevel="0" collapsed="false">
      <c r="A849" s="15" t="s">
        <v>3975</v>
      </c>
      <c r="B849" s="15" t="s">
        <v>1299</v>
      </c>
      <c r="C849" s="15" t="s">
        <v>1388</v>
      </c>
      <c r="D849" s="15" t="s">
        <v>1388</v>
      </c>
      <c r="E849" s="16" t="str">
        <f aca="false">HYPERLINK("#'Forrásszöveg'!A"&amp;(MATCH("TV-S0843",Forrásszöveg!$A$6:$A$2497,0)+5),"52. § eleje")</f>
        <v>52. § eleje</v>
      </c>
      <c r="F849" s="16" t="str">
        <f aca="false">HYPERLINK("https://net.jogtar.hu/jogszabaly?docid=a2400069.tv#pr844id","Jogtár megnyitása")</f>
        <v>Jogtár megnyitása</v>
      </c>
    </row>
    <row r="850" customFormat="false" ht="38" hidden="false" customHeight="true" outlineLevel="0" collapsed="false">
      <c r="A850" s="15" t="s">
        <v>3976</v>
      </c>
      <c r="B850" s="15" t="s">
        <v>1299</v>
      </c>
      <c r="C850" s="15" t="s">
        <v>3977</v>
      </c>
      <c r="D850" s="15" t="s">
        <v>3978</v>
      </c>
      <c r="E850" s="16" t="str">
        <f aca="false">HYPERLINK("#'Forrásszöveg'!A"&amp;(MATCH("TV-S0845",Forrásszöveg!$A$6:$A$2497,0)+5),"53. § (1) eleje")</f>
        <v>53. § (1) eleje</v>
      </c>
      <c r="F850" s="16" t="str">
        <f aca="false">HYPERLINK("https://net.jogtar.hu/jogszabaly?docid=a2400069.tv#pr845id","Jogtár megnyitása")</f>
        <v>Jogtár megnyitása</v>
      </c>
    </row>
    <row r="851" customFormat="false" ht="34" hidden="false" customHeight="true" outlineLevel="0" collapsed="false">
      <c r="A851" s="15" t="s">
        <v>3979</v>
      </c>
      <c r="B851" s="15" t="s">
        <v>1299</v>
      </c>
      <c r="C851" s="15" t="s">
        <v>3980</v>
      </c>
      <c r="D851" s="15" t="s">
        <v>3981</v>
      </c>
      <c r="E851" s="16" t="str">
        <f aca="false">HYPERLINK("#'Forrásszöveg'!A"&amp;(MATCH("TV-S0845",Forrásszöveg!$A$6:$A$2497,0)+5),"53. § (1) eleje")</f>
        <v>53. § (1) eleje</v>
      </c>
      <c r="F851" s="16" t="str">
        <f aca="false">HYPERLINK("https://net.jogtar.hu/jogszabaly?docid=a2400069.tv#pr846id","Jogtár megnyitása")</f>
        <v>Jogtár megnyitása</v>
      </c>
    </row>
    <row r="852" customFormat="false" ht="34" hidden="false" customHeight="true" outlineLevel="0" collapsed="false">
      <c r="A852" s="15" t="s">
        <v>3982</v>
      </c>
      <c r="B852" s="15" t="s">
        <v>1299</v>
      </c>
      <c r="C852" s="15" t="s">
        <v>3983</v>
      </c>
      <c r="D852" s="15" t="s">
        <v>3984</v>
      </c>
      <c r="E852" s="16" t="str">
        <f aca="false">HYPERLINK("#'Forrásszöveg'!A"&amp;(MATCH("TV-S0845",Forrásszöveg!$A$6:$A$2497,0)+5),"53. § (1) eleje")</f>
        <v>53. § (1) eleje</v>
      </c>
      <c r="F852" s="16" t="str">
        <f aca="false">HYPERLINK("https://net.jogtar.hu/jogszabaly?docid=a2400069.tv#pr847id","Jogtár megnyitása")</f>
        <v>Jogtár megnyitása</v>
      </c>
    </row>
    <row r="853" customFormat="false" ht="38" hidden="false" customHeight="true" outlineLevel="0" collapsed="false">
      <c r="A853" s="15" t="s">
        <v>3985</v>
      </c>
      <c r="B853" s="15" t="s">
        <v>1299</v>
      </c>
      <c r="C853" s="15" t="s">
        <v>3986</v>
      </c>
      <c r="D853" s="15" t="s">
        <v>3987</v>
      </c>
      <c r="E853" s="16" t="str">
        <f aca="false">HYPERLINK("#'Forrásszöveg'!A"&amp;(MATCH("TV-S0848",Forrásszöveg!$A$6:$A$2497,0)+5),"53. § (2) eleje")</f>
        <v>53. § (2) eleje</v>
      </c>
      <c r="F853" s="16" t="str">
        <f aca="false">HYPERLINK("https://net.jogtar.hu/jogszabaly?docid=a2400069.tv#pr848id","Jogtár megnyitása")</f>
        <v>Jogtár megnyitása</v>
      </c>
    </row>
    <row r="854" customFormat="false" ht="38" hidden="false" customHeight="true" outlineLevel="0" collapsed="false">
      <c r="A854" s="15" t="s">
        <v>3988</v>
      </c>
      <c r="B854" s="15" t="s">
        <v>1299</v>
      </c>
      <c r="C854" s="15" t="s">
        <v>3989</v>
      </c>
      <c r="D854" s="15" t="s">
        <v>3990</v>
      </c>
      <c r="E854" s="16" t="str">
        <f aca="false">HYPERLINK("#'Forrásszöveg'!A"&amp;(MATCH("TV-S0848",Forrásszöveg!$A$6:$A$2497,0)+5),"53. § (2) eleje")</f>
        <v>53. § (2) eleje</v>
      </c>
      <c r="F854" s="16" t="str">
        <f aca="false">HYPERLINK("https://net.jogtar.hu/jogszabaly?docid=a2400069.tv#pr849id","Jogtár megnyitása")</f>
        <v>Jogtár megnyitása</v>
      </c>
    </row>
    <row r="855" customFormat="false" ht="38" hidden="false" customHeight="true" outlineLevel="0" collapsed="false">
      <c r="A855" s="15" t="s">
        <v>3991</v>
      </c>
      <c r="B855" s="15" t="s">
        <v>1299</v>
      </c>
      <c r="C855" s="15" t="s">
        <v>3992</v>
      </c>
      <c r="D855" s="15" t="s">
        <v>3993</v>
      </c>
      <c r="E855" s="16" t="str">
        <f aca="false">HYPERLINK("#'Forrásszöveg'!A"&amp;(MATCH("TV-S0848",Forrásszöveg!$A$6:$A$2497,0)+5),"53. § (2) eleje")</f>
        <v>53. § (2) eleje</v>
      </c>
      <c r="F855" s="16" t="str">
        <f aca="false">HYPERLINK("https://net.jogtar.hu/jogszabaly?docid=a2400069.tv#pr850id","Jogtár megnyitása")</f>
        <v>Jogtár megnyitása</v>
      </c>
    </row>
    <row r="856" customFormat="false" ht="80" hidden="false" customHeight="true" outlineLevel="0" collapsed="false">
      <c r="A856" s="15" t="s">
        <v>3994</v>
      </c>
      <c r="B856" s="15" t="s">
        <v>1299</v>
      </c>
      <c r="C856" s="15" t="s">
        <v>3995</v>
      </c>
      <c r="D856" s="15" t="s">
        <v>3996</v>
      </c>
      <c r="E856" s="16" t="str">
        <f aca="false">HYPERLINK("#'Forrásszöveg'!A"&amp;(MATCH("TV-S0851",Forrásszöveg!$A$6:$A$2497,0)+5),"53. § (3) eleje")</f>
        <v>53. § (3) eleje</v>
      </c>
      <c r="F856" s="16" t="str">
        <f aca="false">HYPERLINK("https://net.jogtar.hu/jogszabaly?docid=a2400069.tv#pr851id","Jogtár megnyitása")</f>
        <v>Jogtár megnyitása</v>
      </c>
    </row>
    <row r="857" customFormat="false" ht="52" hidden="false" customHeight="true" outlineLevel="0" collapsed="false">
      <c r="A857" s="15" t="s">
        <v>3997</v>
      </c>
      <c r="B857" s="15" t="s">
        <v>1299</v>
      </c>
      <c r="C857" s="15" t="s">
        <v>1390</v>
      </c>
      <c r="D857" s="15" t="s">
        <v>1390</v>
      </c>
      <c r="E857" s="16" t="str">
        <f aca="false">HYPERLINK("#'Forrásszöveg'!A"&amp;(MATCH("TV-S0845",Forrásszöveg!$A$6:$A$2497,0)+5),"53. § eleje")</f>
        <v>53. § eleje</v>
      </c>
      <c r="F857" s="16" t="str">
        <f aca="false">HYPERLINK("https://net.jogtar.hu/jogszabaly?docid=a2400069.tv#pr852id","Jogtár megnyitása")</f>
        <v>Jogtár megnyitása</v>
      </c>
    </row>
    <row r="858" customFormat="false" ht="66" hidden="false" customHeight="true" outlineLevel="0" collapsed="false">
      <c r="A858" s="15" t="s">
        <v>3998</v>
      </c>
      <c r="B858" s="15" t="s">
        <v>1299</v>
      </c>
      <c r="C858" s="15" t="s">
        <v>3999</v>
      </c>
      <c r="D858" s="15" t="s">
        <v>4000</v>
      </c>
      <c r="E858" s="16" t="str">
        <f aca="false">HYPERLINK("#'Forrásszöveg'!A"&amp;(MATCH("TV-S0853",Forrásszöveg!$A$6:$A$2497,0)+5),"54. § (1) eleje")</f>
        <v>54. § (1) eleje</v>
      </c>
      <c r="F858" s="16" t="str">
        <f aca="false">HYPERLINK("https://net.jogtar.hu/jogszabaly?docid=a2400069.tv#pr853id","Jogtár megnyitása")</f>
        <v>Jogtár megnyitása</v>
      </c>
    </row>
    <row r="859" customFormat="false" ht="52" hidden="false" customHeight="true" outlineLevel="0" collapsed="false">
      <c r="A859" s="15" t="s">
        <v>4001</v>
      </c>
      <c r="B859" s="15" t="s">
        <v>1299</v>
      </c>
      <c r="C859" s="15" t="s">
        <v>4002</v>
      </c>
      <c r="D859" s="15" t="s">
        <v>4003</v>
      </c>
      <c r="E859" s="16" t="str">
        <f aca="false">HYPERLINK("#'Forrásszöveg'!A"&amp;(MATCH("TV-S0854",Forrásszöveg!$A$6:$A$2497,0)+5),"54. § (2) eleje")</f>
        <v>54. § (2) eleje</v>
      </c>
      <c r="F859" s="16" t="str">
        <f aca="false">HYPERLINK("https://net.jogtar.hu/jogszabaly?docid=a2400069.tv#pr854id","Jogtár megnyitása")</f>
        <v>Jogtár megnyitása</v>
      </c>
    </row>
    <row r="860" customFormat="false" ht="52" hidden="false" customHeight="true" outlineLevel="0" collapsed="false">
      <c r="A860" s="15" t="s">
        <v>4004</v>
      </c>
      <c r="B860" s="15" t="s">
        <v>1299</v>
      </c>
      <c r="C860" s="15" t="s">
        <v>4005</v>
      </c>
      <c r="D860" s="15" t="s">
        <v>4006</v>
      </c>
      <c r="E860" s="16" t="str">
        <f aca="false">HYPERLINK("#'Forrásszöveg'!A"&amp;(MATCH("TV-S0855",Forrásszöveg!$A$6:$A$2497,0)+5),"54. § (3) eleje")</f>
        <v>54. § (3) eleje</v>
      </c>
      <c r="F860" s="16" t="str">
        <f aca="false">HYPERLINK("https://net.jogtar.hu/jogszabaly?docid=a2400069.tv#pr855id","Jogtár megnyitása")</f>
        <v>Jogtár megnyitása</v>
      </c>
    </row>
    <row r="861" customFormat="false" ht="38" hidden="false" customHeight="true" outlineLevel="0" collapsed="false">
      <c r="A861" s="15" t="s">
        <v>4007</v>
      </c>
      <c r="B861" s="15" t="s">
        <v>1299</v>
      </c>
      <c r="C861" s="15" t="s">
        <v>1392</v>
      </c>
      <c r="D861" s="15" t="s">
        <v>1392</v>
      </c>
      <c r="E861" s="16" t="str">
        <f aca="false">HYPERLINK("#'Forrásszöveg'!A"&amp;(MATCH("TV-S0853",Forrásszöveg!$A$6:$A$2497,0)+5),"54. § eleje")</f>
        <v>54. § eleje</v>
      </c>
      <c r="F861" s="16" t="str">
        <f aca="false">HYPERLINK("https://net.jogtar.hu/jogszabaly?docid=a2400069.tv#pr856id","Jogtár megnyitása")</f>
        <v>Jogtár megnyitása</v>
      </c>
    </row>
    <row r="862" customFormat="false" ht="38" hidden="false" customHeight="true" outlineLevel="0" collapsed="false">
      <c r="A862" s="15" t="s">
        <v>4008</v>
      </c>
      <c r="B862" s="15" t="s">
        <v>1299</v>
      </c>
      <c r="C862" s="15" t="s">
        <v>4009</v>
      </c>
      <c r="D862" s="15" t="s">
        <v>4010</v>
      </c>
      <c r="E862" s="16" t="str">
        <f aca="false">HYPERLINK("#'Forrásszöveg'!A"&amp;(MATCH("TV-S0857",Forrásszöveg!$A$6:$A$2497,0)+5),"55. § (1) eleje")</f>
        <v>55. § (1) eleje</v>
      </c>
      <c r="F862" s="16" t="str">
        <f aca="false">HYPERLINK("https://net.jogtar.hu/jogszabaly?docid=a2400069.tv#pr857id","Jogtár megnyitása")</f>
        <v>Jogtár megnyitása</v>
      </c>
    </row>
    <row r="863" customFormat="false" ht="94" hidden="false" customHeight="true" outlineLevel="0" collapsed="false">
      <c r="A863" s="15" t="s">
        <v>4011</v>
      </c>
      <c r="B863" s="15" t="s">
        <v>1299</v>
      </c>
      <c r="C863" s="15" t="s">
        <v>4012</v>
      </c>
      <c r="D863" s="15" t="s">
        <v>4013</v>
      </c>
      <c r="E863" s="16" t="str">
        <f aca="false">HYPERLINK("#'Forrásszöveg'!A"&amp;(MATCH("TV-S0858",Forrásszöveg!$A$6:$A$2497,0)+5),"55. § (2) eleje")</f>
        <v>55. § (2) eleje</v>
      </c>
      <c r="F863" s="16" t="str">
        <f aca="false">HYPERLINK("https://net.jogtar.hu/jogszabaly?docid=a2400069.tv#pr858id","Jogtár megnyitása")</f>
        <v>Jogtár megnyitása</v>
      </c>
    </row>
    <row r="864" customFormat="false" ht="66" hidden="false" customHeight="true" outlineLevel="0" collapsed="false">
      <c r="A864" s="15" t="s">
        <v>4014</v>
      </c>
      <c r="B864" s="15" t="s">
        <v>1299</v>
      </c>
      <c r="C864" s="15" t="s">
        <v>4015</v>
      </c>
      <c r="D864" s="15" t="s">
        <v>4016</v>
      </c>
      <c r="E864" s="16" t="str">
        <f aca="false">HYPERLINK("#'Forrásszöveg'!A"&amp;(MATCH("TV-S0859",Forrásszöveg!$A$6:$A$2497,0)+5),"55. § (3) eleje")</f>
        <v>55. § (3) eleje</v>
      </c>
      <c r="F864" s="16" t="str">
        <f aca="false">HYPERLINK("https://net.jogtar.hu/jogszabaly?docid=a2400069.tv#pr859id","Jogtár megnyitása")</f>
        <v>Jogtár megnyitása</v>
      </c>
    </row>
    <row r="865" customFormat="false" ht="38" hidden="false" customHeight="true" outlineLevel="0" collapsed="false">
      <c r="A865" s="15" t="s">
        <v>4017</v>
      </c>
      <c r="B865" s="15" t="s">
        <v>1299</v>
      </c>
      <c r="C865" s="15" t="s">
        <v>1394</v>
      </c>
      <c r="D865" s="15" t="s">
        <v>1394</v>
      </c>
      <c r="E865" s="16" t="str">
        <f aca="false">HYPERLINK("#'Forrásszöveg'!A"&amp;(MATCH("TV-S0857",Forrásszöveg!$A$6:$A$2497,0)+5),"55. § eleje")</f>
        <v>55. § eleje</v>
      </c>
      <c r="F865" s="16" t="str">
        <f aca="false">HYPERLINK("https://net.jogtar.hu/jogszabaly?docid=a2400069.tv#pr860id","Jogtár megnyitása")</f>
        <v>Jogtár megnyitása</v>
      </c>
    </row>
    <row r="866" customFormat="false" ht="38" hidden="false" customHeight="true" outlineLevel="0" collapsed="false">
      <c r="A866" s="15" t="s">
        <v>4018</v>
      </c>
      <c r="B866" s="15" t="s">
        <v>1299</v>
      </c>
      <c r="C866" s="15" t="s">
        <v>4019</v>
      </c>
      <c r="D866" s="15" t="s">
        <v>4020</v>
      </c>
      <c r="E866" s="16" t="str">
        <f aca="false">HYPERLINK("#'Forrásszöveg'!A"&amp;(MATCH("TV-S0861",Forrásszöveg!$A$6:$A$2497,0)+5),"56. § (1) eleje")</f>
        <v>56. § (1) eleje</v>
      </c>
      <c r="F866" s="16" t="str">
        <f aca="false">HYPERLINK("https://net.jogtar.hu/jogszabaly?docid=a2400069.tv#pr861id","Jogtár megnyitása")</f>
        <v>Jogtár megnyitása</v>
      </c>
    </row>
    <row r="867" customFormat="false" ht="34" hidden="false" customHeight="true" outlineLevel="0" collapsed="false">
      <c r="A867" s="15" t="s">
        <v>4021</v>
      </c>
      <c r="B867" s="15" t="s">
        <v>1299</v>
      </c>
      <c r="C867" s="15" t="s">
        <v>4022</v>
      </c>
      <c r="D867" s="15" t="s">
        <v>4023</v>
      </c>
      <c r="E867" s="16" t="str">
        <f aca="false">HYPERLINK("#'Forrásszöveg'!A"&amp;(MATCH("TV-S0861",Forrásszöveg!$A$6:$A$2497,0)+5),"56. § (1) eleje")</f>
        <v>56. § (1) eleje</v>
      </c>
      <c r="F867" s="16" t="str">
        <f aca="false">HYPERLINK("https://net.jogtar.hu/jogszabaly?docid=a2400069.tv#pr862id","Jogtár megnyitása")</f>
        <v>Jogtár megnyitása</v>
      </c>
    </row>
    <row r="868" customFormat="false" ht="38" hidden="false" customHeight="true" outlineLevel="0" collapsed="false">
      <c r="A868" s="15" t="s">
        <v>4024</v>
      </c>
      <c r="B868" s="15" t="s">
        <v>1299</v>
      </c>
      <c r="C868" s="15" t="s">
        <v>4025</v>
      </c>
      <c r="D868" s="15" t="s">
        <v>4026</v>
      </c>
      <c r="E868" s="16" t="str">
        <f aca="false">HYPERLINK("#'Forrásszöveg'!A"&amp;(MATCH("TV-S0861",Forrásszöveg!$A$6:$A$2497,0)+5),"56. § (1) eleje")</f>
        <v>56. § (1) eleje</v>
      </c>
      <c r="F868" s="16" t="str">
        <f aca="false">HYPERLINK("https://net.jogtar.hu/jogszabaly?docid=a2400069.tv#pr863id","Jogtár megnyitása")</f>
        <v>Jogtár megnyitása</v>
      </c>
    </row>
    <row r="869" customFormat="false" ht="52" hidden="false" customHeight="true" outlineLevel="0" collapsed="false">
      <c r="A869" s="15" t="s">
        <v>4027</v>
      </c>
      <c r="B869" s="15" t="s">
        <v>1299</v>
      </c>
      <c r="C869" s="15" t="s">
        <v>4028</v>
      </c>
      <c r="D869" s="15" t="s">
        <v>4029</v>
      </c>
      <c r="E869" s="16" t="str">
        <f aca="false">HYPERLINK("#'Forrásszöveg'!A"&amp;(MATCH("TV-S0864",Forrásszöveg!$A$6:$A$2497,0)+5),"56. § (2) eleje")</f>
        <v>56. § (2) eleje</v>
      </c>
      <c r="F869" s="16" t="str">
        <f aca="false">HYPERLINK("https://net.jogtar.hu/jogszabaly?docid=a2400069.tv#pr864id","Jogtár megnyitása")</f>
        <v>Jogtár megnyitása</v>
      </c>
    </row>
    <row r="870" customFormat="false" ht="34" hidden="false" customHeight="true" outlineLevel="0" collapsed="false">
      <c r="A870" s="15" t="s">
        <v>4030</v>
      </c>
      <c r="B870" s="15" t="s">
        <v>1299</v>
      </c>
      <c r="C870" s="15" t="s">
        <v>4031</v>
      </c>
      <c r="D870" s="15" t="s">
        <v>4032</v>
      </c>
      <c r="E870" s="16" t="str">
        <f aca="false">HYPERLINK("#'Forrásszöveg'!A"&amp;(MATCH("TV-S0865",Forrásszöveg!$A$6:$A$2497,0)+5),"56. § (3) eleje")</f>
        <v>56. § (3) eleje</v>
      </c>
      <c r="F870" s="16" t="str">
        <f aca="false">HYPERLINK("https://net.jogtar.hu/jogszabaly?docid=a2400069.tv#pr865id","Jogtár megnyitása")</f>
        <v>Jogtár megnyitása</v>
      </c>
    </row>
    <row r="871" customFormat="false" ht="34" hidden="false" customHeight="true" outlineLevel="0" collapsed="false">
      <c r="A871" s="15" t="s">
        <v>4033</v>
      </c>
      <c r="B871" s="15" t="s">
        <v>1299</v>
      </c>
      <c r="C871" s="15" t="s">
        <v>4034</v>
      </c>
      <c r="D871" s="15" t="s">
        <v>4035</v>
      </c>
      <c r="E871" s="16" t="str">
        <f aca="false">HYPERLINK("#'Forrásszöveg'!A"&amp;(MATCH("TV-S0865",Forrásszöveg!$A$6:$A$2497,0)+5),"56. § (3) eleje")</f>
        <v>56. § (3) eleje</v>
      </c>
      <c r="F871" s="16" t="str">
        <f aca="false">HYPERLINK("https://net.jogtar.hu/jogszabaly?docid=a2400069.tv#pr866id","Jogtár megnyitása")</f>
        <v>Jogtár megnyitása</v>
      </c>
    </row>
    <row r="872" customFormat="false" ht="34" hidden="false" customHeight="true" outlineLevel="0" collapsed="false">
      <c r="A872" s="15" t="s">
        <v>4036</v>
      </c>
      <c r="B872" s="15" t="s">
        <v>1299</v>
      </c>
      <c r="C872" s="15" t="s">
        <v>4037</v>
      </c>
      <c r="D872" s="15" t="s">
        <v>4038</v>
      </c>
      <c r="E872" s="16" t="str">
        <f aca="false">HYPERLINK("#'Forrásszöveg'!A"&amp;(MATCH("TV-S0865",Forrásszöveg!$A$6:$A$2497,0)+5),"56. § (3) eleje")</f>
        <v>56. § (3) eleje</v>
      </c>
      <c r="F872" s="16" t="str">
        <f aca="false">HYPERLINK("https://net.jogtar.hu/jogszabaly?docid=a2400069.tv#pr867id","Jogtár megnyitása")</f>
        <v>Jogtár megnyitása</v>
      </c>
    </row>
    <row r="873" customFormat="false" ht="34" hidden="false" customHeight="true" outlineLevel="0" collapsed="false">
      <c r="A873" s="15" t="s">
        <v>4039</v>
      </c>
      <c r="B873" s="15" t="s">
        <v>1299</v>
      </c>
      <c r="C873" s="15" t="s">
        <v>4040</v>
      </c>
      <c r="D873" s="15" t="s">
        <v>2869</v>
      </c>
      <c r="E873" s="16" t="str">
        <f aca="false">HYPERLINK("#'Forrásszöveg'!A"&amp;(MATCH("TV-S0868",Forrásszöveg!$A$6:$A$2497,0)+5),"56. § (4) eleje")</f>
        <v>56. § (4) eleje</v>
      </c>
      <c r="F873" s="16" t="str">
        <f aca="false">HYPERLINK("https://net.jogtar.hu/jogszabaly?docid=a2400069.tv#pr868id","Jogtár megnyitása")</f>
        <v>Jogtár megnyitása</v>
      </c>
    </row>
    <row r="874" customFormat="false" ht="38" hidden="false" customHeight="true" outlineLevel="0" collapsed="false">
      <c r="A874" s="15" t="s">
        <v>4041</v>
      </c>
      <c r="B874" s="15" t="s">
        <v>1299</v>
      </c>
      <c r="C874" s="15" t="s">
        <v>4042</v>
      </c>
      <c r="D874" s="15" t="s">
        <v>4043</v>
      </c>
      <c r="E874" s="16" t="str">
        <f aca="false">HYPERLINK("#'Forrásszöveg'!A"&amp;(MATCH("TV-S0868",Forrásszöveg!$A$6:$A$2497,0)+5),"56. § (4) eleje")</f>
        <v>56. § (4) eleje</v>
      </c>
      <c r="F874" s="16" t="str">
        <f aca="false">HYPERLINK("https://net.jogtar.hu/jogszabaly?docid=a2400069.tv#pr869id","Jogtár megnyitása")</f>
        <v>Jogtár megnyitása</v>
      </c>
    </row>
    <row r="875" customFormat="false" ht="38" hidden="false" customHeight="true" outlineLevel="0" collapsed="false">
      <c r="A875" s="15" t="s">
        <v>4044</v>
      </c>
      <c r="B875" s="15" t="s">
        <v>1299</v>
      </c>
      <c r="C875" s="15" t="s">
        <v>4045</v>
      </c>
      <c r="D875" s="15" t="s">
        <v>4046</v>
      </c>
      <c r="E875" s="16" t="str">
        <f aca="false">HYPERLINK("#'Forrásszöveg'!A"&amp;(MATCH("TV-S0868",Forrásszöveg!$A$6:$A$2497,0)+5),"56. § (4) eleje")</f>
        <v>56. § (4) eleje</v>
      </c>
      <c r="F875" s="16" t="str">
        <f aca="false">HYPERLINK("https://net.jogtar.hu/jogszabaly?docid=a2400069.tv#pr870id","Jogtár megnyitása")</f>
        <v>Jogtár megnyitása</v>
      </c>
    </row>
    <row r="876" customFormat="false" ht="34" hidden="false" customHeight="true" outlineLevel="0" collapsed="false">
      <c r="A876" s="15" t="s">
        <v>4047</v>
      </c>
      <c r="B876" s="15" t="s">
        <v>1299</v>
      </c>
      <c r="C876" s="15" t="s">
        <v>4048</v>
      </c>
      <c r="D876" s="15" t="s">
        <v>4049</v>
      </c>
      <c r="E876" s="16" t="str">
        <f aca="false">HYPERLINK("#'Forrásszöveg'!A"&amp;(MATCH("TV-S0868",Forrásszöveg!$A$6:$A$2497,0)+5),"56. § (4) eleje")</f>
        <v>56. § (4) eleje</v>
      </c>
      <c r="F876" s="16" t="str">
        <f aca="false">HYPERLINK("https://net.jogtar.hu/jogszabaly?docid=a2400069.tv#pr871id","Jogtár megnyitása")</f>
        <v>Jogtár megnyitása</v>
      </c>
    </row>
    <row r="877" customFormat="false" ht="38" hidden="false" customHeight="true" outlineLevel="0" collapsed="false">
      <c r="A877" s="15" t="s">
        <v>4050</v>
      </c>
      <c r="B877" s="15" t="s">
        <v>1299</v>
      </c>
      <c r="C877" s="15" t="s">
        <v>4051</v>
      </c>
      <c r="D877" s="15" t="s">
        <v>4052</v>
      </c>
      <c r="E877" s="16" t="str">
        <f aca="false">HYPERLINK("#'Forrásszöveg'!A"&amp;(MATCH("TV-S0872",Forrásszöveg!$A$6:$A$2497,0)+5),"56. § (4a) eleje")</f>
        <v>56. § (4a) eleje</v>
      </c>
      <c r="F877" s="16" t="str">
        <f aca="false">HYPERLINK("https://net.jogtar.hu/jogszabaly?docid=a2400069.tv#pr872id","Jogtár megnyitása")</f>
        <v>Jogtár megnyitása</v>
      </c>
    </row>
    <row r="878" customFormat="false" ht="52" hidden="false" customHeight="true" outlineLevel="0" collapsed="false">
      <c r="A878" s="15" t="s">
        <v>4053</v>
      </c>
      <c r="B878" s="15" t="s">
        <v>1299</v>
      </c>
      <c r="C878" s="15" t="s">
        <v>4054</v>
      </c>
      <c r="D878" s="15" t="s">
        <v>4055</v>
      </c>
      <c r="E878" s="16" t="str">
        <f aca="false">HYPERLINK("#'Forrásszöveg'!A"&amp;(MATCH("TV-S0873",Forrásszöveg!$A$6:$A$2497,0)+5),"56. § (5) eleje")</f>
        <v>56. § (5) eleje</v>
      </c>
      <c r="F878" s="16" t="str">
        <f aca="false">HYPERLINK("https://net.jogtar.hu/jogszabaly?docid=a2400069.tv#pr873id","Jogtár megnyitása")</f>
        <v>Jogtár megnyitása</v>
      </c>
    </row>
    <row r="879" customFormat="false" ht="52" hidden="false" customHeight="true" outlineLevel="0" collapsed="false">
      <c r="A879" s="15" t="s">
        <v>4056</v>
      </c>
      <c r="B879" s="15" t="s">
        <v>1299</v>
      </c>
      <c r="C879" s="15" t="s">
        <v>4057</v>
      </c>
      <c r="D879" s="15" t="s">
        <v>4058</v>
      </c>
      <c r="E879" s="16" t="str">
        <f aca="false">HYPERLINK("#'Forrásszöveg'!A"&amp;(MATCH("TV-S0874",Forrásszöveg!$A$6:$A$2497,0)+5),"56. § (6) eleje")</f>
        <v>56. § (6) eleje</v>
      </c>
      <c r="F879" s="16" t="str">
        <f aca="false">HYPERLINK("https://net.jogtar.hu/jogszabaly?docid=a2400069.tv#pr874id","Jogtár megnyitása")</f>
        <v>Jogtár megnyitása</v>
      </c>
    </row>
    <row r="880" customFormat="false" ht="38" hidden="false" customHeight="true" outlineLevel="0" collapsed="false">
      <c r="A880" s="15" t="s">
        <v>4059</v>
      </c>
      <c r="B880" s="15" t="s">
        <v>1299</v>
      </c>
      <c r="C880" s="15" t="s">
        <v>4060</v>
      </c>
      <c r="D880" s="15" t="s">
        <v>4061</v>
      </c>
      <c r="E880" s="16" t="str">
        <f aca="false">HYPERLINK("#'Forrásszöveg'!A"&amp;(MATCH("TV-S0875",Forrásszöveg!$A$6:$A$2497,0)+5),"56. § (7) eleje")</f>
        <v>56. § (7) eleje</v>
      </c>
      <c r="F880" s="16" t="str">
        <f aca="false">HYPERLINK("https://net.jogtar.hu/jogszabaly?docid=a2400069.tv#pr875id","Jogtár megnyitása")</f>
        <v>Jogtár megnyitása</v>
      </c>
    </row>
    <row r="881" customFormat="false" ht="34" hidden="false" customHeight="true" outlineLevel="0" collapsed="false">
      <c r="A881" s="15" t="s">
        <v>4062</v>
      </c>
      <c r="B881" s="15" t="s">
        <v>1299</v>
      </c>
      <c r="C881" s="15" t="s">
        <v>4063</v>
      </c>
      <c r="D881" s="15" t="s">
        <v>4063</v>
      </c>
      <c r="E881" s="16" t="str">
        <f aca="false">HYPERLINK("#'Forrásszöveg'!A"&amp;(MATCH("TV-S0861",Forrásszöveg!$A$6:$A$2497,0)+5),"56. § eleje")</f>
        <v>56. § eleje</v>
      </c>
      <c r="F881" s="16" t="str">
        <f aca="false">HYPERLINK("https://net.jogtar.hu/jogszabaly?docid=a2400069.tv#pr876id","Jogtár megnyitása")</f>
        <v>Jogtár megnyitása</v>
      </c>
    </row>
    <row r="882" customFormat="false" ht="34" hidden="false" customHeight="true" outlineLevel="0" collapsed="false">
      <c r="A882" s="15" t="s">
        <v>4064</v>
      </c>
      <c r="B882" s="15" t="s">
        <v>1299</v>
      </c>
      <c r="C882" s="15" t="s">
        <v>4065</v>
      </c>
      <c r="D882" s="15" t="s">
        <v>4065</v>
      </c>
      <c r="E882" s="16" t="str">
        <f aca="false">HYPERLINK("#'Forrásszöveg'!A"&amp;(MATCH("TV-S0861",Forrásszöveg!$A$6:$A$2497,0)+5),"56. § eleje")</f>
        <v>56. § eleje</v>
      </c>
      <c r="F882" s="16" t="str">
        <f aca="false">HYPERLINK("https://net.jogtar.hu/jogszabaly?docid=a2400069.tv#pr877id","Jogtár megnyitása")</f>
        <v>Jogtár megnyitása</v>
      </c>
    </row>
    <row r="883" customFormat="false" ht="38" hidden="false" customHeight="true" outlineLevel="0" collapsed="false">
      <c r="A883" s="15" t="s">
        <v>4066</v>
      </c>
      <c r="B883" s="15" t="s">
        <v>1299</v>
      </c>
      <c r="C883" s="15" t="s">
        <v>1396</v>
      </c>
      <c r="D883" s="15" t="s">
        <v>1396</v>
      </c>
      <c r="E883" s="16" t="str">
        <f aca="false">HYPERLINK("#'Forrásszöveg'!A"&amp;(MATCH("TV-S0861",Forrásszöveg!$A$6:$A$2497,0)+5),"56. § eleje")</f>
        <v>56. § eleje</v>
      </c>
      <c r="F883" s="16" t="str">
        <f aca="false">HYPERLINK("https://net.jogtar.hu/jogszabaly?docid=a2400069.tv#pr878id","Jogtár megnyitása")</f>
        <v>Jogtár megnyitása</v>
      </c>
    </row>
    <row r="884" customFormat="false" ht="34" hidden="false" customHeight="true" outlineLevel="0" collapsed="false">
      <c r="A884" s="15" t="s">
        <v>4067</v>
      </c>
      <c r="B884" s="15" t="s">
        <v>1299</v>
      </c>
      <c r="C884" s="15" t="s">
        <v>4068</v>
      </c>
      <c r="D884" s="15" t="s">
        <v>4069</v>
      </c>
      <c r="E884" s="16" t="str">
        <f aca="false">HYPERLINK("#'Forrásszöveg'!A"&amp;(MATCH("TV-S0879",Forrásszöveg!$A$6:$A$2497,0)+5),"57. § (1) eleje")</f>
        <v>57. § (1) eleje</v>
      </c>
      <c r="F884" s="16" t="str">
        <f aca="false">HYPERLINK("https://net.jogtar.hu/jogszabaly?docid=a2400069.tv#pr879id","Jogtár megnyitása")</f>
        <v>Jogtár megnyitása</v>
      </c>
    </row>
    <row r="885" customFormat="false" ht="34" hidden="false" customHeight="true" outlineLevel="0" collapsed="false">
      <c r="A885" s="15" t="s">
        <v>4070</v>
      </c>
      <c r="B885" s="15" t="s">
        <v>1299</v>
      </c>
      <c r="C885" s="15" t="s">
        <v>4071</v>
      </c>
      <c r="D885" s="15" t="s">
        <v>4072</v>
      </c>
      <c r="E885" s="16" t="str">
        <f aca="false">HYPERLINK("#'Forrásszöveg'!A"&amp;(MATCH("TV-S0879",Forrásszöveg!$A$6:$A$2497,0)+5),"57. § (1) eleje")</f>
        <v>57. § (1) eleje</v>
      </c>
      <c r="F885" s="16" t="str">
        <f aca="false">HYPERLINK("https://net.jogtar.hu/jogszabaly?docid=a2400069.tv#pr880id","Jogtár megnyitása")</f>
        <v>Jogtár megnyitása</v>
      </c>
    </row>
    <row r="886" customFormat="false" ht="38" hidden="false" customHeight="true" outlineLevel="0" collapsed="false">
      <c r="A886" s="15" t="s">
        <v>4073</v>
      </c>
      <c r="B886" s="15" t="s">
        <v>1299</v>
      </c>
      <c r="C886" s="15" t="s">
        <v>4074</v>
      </c>
      <c r="D886" s="15" t="s">
        <v>4075</v>
      </c>
      <c r="E886" s="16" t="str">
        <f aca="false">HYPERLINK("#'Forrásszöveg'!A"&amp;(MATCH("TV-S0879",Forrásszöveg!$A$6:$A$2497,0)+5),"57. § (1) eleje")</f>
        <v>57. § (1) eleje</v>
      </c>
      <c r="F886" s="16" t="str">
        <f aca="false">HYPERLINK("https://net.jogtar.hu/jogszabaly?docid=a2400069.tv#pr881id","Jogtár megnyitása")</f>
        <v>Jogtár megnyitása</v>
      </c>
    </row>
    <row r="887" customFormat="false" ht="52" hidden="false" customHeight="true" outlineLevel="0" collapsed="false">
      <c r="A887" s="15" t="s">
        <v>4076</v>
      </c>
      <c r="B887" s="15" t="s">
        <v>1299</v>
      </c>
      <c r="C887" s="15" t="s">
        <v>4077</v>
      </c>
      <c r="D887" s="15" t="s">
        <v>4078</v>
      </c>
      <c r="E887" s="16" t="str">
        <f aca="false">HYPERLINK("#'Forrásszöveg'!A"&amp;(MATCH("TV-S0879",Forrásszöveg!$A$6:$A$2497,0)+5),"57. § (1) eleje")</f>
        <v>57. § (1) eleje</v>
      </c>
      <c r="F887" s="16" t="str">
        <f aca="false">HYPERLINK("https://net.jogtar.hu/jogszabaly?docid=a2400069.tv#pr882id","Jogtár megnyitása")</f>
        <v>Jogtár megnyitása</v>
      </c>
    </row>
    <row r="888" customFormat="false" ht="38" hidden="false" customHeight="true" outlineLevel="0" collapsed="false">
      <c r="A888" s="15" t="s">
        <v>4079</v>
      </c>
      <c r="B888" s="15" t="s">
        <v>1299</v>
      </c>
      <c r="C888" s="15" t="s">
        <v>4080</v>
      </c>
      <c r="D888" s="15" t="s">
        <v>4081</v>
      </c>
      <c r="E888" s="16" t="str">
        <f aca="false">HYPERLINK("#'Forrásszöveg'!A"&amp;(MATCH("TV-S0883",Forrásszöveg!$A$6:$A$2497,0)+5),"57. § (2) eleje")</f>
        <v>57. § (2) eleje</v>
      </c>
      <c r="F888" s="16" t="str">
        <f aca="false">HYPERLINK("https://net.jogtar.hu/jogszabaly?docid=a2400069.tv#pr883id","Jogtár megnyitása")</f>
        <v>Jogtár megnyitása</v>
      </c>
    </row>
    <row r="889" customFormat="false" ht="34" hidden="false" customHeight="true" outlineLevel="0" collapsed="false">
      <c r="A889" s="15" t="s">
        <v>4082</v>
      </c>
      <c r="B889" s="15" t="s">
        <v>1299</v>
      </c>
      <c r="C889" s="15" t="s">
        <v>4080</v>
      </c>
      <c r="D889" s="15" t="s">
        <v>2567</v>
      </c>
      <c r="E889" s="16" t="str">
        <f aca="false">HYPERLINK("#'Forrásszöveg'!A"&amp;(MATCH("TV-S0883",Forrásszöveg!$A$6:$A$2497,0)+5),"57. § (2) eleje")</f>
        <v>57. § (2) eleje</v>
      </c>
      <c r="F889" s="16" t="str">
        <f aca="false">HYPERLINK("https://net.jogtar.hu/jogszabaly?docid=a2400069.tv#pr884id","Jogtár megnyitása")</f>
        <v>Jogtár megnyitása</v>
      </c>
    </row>
    <row r="890" customFormat="false" ht="34" hidden="false" customHeight="true" outlineLevel="0" collapsed="false">
      <c r="A890" s="15" t="s">
        <v>4083</v>
      </c>
      <c r="B890" s="15" t="s">
        <v>1299</v>
      </c>
      <c r="C890" s="15" t="s">
        <v>4084</v>
      </c>
      <c r="D890" s="15" t="s">
        <v>4085</v>
      </c>
      <c r="E890" s="16" t="str">
        <f aca="false">HYPERLINK("#'Forrásszöveg'!A"&amp;(MATCH("TV-S0883",Forrásszöveg!$A$6:$A$2497,0)+5),"57. § (2) eleje")</f>
        <v>57. § (2) eleje</v>
      </c>
      <c r="F890" s="16" t="str">
        <f aca="false">HYPERLINK("https://net.jogtar.hu/jogszabaly?docid=a2400069.tv#pr885id","Jogtár megnyitása")</f>
        <v>Jogtár megnyitása</v>
      </c>
    </row>
    <row r="891" customFormat="false" ht="34" hidden="false" customHeight="true" outlineLevel="0" collapsed="false">
      <c r="A891" s="15" t="s">
        <v>4086</v>
      </c>
      <c r="B891" s="15" t="s">
        <v>1299</v>
      </c>
      <c r="C891" s="15" t="s">
        <v>4087</v>
      </c>
      <c r="D891" s="15" t="s">
        <v>4088</v>
      </c>
      <c r="E891" s="16" t="str">
        <f aca="false">HYPERLINK("#'Forrásszöveg'!A"&amp;(MATCH("TV-S0883",Forrásszöveg!$A$6:$A$2497,0)+5),"57. § (2) eleje")</f>
        <v>57. § (2) eleje</v>
      </c>
      <c r="F891" s="16" t="str">
        <f aca="false">HYPERLINK("https://net.jogtar.hu/jogszabaly?docid=a2400069.tv#pr886id","Jogtár megnyitása")</f>
        <v>Jogtár megnyitása</v>
      </c>
    </row>
    <row r="892" customFormat="false" ht="34" hidden="false" customHeight="true" outlineLevel="0" collapsed="false">
      <c r="A892" s="15" t="s">
        <v>4089</v>
      </c>
      <c r="B892" s="15" t="s">
        <v>1299</v>
      </c>
      <c r="C892" s="15" t="s">
        <v>4090</v>
      </c>
      <c r="D892" s="15" t="s">
        <v>4091</v>
      </c>
      <c r="E892" s="16" t="str">
        <f aca="false">HYPERLINK("#'Forrásszöveg'!A"&amp;(MATCH("TV-S0883",Forrásszöveg!$A$6:$A$2497,0)+5),"57. § (2) eleje")</f>
        <v>57. § (2) eleje</v>
      </c>
      <c r="F892" s="16" t="str">
        <f aca="false">HYPERLINK("https://net.jogtar.hu/jogszabaly?docid=a2400069.tv#pr887id","Jogtár megnyitása")</f>
        <v>Jogtár megnyitása</v>
      </c>
    </row>
    <row r="893" customFormat="false" ht="80" hidden="false" customHeight="true" outlineLevel="0" collapsed="false">
      <c r="A893" s="15" t="s">
        <v>4092</v>
      </c>
      <c r="B893" s="15" t="s">
        <v>1299</v>
      </c>
      <c r="C893" s="15" t="s">
        <v>4093</v>
      </c>
      <c r="D893" s="15" t="s">
        <v>4094</v>
      </c>
      <c r="E893" s="16" t="str">
        <f aca="false">HYPERLINK("#'Forrásszöveg'!A"&amp;(MATCH("TV-S0888",Forrásszöveg!$A$6:$A$2497,0)+5),"57. § (3) eleje")</f>
        <v>57. § (3) eleje</v>
      </c>
      <c r="F893" s="16" t="str">
        <f aca="false">HYPERLINK("https://net.jogtar.hu/jogszabaly?docid=a2400069.tv#pr888id","Jogtár megnyitása")</f>
        <v>Jogtár megnyitása</v>
      </c>
    </row>
    <row r="894" customFormat="false" ht="52" hidden="false" customHeight="true" outlineLevel="0" collapsed="false">
      <c r="A894" s="15" t="s">
        <v>4095</v>
      </c>
      <c r="B894" s="15" t="s">
        <v>1299</v>
      </c>
      <c r="C894" s="15" t="s">
        <v>4096</v>
      </c>
      <c r="D894" s="15" t="s">
        <v>4097</v>
      </c>
      <c r="E894" s="16" t="str">
        <f aca="false">HYPERLINK("#'Forrásszöveg'!A"&amp;(MATCH("TV-S0889",Forrásszöveg!$A$6:$A$2497,0)+5),"57. § (4) eleje")</f>
        <v>57. § (4) eleje</v>
      </c>
      <c r="F894" s="16" t="str">
        <f aca="false">HYPERLINK("https://net.jogtar.hu/jogszabaly?docid=a2400069.tv#pr889id","Jogtár megnyitása")</f>
        <v>Jogtár megnyitása</v>
      </c>
    </row>
    <row r="895" customFormat="false" ht="38" hidden="false" customHeight="true" outlineLevel="0" collapsed="false">
      <c r="A895" s="15" t="s">
        <v>4098</v>
      </c>
      <c r="B895" s="15" t="s">
        <v>1299</v>
      </c>
      <c r="C895" s="15" t="s">
        <v>4099</v>
      </c>
      <c r="D895" s="15" t="s">
        <v>4100</v>
      </c>
      <c r="E895" s="16" t="str">
        <f aca="false">HYPERLINK("#'Forrásszöveg'!A"&amp;(MATCH("TV-S0890",Forrásszöveg!$A$6:$A$2497,0)+5),"57. § (5) eleje")</f>
        <v>57. § (5) eleje</v>
      </c>
      <c r="F895" s="16" t="str">
        <f aca="false">HYPERLINK("https://net.jogtar.hu/jogszabaly?docid=a2400069.tv#pr890id","Jogtár megnyitása")</f>
        <v>Jogtár megnyitása</v>
      </c>
    </row>
    <row r="896" customFormat="false" ht="34" hidden="false" customHeight="true" outlineLevel="0" collapsed="false">
      <c r="A896" s="15" t="s">
        <v>4101</v>
      </c>
      <c r="B896" s="15" t="s">
        <v>1299</v>
      </c>
      <c r="C896" s="15" t="s">
        <v>4102</v>
      </c>
      <c r="D896" s="15" t="s">
        <v>4103</v>
      </c>
      <c r="E896" s="16" t="str">
        <f aca="false">HYPERLINK("#'Forrásszöveg'!A"&amp;(MATCH("TV-S0890",Forrásszöveg!$A$6:$A$2497,0)+5),"57. § (5) eleje")</f>
        <v>57. § (5) eleje</v>
      </c>
      <c r="F896" s="16" t="str">
        <f aca="false">HYPERLINK("https://net.jogtar.hu/jogszabaly?docid=a2400069.tv#pr891id","Jogtár megnyitása")</f>
        <v>Jogtár megnyitása</v>
      </c>
    </row>
    <row r="897" customFormat="false" ht="38" hidden="false" customHeight="true" outlineLevel="0" collapsed="false">
      <c r="A897" s="15" t="s">
        <v>4104</v>
      </c>
      <c r="B897" s="15" t="s">
        <v>1299</v>
      </c>
      <c r="C897" s="15" t="s">
        <v>4105</v>
      </c>
      <c r="D897" s="15" t="s">
        <v>4106</v>
      </c>
      <c r="E897" s="16" t="str">
        <f aca="false">HYPERLINK("#'Forrásszöveg'!A"&amp;(MATCH("TV-S0890",Forrásszöveg!$A$6:$A$2497,0)+5),"57. § (5) eleje")</f>
        <v>57. § (5) eleje</v>
      </c>
      <c r="F897" s="16" t="str">
        <f aca="false">HYPERLINK("https://net.jogtar.hu/jogszabaly?docid=a2400069.tv#pr892id","Jogtár megnyitása")</f>
        <v>Jogtár megnyitása</v>
      </c>
    </row>
    <row r="898" customFormat="false" ht="34" hidden="false" customHeight="true" outlineLevel="0" collapsed="false">
      <c r="A898" s="15" t="s">
        <v>4107</v>
      </c>
      <c r="B898" s="15" t="s">
        <v>1299</v>
      </c>
      <c r="C898" s="15" t="s">
        <v>4099</v>
      </c>
      <c r="D898" s="15" t="s">
        <v>4108</v>
      </c>
      <c r="E898" s="16" t="str">
        <f aca="false">HYPERLINK("#'Forrásszöveg'!A"&amp;(MATCH("TV-S0890",Forrásszöveg!$A$6:$A$2497,0)+5),"57. § (5) eleje")</f>
        <v>57. § (5) eleje</v>
      </c>
      <c r="F898" s="16" t="str">
        <f aca="false">HYPERLINK("https://net.jogtar.hu/jogszabaly?docid=a2400069.tv#pr893id","Jogtár megnyitása")</f>
        <v>Jogtár megnyitása</v>
      </c>
    </row>
    <row r="899" customFormat="false" ht="66" hidden="false" customHeight="true" outlineLevel="0" collapsed="false">
      <c r="A899" s="15" t="s">
        <v>4109</v>
      </c>
      <c r="B899" s="15" t="s">
        <v>1299</v>
      </c>
      <c r="C899" s="15" t="s">
        <v>4110</v>
      </c>
      <c r="D899" s="15" t="s">
        <v>4111</v>
      </c>
      <c r="E899" s="16" t="str">
        <f aca="false">HYPERLINK("#'Forrásszöveg'!A"&amp;(MATCH("TV-S0894",Forrásszöveg!$A$6:$A$2497,0)+5),"57. § (6) eleje")</f>
        <v>57. § (6) eleje</v>
      </c>
      <c r="F899" s="16" t="str">
        <f aca="false">HYPERLINK("https://net.jogtar.hu/jogszabaly?docid=a2400069.tv#pr894id","Jogtár megnyitása")</f>
        <v>Jogtár megnyitása</v>
      </c>
    </row>
    <row r="900" customFormat="false" ht="52" hidden="false" customHeight="true" outlineLevel="0" collapsed="false">
      <c r="A900" s="15" t="s">
        <v>4112</v>
      </c>
      <c r="B900" s="15" t="s">
        <v>1299</v>
      </c>
      <c r="C900" s="15" t="s">
        <v>4113</v>
      </c>
      <c r="D900" s="15" t="s">
        <v>4114</v>
      </c>
      <c r="E900" s="16" t="str">
        <f aca="false">HYPERLINK("#'Forrásszöveg'!A"&amp;(MATCH("TV-S0895",Forrásszöveg!$A$6:$A$2497,0)+5),"57. § (7) eleje")</f>
        <v>57. § (7) eleje</v>
      </c>
      <c r="F900" s="16" t="str">
        <f aca="false">HYPERLINK("https://net.jogtar.hu/jogszabaly?docid=a2400069.tv#pr895id","Jogtár megnyitása")</f>
        <v>Jogtár megnyitása</v>
      </c>
    </row>
    <row r="901" customFormat="false" ht="80" hidden="false" customHeight="true" outlineLevel="0" collapsed="false">
      <c r="A901" s="15" t="s">
        <v>4115</v>
      </c>
      <c r="B901" s="15" t="s">
        <v>1299</v>
      </c>
      <c r="C901" s="15" t="s">
        <v>4116</v>
      </c>
      <c r="D901" s="15" t="s">
        <v>4117</v>
      </c>
      <c r="E901" s="16" t="str">
        <f aca="false">HYPERLINK("#'Forrásszöveg'!A"&amp;(MATCH("TV-S0896",Forrásszöveg!$A$6:$A$2497,0)+5),"57. § (8) eleje")</f>
        <v>57. § (8) eleje</v>
      </c>
      <c r="F901" s="16" t="str">
        <f aca="false">HYPERLINK("https://net.jogtar.hu/jogszabaly?docid=a2400069.tv#pr896id","Jogtár megnyitása")</f>
        <v>Jogtár megnyitása</v>
      </c>
    </row>
    <row r="902" customFormat="false" ht="52" hidden="false" customHeight="true" outlineLevel="0" collapsed="false">
      <c r="A902" s="15" t="s">
        <v>4118</v>
      </c>
      <c r="B902" s="15" t="s">
        <v>1299</v>
      </c>
      <c r="C902" s="15" t="s">
        <v>4119</v>
      </c>
      <c r="D902" s="15" t="s">
        <v>4120</v>
      </c>
      <c r="E902" s="16" t="str">
        <f aca="false">HYPERLINK("#'Forrásszöveg'!A"&amp;(MATCH("TV-S0897",Forrásszöveg!$A$6:$A$2497,0)+5),"57. § (9) eleje")</f>
        <v>57. § (9) eleje</v>
      </c>
      <c r="F902" s="16" t="str">
        <f aca="false">HYPERLINK("https://net.jogtar.hu/jogszabaly?docid=a2400069.tv#pr897id","Jogtár megnyitása")</f>
        <v>Jogtár megnyitása</v>
      </c>
    </row>
    <row r="903" customFormat="false" ht="38" hidden="false" customHeight="true" outlineLevel="0" collapsed="false">
      <c r="A903" s="15" t="s">
        <v>4121</v>
      </c>
      <c r="B903" s="15" t="s">
        <v>1299</v>
      </c>
      <c r="C903" s="15" t="s">
        <v>1398</v>
      </c>
      <c r="D903" s="15" t="s">
        <v>1398</v>
      </c>
      <c r="E903" s="16" t="str">
        <f aca="false">HYPERLINK("#'Forrásszöveg'!A"&amp;(MATCH("TV-S0879",Forrásszöveg!$A$6:$A$2497,0)+5),"57. § eleje")</f>
        <v>57. § eleje</v>
      </c>
      <c r="F903" s="16" t="str">
        <f aca="false">HYPERLINK("https://net.jogtar.hu/jogszabaly?docid=a2400069.tv#pr898id","Jogtár megnyitása")</f>
        <v>Jogtár megnyitása</v>
      </c>
    </row>
    <row r="904" customFormat="false" ht="38" hidden="false" customHeight="true" outlineLevel="0" collapsed="false">
      <c r="A904" s="15" t="s">
        <v>4122</v>
      </c>
      <c r="B904" s="15" t="s">
        <v>1299</v>
      </c>
      <c r="C904" s="15" t="s">
        <v>4123</v>
      </c>
      <c r="D904" s="15" t="s">
        <v>4124</v>
      </c>
      <c r="E904" s="16" t="str">
        <f aca="false">HYPERLINK("#'Forrásszöveg'!A"&amp;(MATCH("TV-S0899",Forrásszöveg!$A$6:$A$2497,0)+5),"58. § (1) eleje")</f>
        <v>58. § (1) eleje</v>
      </c>
      <c r="F904" s="16" t="str">
        <f aca="false">HYPERLINK("https://net.jogtar.hu/jogszabaly?docid=a2400069.tv#pr899id","Jogtár megnyitása")</f>
        <v>Jogtár megnyitása</v>
      </c>
    </row>
    <row r="905" customFormat="false" ht="38" hidden="false" customHeight="true" outlineLevel="0" collapsed="false">
      <c r="A905" s="15" t="s">
        <v>4125</v>
      </c>
      <c r="B905" s="15" t="s">
        <v>1299</v>
      </c>
      <c r="C905" s="15" t="s">
        <v>4126</v>
      </c>
      <c r="D905" s="15" t="s">
        <v>4127</v>
      </c>
      <c r="E905" s="16" t="str">
        <f aca="false">HYPERLINK("#'Forrásszöveg'!A"&amp;(MATCH("TV-S0900",Forrásszöveg!$A$6:$A$2497,0)+5),"58. § (2) eleje")</f>
        <v>58. § (2) eleje</v>
      </c>
      <c r="F905" s="16" t="str">
        <f aca="false">HYPERLINK("https://net.jogtar.hu/jogszabaly?docid=a2400069.tv#pr900id","Jogtár megnyitása")</f>
        <v>Jogtár megnyitása</v>
      </c>
    </row>
    <row r="906" customFormat="false" ht="52" hidden="false" customHeight="true" outlineLevel="0" collapsed="false">
      <c r="A906" s="15" t="s">
        <v>4128</v>
      </c>
      <c r="B906" s="15" t="s">
        <v>1299</v>
      </c>
      <c r="C906" s="15" t="s">
        <v>4129</v>
      </c>
      <c r="D906" s="15" t="s">
        <v>4130</v>
      </c>
      <c r="E906" s="16" t="str">
        <f aca="false">HYPERLINK("#'Forrásszöveg'!A"&amp;(MATCH("TV-S0901",Forrásszöveg!$A$6:$A$2497,0)+5),"58. § (3) eleje")</f>
        <v>58. § (3) eleje</v>
      </c>
      <c r="F906" s="16" t="str">
        <f aca="false">HYPERLINK("https://net.jogtar.hu/jogszabaly?docid=a2400069.tv#pr901id","Jogtár megnyitása")</f>
        <v>Jogtár megnyitása</v>
      </c>
    </row>
    <row r="907" customFormat="false" ht="52" hidden="false" customHeight="true" outlineLevel="0" collapsed="false">
      <c r="A907" s="15" t="s">
        <v>4131</v>
      </c>
      <c r="B907" s="15" t="s">
        <v>1299</v>
      </c>
      <c r="C907" s="15" t="s">
        <v>1399</v>
      </c>
      <c r="D907" s="15" t="s">
        <v>4132</v>
      </c>
      <c r="E907" s="16" t="str">
        <f aca="false">HYPERLINK("#'Forrásszöveg'!A"&amp;(MATCH("TV-S0902",Forrásszöveg!$A$6:$A$2497,0)+5),"59. § eleje")</f>
        <v>59. § eleje</v>
      </c>
      <c r="F907" s="16" t="str">
        <f aca="false">HYPERLINK("https://net.jogtar.hu/jogszabaly?docid=a2400069.tv#pr902id","Jogtár megnyitása")</f>
        <v>Jogtár megnyitása</v>
      </c>
    </row>
    <row r="908" customFormat="false" ht="52" hidden="false" customHeight="true" outlineLevel="0" collapsed="false">
      <c r="A908" s="15" t="s">
        <v>4133</v>
      </c>
      <c r="B908" s="15" t="s">
        <v>1299</v>
      </c>
      <c r="C908" s="15" t="s">
        <v>4134</v>
      </c>
      <c r="D908" s="15" t="s">
        <v>4135</v>
      </c>
      <c r="E908" s="16" t="str">
        <f aca="false">HYPERLINK("#'Forrásszöveg'!A"&amp;(MATCH("TV-S0903",Forrásszöveg!$A$6:$A$2497,0)+5),"60. § (1) eleje")</f>
        <v>60. § (1) eleje</v>
      </c>
      <c r="F908" s="16" t="str">
        <f aca="false">HYPERLINK("https://net.jogtar.hu/jogszabaly?docid=a2400069.tv#pr903id","Jogtár megnyitása")</f>
        <v>Jogtár megnyitása</v>
      </c>
    </row>
    <row r="909" customFormat="false" ht="80" hidden="false" customHeight="true" outlineLevel="0" collapsed="false">
      <c r="A909" s="15" t="s">
        <v>4136</v>
      </c>
      <c r="B909" s="15" t="s">
        <v>1299</v>
      </c>
      <c r="C909" s="15" t="s">
        <v>4137</v>
      </c>
      <c r="D909" s="15" t="s">
        <v>4138</v>
      </c>
      <c r="E909" s="16" t="str">
        <f aca="false">HYPERLINK("#'Forrásszöveg'!A"&amp;(MATCH("TV-S0904",Forrásszöveg!$A$6:$A$2497,0)+5),"60. § (2) eleje")</f>
        <v>60. § (2) eleje</v>
      </c>
      <c r="F909" s="16" t="str">
        <f aca="false">HYPERLINK("https://net.jogtar.hu/jogszabaly?docid=a2400069.tv#pr904id","Jogtár megnyitása")</f>
        <v>Jogtár megnyitása</v>
      </c>
    </row>
    <row r="910" customFormat="false" ht="52" hidden="false" customHeight="true" outlineLevel="0" collapsed="false">
      <c r="A910" s="15" t="s">
        <v>4139</v>
      </c>
      <c r="B910" s="15" t="s">
        <v>1299</v>
      </c>
      <c r="C910" s="15" t="s">
        <v>4140</v>
      </c>
      <c r="D910" s="15" t="s">
        <v>4141</v>
      </c>
      <c r="E910" s="16" t="str">
        <f aca="false">HYPERLINK("#'Forrásszöveg'!A"&amp;(MATCH("TV-S0905",Forrásszöveg!$A$6:$A$2497,0)+5),"60. § (3) eleje")</f>
        <v>60. § (3) eleje</v>
      </c>
      <c r="F910" s="16" t="str">
        <f aca="false">HYPERLINK("https://net.jogtar.hu/jogszabaly?docid=a2400069.tv#pr905id","Jogtár megnyitása")</f>
        <v>Jogtár megnyitása</v>
      </c>
    </row>
    <row r="911" customFormat="false" ht="94" hidden="false" customHeight="true" outlineLevel="0" collapsed="false">
      <c r="A911" s="15" t="s">
        <v>4142</v>
      </c>
      <c r="B911" s="15" t="s">
        <v>1299</v>
      </c>
      <c r="C911" s="15" t="s">
        <v>4143</v>
      </c>
      <c r="D911" s="15" t="s">
        <v>4144</v>
      </c>
      <c r="E911" s="16" t="str">
        <f aca="false">HYPERLINK("#'Forrásszöveg'!A"&amp;(MATCH("TV-S0906",Forrásszöveg!$A$6:$A$2497,0)+5),"60. § (4) eleje")</f>
        <v>60. § (4) eleje</v>
      </c>
      <c r="F911" s="16" t="str">
        <f aca="false">HYPERLINK("https://net.jogtar.hu/jogszabaly?docid=a2400069.tv#pr906id","Jogtár megnyitása")</f>
        <v>Jogtár megnyitása</v>
      </c>
    </row>
    <row r="912" customFormat="false" ht="52" hidden="false" customHeight="true" outlineLevel="0" collapsed="false">
      <c r="A912" s="15" t="s">
        <v>4145</v>
      </c>
      <c r="B912" s="15" t="s">
        <v>1299</v>
      </c>
      <c r="C912" s="15" t="s">
        <v>1401</v>
      </c>
      <c r="D912" s="15" t="s">
        <v>4146</v>
      </c>
      <c r="E912" s="16" t="str">
        <f aca="false">HYPERLINK("#'Forrásszöveg'!A"&amp;(MATCH("TV-S0907",Forrásszöveg!$A$6:$A$2497,0)+5),"61. § eleje")</f>
        <v>61. § eleje</v>
      </c>
      <c r="F912" s="16" t="str">
        <f aca="false">HYPERLINK("https://net.jogtar.hu/jogszabaly?docid=a2400069.tv#pr907id","Jogtár megnyitása")</f>
        <v>Jogtár megnyitása</v>
      </c>
    </row>
    <row r="913" customFormat="false" ht="52" hidden="false" customHeight="true" outlineLevel="0" collapsed="false">
      <c r="A913" s="15" t="s">
        <v>4147</v>
      </c>
      <c r="B913" s="15" t="s">
        <v>1299</v>
      </c>
      <c r="C913" s="15" t="s">
        <v>1403</v>
      </c>
      <c r="D913" s="15" t="s">
        <v>1403</v>
      </c>
      <c r="E913" s="16" t="str">
        <f aca="false">HYPERLINK("#'Forrásszöveg'!A"&amp;(MATCH("TV-S0907",Forrásszöveg!$A$6:$A$2497,0)+5),"61. § eleje")</f>
        <v>61. § eleje</v>
      </c>
      <c r="F913" s="16" t="str">
        <f aca="false">HYPERLINK("https://net.jogtar.hu/jogszabaly?docid=a2400069.tv#pr908id","Jogtár megnyitása")</f>
        <v>Jogtár megnyitása</v>
      </c>
    </row>
    <row r="914" customFormat="false" ht="34" hidden="false" customHeight="true" outlineLevel="0" collapsed="false">
      <c r="A914" s="15" t="s">
        <v>4148</v>
      </c>
      <c r="B914" s="15" t="s">
        <v>1299</v>
      </c>
      <c r="C914" s="15" t="s">
        <v>4149</v>
      </c>
      <c r="D914" s="15" t="s">
        <v>4150</v>
      </c>
      <c r="E914" s="16" t="str">
        <f aca="false">HYPERLINK("#'Forrásszöveg'!A"&amp;(MATCH("TV-S0909",Forrásszöveg!$A$6:$A$2497,0)+5),"62. § (1) eleje")</f>
        <v>62. § (1) eleje</v>
      </c>
      <c r="F914" s="16" t="str">
        <f aca="false">HYPERLINK("https://net.jogtar.hu/jogszabaly?docid=a2400069.tv#pr909id","Jogtár megnyitása")</f>
        <v>Jogtár megnyitása</v>
      </c>
    </row>
    <row r="915" customFormat="false" ht="52" hidden="false" customHeight="true" outlineLevel="0" collapsed="false">
      <c r="A915" s="15" t="s">
        <v>4151</v>
      </c>
      <c r="B915" s="15" t="s">
        <v>1299</v>
      </c>
      <c r="C915" s="15" t="s">
        <v>4152</v>
      </c>
      <c r="D915" s="15" t="s">
        <v>4153</v>
      </c>
      <c r="E915" s="16" t="str">
        <f aca="false">HYPERLINK("#'Forrásszöveg'!A"&amp;(MATCH("TV-S0910",Forrásszöveg!$A$6:$A$2497,0)+5),"62. § (2) eleje")</f>
        <v>62. § (2) eleje</v>
      </c>
      <c r="F915" s="16" t="str">
        <f aca="false">HYPERLINK("https://net.jogtar.hu/jogszabaly?docid=a2400069.tv#pr910id","Jogtár megnyitása")</f>
        <v>Jogtár megnyitása</v>
      </c>
    </row>
    <row r="916" customFormat="false" ht="38" hidden="false" customHeight="true" outlineLevel="0" collapsed="false">
      <c r="A916" s="15" t="s">
        <v>4154</v>
      </c>
      <c r="B916" s="15" t="s">
        <v>1299</v>
      </c>
      <c r="C916" s="15" t="s">
        <v>4155</v>
      </c>
      <c r="D916" s="15" t="s">
        <v>4156</v>
      </c>
      <c r="E916" s="16" t="str">
        <f aca="false">HYPERLINK("#'Forrásszöveg'!A"&amp;(MATCH("TV-S0911",Forrásszöveg!$A$6:$A$2497,0)+5),"62. § (3) eleje")</f>
        <v>62. § (3) eleje</v>
      </c>
      <c r="F916" s="16" t="str">
        <f aca="false">HYPERLINK("https://net.jogtar.hu/jogszabaly?docid=a2400069.tv#pr911id","Jogtár megnyitása")</f>
        <v>Jogtár megnyitása</v>
      </c>
    </row>
    <row r="917" customFormat="false" ht="52" hidden="false" customHeight="true" outlineLevel="0" collapsed="false">
      <c r="A917" s="15" t="s">
        <v>4157</v>
      </c>
      <c r="B917" s="15" t="s">
        <v>1299</v>
      </c>
      <c r="C917" s="15" t="s">
        <v>4158</v>
      </c>
      <c r="D917" s="15" t="s">
        <v>4159</v>
      </c>
      <c r="E917" s="16" t="str">
        <f aca="false">HYPERLINK("#'Forrásszöveg'!A"&amp;(MATCH("TV-S0912",Forrásszöveg!$A$6:$A$2497,0)+5),"62. § (4) eleje")</f>
        <v>62. § (4) eleje</v>
      </c>
      <c r="F917" s="16" t="str">
        <f aca="false">HYPERLINK("https://net.jogtar.hu/jogszabaly?docid=a2400069.tv#pr912id","Jogtár megnyitása")</f>
        <v>Jogtár megnyitása</v>
      </c>
    </row>
    <row r="918" customFormat="false" ht="34" hidden="false" customHeight="true" outlineLevel="0" collapsed="false">
      <c r="A918" s="15" t="s">
        <v>4160</v>
      </c>
      <c r="B918" s="15" t="s">
        <v>1299</v>
      </c>
      <c r="C918" s="15" t="s">
        <v>4161</v>
      </c>
      <c r="D918" s="15" t="s">
        <v>4161</v>
      </c>
      <c r="E918" s="16" t="str">
        <f aca="false">HYPERLINK("#'Forrásszöveg'!A"&amp;(MATCH("TV-S0909",Forrásszöveg!$A$6:$A$2497,0)+5),"62. § eleje")</f>
        <v>62. § eleje</v>
      </c>
      <c r="F918" s="16" t="str">
        <f aca="false">HYPERLINK("https://net.jogtar.hu/jogszabaly?docid=a2400069.tv#pr913id","Jogtár megnyitása")</f>
        <v>Jogtár megnyitása</v>
      </c>
    </row>
    <row r="919" customFormat="false" ht="38" hidden="false" customHeight="true" outlineLevel="0" collapsed="false">
      <c r="A919" s="15" t="s">
        <v>4162</v>
      </c>
      <c r="B919" s="15" t="s">
        <v>1299</v>
      </c>
      <c r="C919" s="15" t="s">
        <v>4163</v>
      </c>
      <c r="D919" s="15" t="s">
        <v>4163</v>
      </c>
      <c r="E919" s="16" t="str">
        <f aca="false">HYPERLINK("#'Forrásszöveg'!A"&amp;(MATCH("TV-S0909",Forrásszöveg!$A$6:$A$2497,0)+5),"62. § eleje")</f>
        <v>62. § eleje</v>
      </c>
      <c r="F919" s="16" t="str">
        <f aca="false">HYPERLINK("https://net.jogtar.hu/jogszabaly?docid=a2400069.tv#pr914id","Jogtár megnyitása")</f>
        <v>Jogtár megnyitása</v>
      </c>
    </row>
    <row r="920" customFormat="false" ht="38" hidden="false" customHeight="true" outlineLevel="0" collapsed="false">
      <c r="A920" s="15" t="s">
        <v>4164</v>
      </c>
      <c r="B920" s="15" t="s">
        <v>1299</v>
      </c>
      <c r="C920" s="15" t="s">
        <v>1405</v>
      </c>
      <c r="D920" s="15" t="s">
        <v>1405</v>
      </c>
      <c r="E920" s="16" t="str">
        <f aca="false">HYPERLINK("#'Forrásszöveg'!A"&amp;(MATCH("TV-S0909",Forrásszöveg!$A$6:$A$2497,0)+5),"62. § eleje")</f>
        <v>62. § eleje</v>
      </c>
      <c r="F920" s="16" t="str">
        <f aca="false">HYPERLINK("https://net.jogtar.hu/jogszabaly?docid=a2400069.tv#pr915id","Jogtár megnyitása")</f>
        <v>Jogtár megnyitása</v>
      </c>
    </row>
    <row r="921" customFormat="false" ht="66" hidden="false" customHeight="true" outlineLevel="0" collapsed="false">
      <c r="A921" s="15" t="s">
        <v>4165</v>
      </c>
      <c r="B921" s="15" t="s">
        <v>1299</v>
      </c>
      <c r="C921" s="15" t="s">
        <v>4166</v>
      </c>
      <c r="D921" s="15" t="s">
        <v>4167</v>
      </c>
      <c r="E921" s="16" t="str">
        <f aca="false">HYPERLINK("#'Forrásszöveg'!A"&amp;(MATCH("TV-S0916",Forrásszöveg!$A$6:$A$2497,0)+5),"63. § (1) eleje")</f>
        <v>63. § (1) eleje</v>
      </c>
      <c r="F921" s="16" t="str">
        <f aca="false">HYPERLINK("https://net.jogtar.hu/jogszabaly?docid=a2400069.tv#pr916id","Jogtár megnyitása")</f>
        <v>Jogtár megnyitása</v>
      </c>
    </row>
    <row r="922" customFormat="false" ht="52" hidden="false" customHeight="true" outlineLevel="0" collapsed="false">
      <c r="A922" s="15" t="s">
        <v>4168</v>
      </c>
      <c r="B922" s="15" t="s">
        <v>1299</v>
      </c>
      <c r="C922" s="15" t="s">
        <v>4169</v>
      </c>
      <c r="D922" s="15" t="s">
        <v>4170</v>
      </c>
      <c r="E922" s="16" t="str">
        <f aca="false">HYPERLINK("#'Forrásszöveg'!A"&amp;(MATCH("TV-S0917",Forrásszöveg!$A$6:$A$2497,0)+5),"63. § (2) eleje")</f>
        <v>63. § (2) eleje</v>
      </c>
      <c r="F922" s="16" t="str">
        <f aca="false">HYPERLINK("https://net.jogtar.hu/jogszabaly?docid=a2400069.tv#pr917id","Jogtár megnyitása")</f>
        <v>Jogtár megnyitása</v>
      </c>
    </row>
    <row r="923" customFormat="false" ht="94" hidden="false" customHeight="true" outlineLevel="0" collapsed="false">
      <c r="A923" s="15" t="s">
        <v>4171</v>
      </c>
      <c r="B923" s="15" t="s">
        <v>1299</v>
      </c>
      <c r="C923" s="15" t="s">
        <v>4172</v>
      </c>
      <c r="D923" s="15" t="s">
        <v>4173</v>
      </c>
      <c r="E923" s="16" t="str">
        <f aca="false">HYPERLINK("#'Forrásszöveg'!A"&amp;(MATCH("TV-S0918",Forrásszöveg!$A$6:$A$2497,0)+5),"63. § (3) eleje")</f>
        <v>63. § (3) eleje</v>
      </c>
      <c r="F923" s="16" t="str">
        <f aca="false">HYPERLINK("https://net.jogtar.hu/jogszabaly?docid=a2400069.tv#pr918id","Jogtár megnyitása")</f>
        <v>Jogtár megnyitása</v>
      </c>
    </row>
    <row r="924" customFormat="false" ht="34" hidden="false" customHeight="true" outlineLevel="0" collapsed="false">
      <c r="A924" s="15" t="s">
        <v>4174</v>
      </c>
      <c r="B924" s="15" t="s">
        <v>1299</v>
      </c>
      <c r="C924" s="15" t="s">
        <v>4175</v>
      </c>
      <c r="D924" s="15" t="s">
        <v>4176</v>
      </c>
      <c r="E924" s="16" t="str">
        <f aca="false">HYPERLINK("#'Forrásszöveg'!A"&amp;(MATCH("TV-S0919",Forrásszöveg!$A$6:$A$2497,0)+5),"64. § (1) eleje")</f>
        <v>64. § (1) eleje</v>
      </c>
      <c r="F924" s="16" t="str">
        <f aca="false">HYPERLINK("https://net.jogtar.hu/jogszabaly?docid=a2400069.tv#pr919id","Jogtár megnyitása")</f>
        <v>Jogtár megnyitása</v>
      </c>
    </row>
    <row r="925" customFormat="false" ht="34" hidden="false" customHeight="true" outlineLevel="0" collapsed="false">
      <c r="A925" s="15" t="s">
        <v>4177</v>
      </c>
      <c r="B925" s="15" t="s">
        <v>1299</v>
      </c>
      <c r="C925" s="15" t="s">
        <v>4178</v>
      </c>
      <c r="D925" s="15" t="s">
        <v>4179</v>
      </c>
      <c r="E925" s="16" t="str">
        <f aca="false">HYPERLINK("#'Forrásszöveg'!A"&amp;(MATCH("TV-S0919",Forrásszöveg!$A$6:$A$2497,0)+5),"64. § (1) eleje")</f>
        <v>64. § (1) eleje</v>
      </c>
      <c r="F925" s="16" t="str">
        <f aca="false">HYPERLINK("https://net.jogtar.hu/jogszabaly?docid=a2400069.tv#pr920id","Jogtár megnyitása")</f>
        <v>Jogtár megnyitása</v>
      </c>
    </row>
    <row r="926" customFormat="false" ht="34" hidden="false" customHeight="true" outlineLevel="0" collapsed="false">
      <c r="A926" s="15" t="s">
        <v>4180</v>
      </c>
      <c r="B926" s="15" t="s">
        <v>1299</v>
      </c>
      <c r="C926" s="15" t="s">
        <v>4181</v>
      </c>
      <c r="D926" s="15" t="s">
        <v>4182</v>
      </c>
      <c r="E926" s="16" t="str">
        <f aca="false">HYPERLINK("#'Forrásszöveg'!A"&amp;(MATCH("TV-S0919",Forrásszöveg!$A$6:$A$2497,0)+5),"64. § (1) eleje")</f>
        <v>64. § (1) eleje</v>
      </c>
      <c r="F926" s="16" t="str">
        <f aca="false">HYPERLINK("https://net.jogtar.hu/jogszabaly?docid=a2400069.tv#pr921id","Jogtár megnyitása")</f>
        <v>Jogtár megnyitása</v>
      </c>
    </row>
    <row r="927" customFormat="false" ht="34" hidden="false" customHeight="true" outlineLevel="0" collapsed="false">
      <c r="A927" s="15" t="s">
        <v>4183</v>
      </c>
      <c r="B927" s="15" t="s">
        <v>1299</v>
      </c>
      <c r="C927" s="15" t="s">
        <v>4184</v>
      </c>
      <c r="D927" s="15" t="s">
        <v>4185</v>
      </c>
      <c r="E927" s="16" t="str">
        <f aca="false">HYPERLINK("#'Forrásszöveg'!A"&amp;(MATCH("TV-S0919",Forrásszöveg!$A$6:$A$2497,0)+5),"64. § (1) eleje")</f>
        <v>64. § (1) eleje</v>
      </c>
      <c r="F927" s="16" t="str">
        <f aca="false">HYPERLINK("https://net.jogtar.hu/jogszabaly?docid=a2400069.tv#pr922id","Jogtár megnyitása")</f>
        <v>Jogtár megnyitása</v>
      </c>
    </row>
    <row r="928" customFormat="false" ht="34" hidden="false" customHeight="true" outlineLevel="0" collapsed="false">
      <c r="A928" s="15" t="s">
        <v>4186</v>
      </c>
      <c r="B928" s="15" t="s">
        <v>1299</v>
      </c>
      <c r="C928" s="15" t="s">
        <v>4187</v>
      </c>
      <c r="D928" s="15" t="s">
        <v>4188</v>
      </c>
      <c r="E928" s="16" t="str">
        <f aca="false">HYPERLINK("#'Forrásszöveg'!A"&amp;(MATCH("TV-S0919",Forrásszöveg!$A$6:$A$2497,0)+5),"64. § (1) eleje")</f>
        <v>64. § (1) eleje</v>
      </c>
      <c r="F928" s="16" t="str">
        <f aca="false">HYPERLINK("https://net.jogtar.hu/jogszabaly?docid=a2400069.tv#pr923id","Jogtár megnyitása")</f>
        <v>Jogtár megnyitása</v>
      </c>
    </row>
    <row r="929" customFormat="false" ht="34" hidden="false" customHeight="true" outlineLevel="0" collapsed="false">
      <c r="A929" s="15" t="s">
        <v>4189</v>
      </c>
      <c r="B929" s="15" t="s">
        <v>1299</v>
      </c>
      <c r="C929" s="15" t="s">
        <v>4190</v>
      </c>
      <c r="D929" s="15" t="s">
        <v>4191</v>
      </c>
      <c r="E929" s="16" t="str">
        <f aca="false">HYPERLINK("#'Forrásszöveg'!A"&amp;(MATCH("TV-S0919",Forrásszöveg!$A$6:$A$2497,0)+5),"64. § (1) eleje")</f>
        <v>64. § (1) eleje</v>
      </c>
      <c r="F929" s="16" t="str">
        <f aca="false">HYPERLINK("https://net.jogtar.hu/jogszabaly?docid=a2400069.tv#pr924id","Jogtár megnyitása")</f>
        <v>Jogtár megnyitása</v>
      </c>
    </row>
    <row r="930" customFormat="false" ht="34" hidden="false" customHeight="true" outlineLevel="0" collapsed="false">
      <c r="A930" s="15" t="s">
        <v>4192</v>
      </c>
      <c r="B930" s="15" t="s">
        <v>1299</v>
      </c>
      <c r="C930" s="15" t="s">
        <v>4193</v>
      </c>
      <c r="D930" s="15" t="s">
        <v>4194</v>
      </c>
      <c r="E930" s="16" t="str">
        <f aca="false">HYPERLINK("#'Forrásszöveg'!A"&amp;(MATCH("TV-S0919",Forrásszöveg!$A$6:$A$2497,0)+5),"64. § (1) eleje")</f>
        <v>64. § (1) eleje</v>
      </c>
      <c r="F930" s="16" t="str">
        <f aca="false">HYPERLINK("https://net.jogtar.hu/jogszabaly?docid=a2400069.tv#pr925id","Jogtár megnyitása")</f>
        <v>Jogtár megnyitása</v>
      </c>
    </row>
    <row r="931" customFormat="false" ht="34" hidden="false" customHeight="true" outlineLevel="0" collapsed="false">
      <c r="A931" s="15" t="s">
        <v>4195</v>
      </c>
      <c r="B931" s="15" t="s">
        <v>1299</v>
      </c>
      <c r="C931" s="15" t="s">
        <v>4175</v>
      </c>
      <c r="D931" s="15" t="s">
        <v>4196</v>
      </c>
      <c r="E931" s="16" t="str">
        <f aca="false">HYPERLINK("#'Forrásszöveg'!A"&amp;(MATCH("TV-S0919",Forrásszöveg!$A$6:$A$2497,0)+5),"64. § (1) eleje")</f>
        <v>64. § (1) eleje</v>
      </c>
      <c r="F931" s="16" t="str">
        <f aca="false">HYPERLINK("https://net.jogtar.hu/jogszabaly?docid=a2400069.tv#pr926id","Jogtár megnyitása")</f>
        <v>Jogtár megnyitása</v>
      </c>
    </row>
    <row r="932" customFormat="false" ht="38" hidden="false" customHeight="true" outlineLevel="0" collapsed="false">
      <c r="A932" s="15" t="s">
        <v>4197</v>
      </c>
      <c r="B932" s="15" t="s">
        <v>1299</v>
      </c>
      <c r="C932" s="15" t="s">
        <v>4198</v>
      </c>
      <c r="D932" s="15" t="s">
        <v>4199</v>
      </c>
      <c r="E932" s="16" t="str">
        <f aca="false">HYPERLINK("#'Forrásszöveg'!A"&amp;(MATCH("TV-S0927",Forrásszöveg!$A$6:$A$2497,0)+5),"64. § (2) eleje")</f>
        <v>64. § (2) eleje</v>
      </c>
      <c r="F932" s="16" t="str">
        <f aca="false">HYPERLINK("https://net.jogtar.hu/jogszabaly?docid=a2400069.tv#pr927id","Jogtár megnyitása")</f>
        <v>Jogtár megnyitása</v>
      </c>
    </row>
    <row r="933" customFormat="false" ht="38" hidden="false" customHeight="true" outlineLevel="0" collapsed="false">
      <c r="A933" s="15" t="s">
        <v>4200</v>
      </c>
      <c r="B933" s="15" t="s">
        <v>1299</v>
      </c>
      <c r="C933" s="15" t="s">
        <v>4201</v>
      </c>
      <c r="D933" s="15" t="s">
        <v>4202</v>
      </c>
      <c r="E933" s="16" t="str">
        <f aca="false">HYPERLINK("#'Forrásszöveg'!A"&amp;(MATCH("TV-S0927",Forrásszöveg!$A$6:$A$2497,0)+5),"64. § (2) eleje")</f>
        <v>64. § (2) eleje</v>
      </c>
      <c r="F933" s="16" t="str">
        <f aca="false">HYPERLINK("https://net.jogtar.hu/jogszabaly?docid=a2400069.tv#pr928id","Jogtár megnyitása")</f>
        <v>Jogtár megnyitása</v>
      </c>
    </row>
    <row r="934" customFormat="false" ht="38" hidden="false" customHeight="true" outlineLevel="0" collapsed="false">
      <c r="A934" s="15" t="s">
        <v>4203</v>
      </c>
      <c r="B934" s="15" t="s">
        <v>1299</v>
      </c>
      <c r="C934" s="15" t="s">
        <v>4204</v>
      </c>
      <c r="D934" s="15" t="s">
        <v>4205</v>
      </c>
      <c r="E934" s="16" t="str">
        <f aca="false">HYPERLINK("#'Forrásszöveg'!A"&amp;(MATCH("TV-S0927",Forrásszöveg!$A$6:$A$2497,0)+5),"64. § (2) eleje")</f>
        <v>64. § (2) eleje</v>
      </c>
      <c r="F934" s="16" t="str">
        <f aca="false">HYPERLINK("https://net.jogtar.hu/jogszabaly?docid=a2400069.tv#pr929id","Jogtár megnyitása")</f>
        <v>Jogtár megnyitása</v>
      </c>
    </row>
    <row r="935" customFormat="false" ht="38" hidden="false" customHeight="true" outlineLevel="0" collapsed="false">
      <c r="A935" s="15" t="s">
        <v>4206</v>
      </c>
      <c r="B935" s="15" t="s">
        <v>1299</v>
      </c>
      <c r="C935" s="15" t="s">
        <v>4207</v>
      </c>
      <c r="D935" s="15" t="s">
        <v>4208</v>
      </c>
      <c r="E935" s="16" t="str">
        <f aca="false">HYPERLINK("#'Forrásszöveg'!A"&amp;(MATCH("TV-S0927",Forrásszöveg!$A$6:$A$2497,0)+5),"64. § (2) eleje")</f>
        <v>64. § (2) eleje</v>
      </c>
      <c r="F935" s="16" t="str">
        <f aca="false">HYPERLINK("https://net.jogtar.hu/jogszabaly?docid=a2400069.tv#pr930id","Jogtár megnyitása")</f>
        <v>Jogtár megnyitása</v>
      </c>
    </row>
    <row r="936" customFormat="false" ht="38" hidden="false" customHeight="true" outlineLevel="0" collapsed="false">
      <c r="A936" s="15" t="s">
        <v>4209</v>
      </c>
      <c r="B936" s="15" t="s">
        <v>1299</v>
      </c>
      <c r="C936" s="15" t="s">
        <v>4210</v>
      </c>
      <c r="D936" s="15" t="s">
        <v>4211</v>
      </c>
      <c r="E936" s="16" t="str">
        <f aca="false">HYPERLINK("#'Forrásszöveg'!A"&amp;(MATCH("TV-S0927",Forrásszöveg!$A$6:$A$2497,0)+5),"64. § (2) eleje")</f>
        <v>64. § (2) eleje</v>
      </c>
      <c r="F936" s="16" t="str">
        <f aca="false">HYPERLINK("https://net.jogtar.hu/jogszabaly?docid=a2400069.tv#pr931id","Jogtár megnyitása")</f>
        <v>Jogtár megnyitása</v>
      </c>
    </row>
    <row r="937" customFormat="false" ht="178" hidden="false" customHeight="true" outlineLevel="0" collapsed="false">
      <c r="A937" s="15" t="s">
        <v>4212</v>
      </c>
      <c r="B937" s="15" t="s">
        <v>1299</v>
      </c>
      <c r="C937" s="15" t="s">
        <v>4213</v>
      </c>
      <c r="D937" s="15" t="s">
        <v>4214</v>
      </c>
      <c r="E937" s="16" t="str">
        <f aca="false">HYPERLINK("#'Forrásszöveg'!A"&amp;(MATCH("TV-S0932",Forrásszöveg!$A$6:$A$2497,0)+5),"64. § (3) eleje")</f>
        <v>64. § (3) eleje</v>
      </c>
      <c r="F937" s="16" t="str">
        <f aca="false">HYPERLINK("https://net.jogtar.hu/jogszabaly?docid=a2400069.tv#pr932id","Jogtár megnyitása")</f>
        <v>Jogtár megnyitása</v>
      </c>
    </row>
    <row r="938" customFormat="false" ht="38" hidden="false" customHeight="true" outlineLevel="0" collapsed="false">
      <c r="A938" s="15" t="s">
        <v>4215</v>
      </c>
      <c r="B938" s="15" t="s">
        <v>1299</v>
      </c>
      <c r="C938" s="15" t="s">
        <v>4216</v>
      </c>
      <c r="D938" s="15" t="s">
        <v>4217</v>
      </c>
      <c r="E938" s="16" t="str">
        <f aca="false">HYPERLINK("#'Forrásszöveg'!A"&amp;(MATCH("TV-S0933",Forrásszöveg!$A$6:$A$2497,0)+5),"64. § (4) eleje")</f>
        <v>64. § (4) eleje</v>
      </c>
      <c r="F938" s="16" t="str">
        <f aca="false">HYPERLINK("https://net.jogtar.hu/jogszabaly?docid=a2400069.tv#pr933id","Jogtár megnyitása")</f>
        <v>Jogtár megnyitása</v>
      </c>
    </row>
    <row r="939" customFormat="false" ht="38" hidden="false" customHeight="true" outlineLevel="0" collapsed="false">
      <c r="A939" s="15" t="s">
        <v>4218</v>
      </c>
      <c r="B939" s="15" t="s">
        <v>1299</v>
      </c>
      <c r="C939" s="15" t="s">
        <v>4219</v>
      </c>
      <c r="D939" s="15" t="s">
        <v>4220</v>
      </c>
      <c r="E939" s="16" t="str">
        <f aca="false">HYPERLINK("#'Forrásszöveg'!A"&amp;(MATCH("TV-S0934",Forrásszöveg!$A$6:$A$2497,0)+5),"64. § (5) eleje")</f>
        <v>64. § (5) eleje</v>
      </c>
      <c r="F939" s="16" t="str">
        <f aca="false">HYPERLINK("https://net.jogtar.hu/jogszabaly?docid=a2400069.tv#pr934id","Jogtár megnyitása")</f>
        <v>Jogtár megnyitása</v>
      </c>
    </row>
    <row r="940" customFormat="false" ht="38" hidden="false" customHeight="true" outlineLevel="0" collapsed="false">
      <c r="A940" s="15" t="s">
        <v>4221</v>
      </c>
      <c r="B940" s="15" t="s">
        <v>1299</v>
      </c>
      <c r="C940" s="15" t="s">
        <v>4222</v>
      </c>
      <c r="D940" s="15" t="s">
        <v>4223</v>
      </c>
      <c r="E940" s="16" t="str">
        <f aca="false">HYPERLINK("#'Forrásszöveg'!A"&amp;(MATCH("TV-S0935",Forrásszöveg!$A$6:$A$2497,0)+5),"64. § (6) eleje")</f>
        <v>64. § (6) eleje</v>
      </c>
      <c r="F940" s="16" t="str">
        <f aca="false">HYPERLINK("https://net.jogtar.hu/jogszabaly?docid=a2400069.tv#pr935id","Jogtár megnyitása")</f>
        <v>Jogtár megnyitása</v>
      </c>
    </row>
    <row r="941" customFormat="false" ht="66" hidden="false" customHeight="true" outlineLevel="0" collapsed="false">
      <c r="A941" s="15" t="s">
        <v>4224</v>
      </c>
      <c r="B941" s="15" t="s">
        <v>1299</v>
      </c>
      <c r="C941" s="15" t="s">
        <v>4225</v>
      </c>
      <c r="D941" s="15" t="s">
        <v>4226</v>
      </c>
      <c r="E941" s="16" t="str">
        <f aca="false">HYPERLINK("#'Forrásszöveg'!A"&amp;(MATCH("TV-S0936",Forrásszöveg!$A$6:$A$2497,0)+5),"64. § (7) eleje")</f>
        <v>64. § (7) eleje</v>
      </c>
      <c r="F941" s="16" t="str">
        <f aca="false">HYPERLINK("https://net.jogtar.hu/jogszabaly?docid=a2400069.tv#pr936id","Jogtár megnyitása")</f>
        <v>Jogtár megnyitása</v>
      </c>
    </row>
    <row r="942" customFormat="false" ht="38" hidden="false" customHeight="true" outlineLevel="0" collapsed="false">
      <c r="A942" s="15" t="s">
        <v>4227</v>
      </c>
      <c r="B942" s="15" t="s">
        <v>1299</v>
      </c>
      <c r="C942" s="15" t="s">
        <v>1408</v>
      </c>
      <c r="D942" s="15" t="s">
        <v>1408</v>
      </c>
      <c r="E942" s="16" t="str">
        <f aca="false">HYPERLINK("#'Forrásszöveg'!A"&amp;(MATCH("TV-S0919",Forrásszöveg!$A$6:$A$2497,0)+5),"64. § eleje")</f>
        <v>64. § eleje</v>
      </c>
      <c r="F942" s="16" t="str">
        <f aca="false">HYPERLINK("https://net.jogtar.hu/jogszabaly?docid=a2400069.tv#pr937id","Jogtár megnyitása")</f>
        <v>Jogtár megnyitása</v>
      </c>
    </row>
    <row r="943" customFormat="false" ht="52" hidden="false" customHeight="true" outlineLevel="0" collapsed="false">
      <c r="A943" s="15" t="s">
        <v>4228</v>
      </c>
      <c r="B943" s="15" t="s">
        <v>1299</v>
      </c>
      <c r="C943" s="15" t="s">
        <v>4229</v>
      </c>
      <c r="D943" s="15" t="s">
        <v>4230</v>
      </c>
      <c r="E943" s="16" t="str">
        <f aca="false">HYPERLINK("#'Forrásszöveg'!A"&amp;(MATCH("TV-S0938",Forrásszöveg!$A$6:$A$2497,0)+5),"65. § (1) eleje")</f>
        <v>65. § (1) eleje</v>
      </c>
      <c r="F943" s="16" t="str">
        <f aca="false">HYPERLINK("https://net.jogtar.hu/jogszabaly?docid=a2400069.tv#pr938id","Jogtár megnyitása")</f>
        <v>Jogtár megnyitása</v>
      </c>
    </row>
    <row r="944" customFormat="false" ht="52" hidden="false" customHeight="true" outlineLevel="0" collapsed="false">
      <c r="A944" s="15" t="s">
        <v>4231</v>
      </c>
      <c r="B944" s="15" t="s">
        <v>1299</v>
      </c>
      <c r="C944" s="15" t="s">
        <v>4232</v>
      </c>
      <c r="D944" s="15" t="s">
        <v>4233</v>
      </c>
      <c r="E944" s="16" t="str">
        <f aca="false">HYPERLINK("#'Forrásszöveg'!A"&amp;(MATCH("TV-S0939",Forrásszöveg!$A$6:$A$2497,0)+5),"65. § (2) eleje")</f>
        <v>65. § (2) eleje</v>
      </c>
      <c r="F944" s="16" t="str">
        <f aca="false">HYPERLINK("https://net.jogtar.hu/jogszabaly?docid=a2400069.tv#pr939id","Jogtár megnyitása")</f>
        <v>Jogtár megnyitása</v>
      </c>
    </row>
    <row r="945" customFormat="false" ht="66" hidden="false" customHeight="true" outlineLevel="0" collapsed="false">
      <c r="A945" s="15" t="s">
        <v>4234</v>
      </c>
      <c r="B945" s="15" t="s">
        <v>1299</v>
      </c>
      <c r="C945" s="15" t="s">
        <v>4235</v>
      </c>
      <c r="D945" s="15" t="s">
        <v>4236</v>
      </c>
      <c r="E945" s="16" t="str">
        <f aca="false">HYPERLINK("#'Forrásszöveg'!A"&amp;(MATCH("TV-S0940",Forrásszöveg!$A$6:$A$2497,0)+5),"65. § (3) eleje")</f>
        <v>65. § (3) eleje</v>
      </c>
      <c r="F945" s="16" t="str">
        <f aca="false">HYPERLINK("https://net.jogtar.hu/jogszabaly?docid=a2400069.tv#pr940id","Jogtár megnyitása")</f>
        <v>Jogtár megnyitása</v>
      </c>
    </row>
    <row r="946" customFormat="false" ht="38" hidden="false" customHeight="true" outlineLevel="0" collapsed="false">
      <c r="A946" s="15" t="s">
        <v>4237</v>
      </c>
      <c r="B946" s="15" t="s">
        <v>1299</v>
      </c>
      <c r="C946" s="15" t="s">
        <v>4238</v>
      </c>
      <c r="D946" s="15" t="s">
        <v>4239</v>
      </c>
      <c r="E946" s="16" t="str">
        <f aca="false">HYPERLINK("#'Forrásszöveg'!A"&amp;(MATCH("TV-S0941",Forrásszöveg!$A$6:$A$2497,0)+5),"65. § (4) eleje")</f>
        <v>65. § (4) eleje</v>
      </c>
      <c r="F946" s="16" t="str">
        <f aca="false">HYPERLINK("https://net.jogtar.hu/jogszabaly?docid=a2400069.tv#pr941id","Jogtár megnyitása")</f>
        <v>Jogtár megnyitása</v>
      </c>
    </row>
    <row r="947" customFormat="false" ht="94" hidden="false" customHeight="true" outlineLevel="0" collapsed="false">
      <c r="A947" s="15" t="s">
        <v>4240</v>
      </c>
      <c r="B947" s="15" t="s">
        <v>1299</v>
      </c>
      <c r="C947" s="15" t="s">
        <v>4241</v>
      </c>
      <c r="D947" s="15" t="s">
        <v>4242</v>
      </c>
      <c r="E947" s="16" t="str">
        <f aca="false">HYPERLINK("#'Forrásszöveg'!A"&amp;(MATCH("TV-S0942",Forrásszöveg!$A$6:$A$2497,0)+5),"65. § (5) eleje")</f>
        <v>65. § (5) eleje</v>
      </c>
      <c r="F947" s="16" t="str">
        <f aca="false">HYPERLINK("https://net.jogtar.hu/jogszabaly?docid=a2400069.tv#pr942id","Jogtár megnyitása")</f>
        <v>Jogtár megnyitása</v>
      </c>
    </row>
    <row r="948" customFormat="false" ht="52" hidden="false" customHeight="true" outlineLevel="0" collapsed="false">
      <c r="A948" s="15" t="s">
        <v>4243</v>
      </c>
      <c r="B948" s="15" t="s">
        <v>1299</v>
      </c>
      <c r="C948" s="15" t="s">
        <v>4244</v>
      </c>
      <c r="D948" s="15" t="s">
        <v>4245</v>
      </c>
      <c r="E948" s="16" t="str">
        <f aca="false">HYPERLINK("#'Forrásszöveg'!A"&amp;(MATCH("TV-S0943",Forrásszöveg!$A$6:$A$2497,0)+5),"65. § (6) eleje")</f>
        <v>65. § (6) eleje</v>
      </c>
      <c r="F948" s="16" t="str">
        <f aca="false">HYPERLINK("https://net.jogtar.hu/jogszabaly?docid=a2400069.tv#pr943id","Jogtár megnyitása")</f>
        <v>Jogtár megnyitása</v>
      </c>
    </row>
    <row r="949" customFormat="false" ht="38" hidden="false" customHeight="true" outlineLevel="0" collapsed="false">
      <c r="A949" s="15" t="s">
        <v>4246</v>
      </c>
      <c r="B949" s="15" t="s">
        <v>1299</v>
      </c>
      <c r="C949" s="15" t="s">
        <v>4247</v>
      </c>
      <c r="D949" s="15" t="s">
        <v>4248</v>
      </c>
      <c r="E949" s="16" t="str">
        <f aca="false">HYPERLINK("#'Forrásszöveg'!A"&amp;(MATCH("TV-S0944",Forrásszöveg!$A$6:$A$2497,0)+5),"65. § (7) eleje")</f>
        <v>65. § (7) eleje</v>
      </c>
      <c r="F949" s="16" t="str">
        <f aca="false">HYPERLINK("https://net.jogtar.hu/jogszabaly?docid=a2400069.tv#pr944id","Jogtár megnyitása")</f>
        <v>Jogtár megnyitása</v>
      </c>
    </row>
    <row r="950" customFormat="false" ht="38" hidden="false" customHeight="true" outlineLevel="0" collapsed="false">
      <c r="A950" s="15" t="s">
        <v>4249</v>
      </c>
      <c r="B950" s="15" t="s">
        <v>1299</v>
      </c>
      <c r="C950" s="15" t="s">
        <v>4250</v>
      </c>
      <c r="D950" s="15" t="s">
        <v>4251</v>
      </c>
      <c r="E950" s="16" t="str">
        <f aca="false">HYPERLINK("#'Forrásszöveg'!A"&amp;(MATCH("TV-S0945",Forrásszöveg!$A$6:$A$2497,0)+5),"65. § (8) eleje")</f>
        <v>65. § (8) eleje</v>
      </c>
      <c r="F950" s="16" t="str">
        <f aca="false">HYPERLINK("https://net.jogtar.hu/jogszabaly?docid=a2400069.tv#pr945id","Jogtár megnyitása")</f>
        <v>Jogtár megnyitása</v>
      </c>
    </row>
    <row r="951" customFormat="false" ht="38" hidden="false" customHeight="true" outlineLevel="0" collapsed="false">
      <c r="A951" s="15" t="s">
        <v>4252</v>
      </c>
      <c r="B951" s="15" t="s">
        <v>1299</v>
      </c>
      <c r="C951" s="15" t="s">
        <v>1410</v>
      </c>
      <c r="D951" s="15" t="s">
        <v>1410</v>
      </c>
      <c r="E951" s="16" t="str">
        <f aca="false">HYPERLINK("#'Forrásszöveg'!A"&amp;(MATCH("TV-S0938",Forrásszöveg!$A$6:$A$2497,0)+5),"65. § eleje")</f>
        <v>65. § eleje</v>
      </c>
      <c r="F951" s="16" t="str">
        <f aca="false">HYPERLINK("https://net.jogtar.hu/jogszabaly?docid=a2400069.tv#pr946id","Jogtár megnyitása")</f>
        <v>Jogtár megnyitása</v>
      </c>
    </row>
    <row r="952" customFormat="false" ht="66" hidden="false" customHeight="true" outlineLevel="0" collapsed="false">
      <c r="A952" s="15" t="s">
        <v>4253</v>
      </c>
      <c r="B952" s="15" t="s">
        <v>1299</v>
      </c>
      <c r="C952" s="15" t="s">
        <v>4254</v>
      </c>
      <c r="D952" s="15" t="s">
        <v>4255</v>
      </c>
      <c r="E952" s="16" t="str">
        <f aca="false">HYPERLINK("#'Forrásszöveg'!A"&amp;(MATCH("TV-S0947",Forrásszöveg!$A$6:$A$2497,0)+5),"66. § (1) eleje")</f>
        <v>66. § (1) eleje</v>
      </c>
      <c r="F952" s="16" t="str">
        <f aca="false">HYPERLINK("https://net.jogtar.hu/jogszabaly?docid=a2400069.tv#pr947id","Jogtár megnyitása")</f>
        <v>Jogtár megnyitása</v>
      </c>
    </row>
    <row r="953" customFormat="false" ht="94" hidden="false" customHeight="true" outlineLevel="0" collapsed="false">
      <c r="A953" s="15" t="s">
        <v>4256</v>
      </c>
      <c r="B953" s="15" t="s">
        <v>1299</v>
      </c>
      <c r="C953" s="15" t="s">
        <v>4257</v>
      </c>
      <c r="D953" s="15" t="s">
        <v>4258</v>
      </c>
      <c r="E953" s="16" t="str">
        <f aca="false">HYPERLINK("#'Forrásszöveg'!A"&amp;(MATCH("TV-S0948",Forrásszöveg!$A$6:$A$2497,0)+5),"66. § (2) eleje")</f>
        <v>66. § (2) eleje</v>
      </c>
      <c r="F953" s="16" t="str">
        <f aca="false">HYPERLINK("https://net.jogtar.hu/jogszabaly?docid=a2400069.tv#pr948id","Jogtár megnyitása")</f>
        <v>Jogtár megnyitása</v>
      </c>
    </row>
    <row r="954" customFormat="false" ht="38" hidden="false" customHeight="true" outlineLevel="0" collapsed="false">
      <c r="A954" s="15" t="s">
        <v>4259</v>
      </c>
      <c r="B954" s="15" t="s">
        <v>1299</v>
      </c>
      <c r="C954" s="15" t="s">
        <v>4260</v>
      </c>
      <c r="D954" s="15" t="s">
        <v>4261</v>
      </c>
      <c r="E954" s="16" t="str">
        <f aca="false">HYPERLINK("#'Forrásszöveg'!A"&amp;(MATCH("TV-S0949",Forrásszöveg!$A$6:$A$2497,0)+5),"66. § (3) eleje")</f>
        <v>66. § (3) eleje</v>
      </c>
      <c r="F954" s="16" t="str">
        <f aca="false">HYPERLINK("https://net.jogtar.hu/jogszabaly?docid=a2400069.tv#pr949id","Jogtár megnyitása")</f>
        <v>Jogtár megnyitása</v>
      </c>
    </row>
    <row r="955" customFormat="false" ht="52" hidden="false" customHeight="true" outlineLevel="0" collapsed="false">
      <c r="A955" s="15" t="s">
        <v>4262</v>
      </c>
      <c r="B955" s="15" t="s">
        <v>1299</v>
      </c>
      <c r="C955" s="15" t="s">
        <v>4263</v>
      </c>
      <c r="D955" s="15" t="s">
        <v>4264</v>
      </c>
      <c r="E955" s="16" t="str">
        <f aca="false">HYPERLINK("#'Forrásszöveg'!A"&amp;(MATCH("TV-S0950",Forrásszöveg!$A$6:$A$2497,0)+5),"66. § (4) eleje")</f>
        <v>66. § (4) eleje</v>
      </c>
      <c r="F955" s="16" t="str">
        <f aca="false">HYPERLINK("https://net.jogtar.hu/jogszabaly?docid=a2400069.tv#pr950id","Jogtár megnyitása")</f>
        <v>Jogtár megnyitása</v>
      </c>
    </row>
    <row r="956" customFormat="false" ht="52" hidden="false" customHeight="true" outlineLevel="0" collapsed="false">
      <c r="A956" s="15" t="s">
        <v>4265</v>
      </c>
      <c r="B956" s="15" t="s">
        <v>1299</v>
      </c>
      <c r="C956" s="15" t="s">
        <v>4266</v>
      </c>
      <c r="D956" s="15" t="s">
        <v>4267</v>
      </c>
      <c r="E956" s="16" t="str">
        <f aca="false">HYPERLINK("#'Forrásszöveg'!A"&amp;(MATCH("TV-S0951",Forrásszöveg!$A$6:$A$2497,0)+5),"66. § (5) eleje")</f>
        <v>66. § (5) eleje</v>
      </c>
      <c r="F956" s="16" t="str">
        <f aca="false">HYPERLINK("https://net.jogtar.hu/jogszabaly?docid=a2400069.tv#pr951id","Jogtár megnyitása")</f>
        <v>Jogtár megnyitása</v>
      </c>
    </row>
    <row r="957" customFormat="false" ht="52" hidden="false" customHeight="true" outlineLevel="0" collapsed="false">
      <c r="A957" s="15" t="s">
        <v>4268</v>
      </c>
      <c r="B957" s="15" t="s">
        <v>1299</v>
      </c>
      <c r="C957" s="15" t="s">
        <v>4269</v>
      </c>
      <c r="D957" s="15" t="s">
        <v>4270</v>
      </c>
      <c r="E957" s="16" t="str">
        <f aca="false">HYPERLINK("#'Forrásszöveg'!A"&amp;(MATCH("TV-S0952",Forrásszöveg!$A$6:$A$2497,0)+5),"66. § (6) eleje")</f>
        <v>66. § (6) eleje</v>
      </c>
      <c r="F957" s="16" t="str">
        <f aca="false">HYPERLINK("https://net.jogtar.hu/jogszabaly?docid=a2400069.tv#pr952id","Jogtár megnyitása")</f>
        <v>Jogtár megnyitása</v>
      </c>
    </row>
    <row r="958" customFormat="false" ht="66" hidden="false" customHeight="true" outlineLevel="0" collapsed="false">
      <c r="A958" s="15" t="s">
        <v>4271</v>
      </c>
      <c r="B958" s="15" t="s">
        <v>1299</v>
      </c>
      <c r="C958" s="15" t="s">
        <v>4272</v>
      </c>
      <c r="D958" s="15" t="s">
        <v>4273</v>
      </c>
      <c r="E958" s="16" t="str">
        <f aca="false">HYPERLINK("#'Forrásszöveg'!A"&amp;(MATCH("TV-S0953",Forrásszöveg!$A$6:$A$2497,0)+5),"67. § (1) eleje")</f>
        <v>67. § (1) eleje</v>
      </c>
      <c r="F958" s="16" t="str">
        <f aca="false">HYPERLINK("https://net.jogtar.hu/jogszabaly?docid=a2400069.tv#pr953id","Jogtár megnyitása")</f>
        <v>Jogtár megnyitása</v>
      </c>
    </row>
    <row r="959" customFormat="false" ht="66" hidden="false" customHeight="true" outlineLevel="0" collapsed="false">
      <c r="A959" s="15" t="s">
        <v>4274</v>
      </c>
      <c r="B959" s="15" t="s">
        <v>1299</v>
      </c>
      <c r="C959" s="15" t="s">
        <v>4275</v>
      </c>
      <c r="D959" s="15" t="s">
        <v>4276</v>
      </c>
      <c r="E959" s="16" t="str">
        <f aca="false">HYPERLINK("#'Forrásszöveg'!A"&amp;(MATCH("TV-S0954",Forrásszöveg!$A$6:$A$2497,0)+5),"67. § (2) eleje")</f>
        <v>67. § (2) eleje</v>
      </c>
      <c r="F959" s="16" t="str">
        <f aca="false">HYPERLINK("https://net.jogtar.hu/jogszabaly?docid=a2400069.tv#pr954id","Jogtár megnyitása")</f>
        <v>Jogtár megnyitása</v>
      </c>
    </row>
    <row r="960" customFormat="false" ht="66" hidden="false" customHeight="true" outlineLevel="0" collapsed="false">
      <c r="A960" s="15" t="s">
        <v>4277</v>
      </c>
      <c r="B960" s="15" t="s">
        <v>1299</v>
      </c>
      <c r="C960" s="15" t="s">
        <v>4278</v>
      </c>
      <c r="D960" s="15" t="s">
        <v>4279</v>
      </c>
      <c r="E960" s="16" t="str">
        <f aca="false">HYPERLINK("#'Forrásszöveg'!A"&amp;(MATCH("TV-S0955",Forrásszöveg!$A$6:$A$2497,0)+5),"67. § (3) eleje")</f>
        <v>67. § (3) eleje</v>
      </c>
      <c r="F960" s="16" t="str">
        <f aca="false">HYPERLINK("https://net.jogtar.hu/jogszabaly?docid=a2400069.tv#pr955id","Jogtár megnyitása")</f>
        <v>Jogtár megnyitása</v>
      </c>
    </row>
    <row r="961" customFormat="false" ht="38" hidden="false" customHeight="true" outlineLevel="0" collapsed="false">
      <c r="A961" s="15" t="s">
        <v>4280</v>
      </c>
      <c r="B961" s="15" t="s">
        <v>1299</v>
      </c>
      <c r="C961" s="15" t="s">
        <v>4281</v>
      </c>
      <c r="D961" s="15" t="s">
        <v>4282</v>
      </c>
      <c r="E961" s="16" t="str">
        <f aca="false">HYPERLINK("#'Forrásszöveg'!A"&amp;(MATCH("TV-S0956",Forrásszöveg!$A$6:$A$2497,0)+5),"67. § (4) eleje")</f>
        <v>67. § (4) eleje</v>
      </c>
      <c r="F961" s="16" t="str">
        <f aca="false">HYPERLINK("https://net.jogtar.hu/jogszabaly?docid=a2400069.tv#pr956id","Jogtár megnyitása")</f>
        <v>Jogtár megnyitása</v>
      </c>
    </row>
    <row r="962" customFormat="false" ht="94" hidden="false" customHeight="true" outlineLevel="0" collapsed="false">
      <c r="A962" s="15" t="s">
        <v>4283</v>
      </c>
      <c r="B962" s="15" t="s">
        <v>1299</v>
      </c>
      <c r="C962" s="15" t="s">
        <v>4284</v>
      </c>
      <c r="D962" s="15" t="s">
        <v>4285</v>
      </c>
      <c r="E962" s="16" t="str">
        <f aca="false">HYPERLINK("#'Forrásszöveg'!A"&amp;(MATCH("TV-S0957",Forrásszöveg!$A$6:$A$2497,0)+5),"68. § (1) eleje")</f>
        <v>68. § (1) eleje</v>
      </c>
      <c r="F962" s="16" t="str">
        <f aca="false">HYPERLINK("https://net.jogtar.hu/jogszabaly?docid=a2400069.tv#pr957id","Jogtár megnyitása")</f>
        <v>Jogtár megnyitása</v>
      </c>
    </row>
    <row r="963" customFormat="false" ht="66" hidden="false" customHeight="true" outlineLevel="0" collapsed="false">
      <c r="A963" s="15" t="s">
        <v>4286</v>
      </c>
      <c r="B963" s="15" t="s">
        <v>1299</v>
      </c>
      <c r="C963" s="15" t="s">
        <v>4287</v>
      </c>
      <c r="D963" s="15" t="s">
        <v>4288</v>
      </c>
      <c r="E963" s="16" t="str">
        <f aca="false">HYPERLINK("#'Forrásszöveg'!A"&amp;(MATCH("TV-S0958",Forrásszöveg!$A$6:$A$2497,0)+5),"68. § (2) eleje")</f>
        <v>68. § (2) eleje</v>
      </c>
      <c r="F963" s="16" t="str">
        <f aca="false">HYPERLINK("https://net.jogtar.hu/jogszabaly?docid=a2400069.tv#pr958id","Jogtár megnyitása")</f>
        <v>Jogtár megnyitása</v>
      </c>
    </row>
    <row r="964" customFormat="false" ht="52" hidden="false" customHeight="true" outlineLevel="0" collapsed="false">
      <c r="A964" s="15" t="s">
        <v>4289</v>
      </c>
      <c r="B964" s="15" t="s">
        <v>1299</v>
      </c>
      <c r="C964" s="15" t="s">
        <v>1414</v>
      </c>
      <c r="D964" s="15" t="s">
        <v>1414</v>
      </c>
      <c r="E964" s="16" t="str">
        <f aca="false">HYPERLINK("#'Forrásszöveg'!A"&amp;(MATCH("TV-S0957",Forrásszöveg!$A$6:$A$2497,0)+5),"68. § eleje")</f>
        <v>68. § eleje</v>
      </c>
      <c r="F964" s="16" t="str">
        <f aca="false">HYPERLINK("https://net.jogtar.hu/jogszabaly?docid=a2400069.tv#pr959id","Jogtár megnyitása")</f>
        <v>Jogtár megnyitása</v>
      </c>
    </row>
    <row r="965" customFormat="false" ht="66" hidden="false" customHeight="true" outlineLevel="0" collapsed="false">
      <c r="A965" s="15" t="s">
        <v>4290</v>
      </c>
      <c r="B965" s="15" t="s">
        <v>1299</v>
      </c>
      <c r="C965" s="15" t="s">
        <v>4291</v>
      </c>
      <c r="D965" s="15" t="s">
        <v>4292</v>
      </c>
      <c r="E965" s="16" t="str">
        <f aca="false">HYPERLINK("#'Forrásszöveg'!A"&amp;(MATCH("TV-S0960",Forrásszöveg!$A$6:$A$2497,0)+5),"69. § (1) eleje")</f>
        <v>69. § (1) eleje</v>
      </c>
      <c r="F965" s="16" t="str">
        <f aca="false">HYPERLINK("https://net.jogtar.hu/jogszabaly?docid=a2400069.tv#pr960id","Jogtár megnyitása")</f>
        <v>Jogtár megnyitása</v>
      </c>
    </row>
    <row r="966" customFormat="false" ht="34" hidden="false" customHeight="true" outlineLevel="0" collapsed="false">
      <c r="A966" s="15" t="s">
        <v>4293</v>
      </c>
      <c r="B966" s="15" t="s">
        <v>1299</v>
      </c>
      <c r="C966" s="15" t="s">
        <v>4294</v>
      </c>
      <c r="D966" s="15" t="s">
        <v>4295</v>
      </c>
      <c r="E966" s="16" t="str">
        <f aca="false">HYPERLINK("#'Forrásszöveg'!A"&amp;(MATCH("TV-S0961",Forrásszöveg!$A$6:$A$2497,0)+5),"69. § (2) eleje")</f>
        <v>69. § (2) eleje</v>
      </c>
      <c r="F966" s="16" t="str">
        <f aca="false">HYPERLINK("https://net.jogtar.hu/jogszabaly?docid=a2400069.tv#pr961id","Jogtár megnyitása")</f>
        <v>Jogtár megnyitása</v>
      </c>
    </row>
    <row r="967" customFormat="false" ht="38" hidden="false" customHeight="true" outlineLevel="0" collapsed="false">
      <c r="A967" s="15" t="s">
        <v>4296</v>
      </c>
      <c r="B967" s="15" t="s">
        <v>1299</v>
      </c>
      <c r="C967" s="15" t="s">
        <v>4297</v>
      </c>
      <c r="D967" s="15" t="s">
        <v>4298</v>
      </c>
      <c r="E967" s="16" t="str">
        <f aca="false">HYPERLINK("#'Forrásszöveg'!A"&amp;(MATCH("TV-S0961",Forrásszöveg!$A$6:$A$2497,0)+5),"69. § (2) eleje")</f>
        <v>69. § (2) eleje</v>
      </c>
      <c r="F967" s="16" t="str">
        <f aca="false">HYPERLINK("https://net.jogtar.hu/jogszabaly?docid=a2400069.tv#pr962id","Jogtár megnyitása")</f>
        <v>Jogtár megnyitása</v>
      </c>
    </row>
    <row r="968" customFormat="false" ht="38" hidden="false" customHeight="true" outlineLevel="0" collapsed="false">
      <c r="A968" s="15" t="s">
        <v>4299</v>
      </c>
      <c r="B968" s="15" t="s">
        <v>1299</v>
      </c>
      <c r="C968" s="15" t="s">
        <v>4300</v>
      </c>
      <c r="D968" s="15" t="s">
        <v>4301</v>
      </c>
      <c r="E968" s="16" t="str">
        <f aca="false">HYPERLINK("#'Forrásszöveg'!A"&amp;(MATCH("TV-S0961",Forrásszöveg!$A$6:$A$2497,0)+5),"69. § (2) eleje")</f>
        <v>69. § (2) eleje</v>
      </c>
      <c r="F968" s="16" t="str">
        <f aca="false">HYPERLINK("https://net.jogtar.hu/jogszabaly?docid=a2400069.tv#pr963id","Jogtár megnyitása")</f>
        <v>Jogtár megnyitása</v>
      </c>
    </row>
    <row r="969" customFormat="false" ht="38" hidden="false" customHeight="true" outlineLevel="0" collapsed="false">
      <c r="A969" s="15" t="s">
        <v>4302</v>
      </c>
      <c r="B969" s="15" t="s">
        <v>1299</v>
      </c>
      <c r="C969" s="15" t="s">
        <v>4303</v>
      </c>
      <c r="D969" s="15" t="s">
        <v>4304</v>
      </c>
      <c r="E969" s="16" t="str">
        <f aca="false">HYPERLINK("#'Forrásszöveg'!A"&amp;(MATCH("TV-S0964",Forrásszöveg!$A$6:$A$2497,0)+5),"69. § (3) eleje")</f>
        <v>69. § (3) eleje</v>
      </c>
      <c r="F969" s="16" t="str">
        <f aca="false">HYPERLINK("https://net.jogtar.hu/jogszabaly?docid=a2400069.tv#pr964id","Jogtár megnyitása")</f>
        <v>Jogtár megnyitása</v>
      </c>
    </row>
    <row r="970" customFormat="false" ht="38" hidden="false" customHeight="true" outlineLevel="0" collapsed="false">
      <c r="A970" s="15" t="s">
        <v>4305</v>
      </c>
      <c r="B970" s="15" t="s">
        <v>1299</v>
      </c>
      <c r="C970" s="15" t="s">
        <v>1416</v>
      </c>
      <c r="D970" s="15" t="s">
        <v>1416</v>
      </c>
      <c r="E970" s="16" t="str">
        <f aca="false">HYPERLINK("#'Forrásszöveg'!A"&amp;(MATCH("TV-S0960",Forrásszöveg!$A$6:$A$2497,0)+5),"69. § eleje")</f>
        <v>69. § eleje</v>
      </c>
      <c r="F970" s="16" t="str">
        <f aca="false">HYPERLINK("https://net.jogtar.hu/jogszabaly?docid=a2400069.tv#pr965id","Jogtár megnyitása")</f>
        <v>Jogtár megnyitása</v>
      </c>
    </row>
    <row r="971" customFormat="false" ht="38" hidden="false" customHeight="true" outlineLevel="0" collapsed="false">
      <c r="A971" s="15" t="s">
        <v>4306</v>
      </c>
      <c r="B971" s="15" t="s">
        <v>1299</v>
      </c>
      <c r="C971" s="15" t="s">
        <v>4307</v>
      </c>
      <c r="D971" s="15" t="s">
        <v>4308</v>
      </c>
      <c r="E971" s="16" t="str">
        <f aca="false">HYPERLINK("#'Forrásszöveg'!A"&amp;(MATCH("TV-S0966",Forrásszöveg!$A$6:$A$2497,0)+5),"70. § (1) eleje")</f>
        <v>70. § (1) eleje</v>
      </c>
      <c r="F971" s="16" t="str">
        <f aca="false">HYPERLINK("https://net.jogtar.hu/jogszabaly?docid=a2400069.tv#pr966id","Jogtár megnyitása")</f>
        <v>Jogtár megnyitása</v>
      </c>
    </row>
    <row r="972" customFormat="false" ht="38" hidden="false" customHeight="true" outlineLevel="0" collapsed="false">
      <c r="A972" s="15" t="s">
        <v>4309</v>
      </c>
      <c r="B972" s="15" t="s">
        <v>1299</v>
      </c>
      <c r="C972" s="15" t="s">
        <v>4310</v>
      </c>
      <c r="D972" s="15" t="s">
        <v>4311</v>
      </c>
      <c r="E972" s="16" t="str">
        <f aca="false">HYPERLINK("#'Forrásszöveg'!A"&amp;(MATCH("TV-S0967",Forrásszöveg!$A$6:$A$2497,0)+5),"70. § (2) eleje")</f>
        <v>70. § (2) eleje</v>
      </c>
      <c r="F972" s="16" t="str">
        <f aca="false">HYPERLINK("https://net.jogtar.hu/jogszabaly?docid=a2400069.tv#pr967id","Jogtár megnyitása")</f>
        <v>Jogtár megnyitása</v>
      </c>
    </row>
    <row r="973" customFormat="false" ht="34" hidden="false" customHeight="true" outlineLevel="0" collapsed="false">
      <c r="A973" s="15" t="s">
        <v>4312</v>
      </c>
      <c r="B973" s="15" t="s">
        <v>1299</v>
      </c>
      <c r="C973" s="15" t="s">
        <v>4313</v>
      </c>
      <c r="D973" s="15" t="s">
        <v>4314</v>
      </c>
      <c r="E973" s="16" t="str">
        <f aca="false">HYPERLINK("#'Forrásszöveg'!A"&amp;(MATCH("TV-S0968",Forrásszöveg!$A$6:$A$2497,0)+5),"70. § (3) eleje")</f>
        <v>70. § (3) eleje</v>
      </c>
      <c r="F973" s="16" t="str">
        <f aca="false">HYPERLINK("https://net.jogtar.hu/jogszabaly?docid=a2400069.tv#pr968id","Jogtár megnyitása")</f>
        <v>Jogtár megnyitása</v>
      </c>
    </row>
    <row r="974" customFormat="false" ht="34" hidden="false" customHeight="true" outlineLevel="0" collapsed="false">
      <c r="A974" s="15" t="s">
        <v>4315</v>
      </c>
      <c r="B974" s="15" t="s">
        <v>1299</v>
      </c>
      <c r="C974" s="15" t="s">
        <v>4316</v>
      </c>
      <c r="D974" s="15" t="s">
        <v>4317</v>
      </c>
      <c r="E974" s="16" t="str">
        <f aca="false">HYPERLINK("#'Forrásszöveg'!A"&amp;(MATCH("TV-S0968",Forrásszöveg!$A$6:$A$2497,0)+5),"70. § (3) eleje")</f>
        <v>70. § (3) eleje</v>
      </c>
      <c r="F974" s="16" t="str">
        <f aca="false">HYPERLINK("https://net.jogtar.hu/jogszabaly?docid=a2400069.tv#pr969id","Jogtár megnyitása")</f>
        <v>Jogtár megnyitása</v>
      </c>
    </row>
    <row r="975" customFormat="false" ht="52" hidden="false" customHeight="true" outlineLevel="0" collapsed="false">
      <c r="A975" s="15" t="s">
        <v>4318</v>
      </c>
      <c r="B975" s="15" t="s">
        <v>1299</v>
      </c>
      <c r="C975" s="15" t="s">
        <v>4319</v>
      </c>
      <c r="D975" s="15" t="s">
        <v>4320</v>
      </c>
      <c r="E975" s="16" t="str">
        <f aca="false">HYPERLINK("#'Forrásszöveg'!A"&amp;(MATCH("TV-S0968",Forrásszöveg!$A$6:$A$2497,0)+5),"70. § (3) eleje")</f>
        <v>70. § (3) eleje</v>
      </c>
      <c r="F975" s="16" t="str">
        <f aca="false">HYPERLINK("https://net.jogtar.hu/jogszabaly?docid=a2400069.tv#pr970id","Jogtár megnyitása")</f>
        <v>Jogtár megnyitása</v>
      </c>
    </row>
    <row r="976" customFormat="false" ht="34" hidden="false" customHeight="true" outlineLevel="0" collapsed="false">
      <c r="A976" s="15" t="s">
        <v>4321</v>
      </c>
      <c r="B976" s="15" t="s">
        <v>1299</v>
      </c>
      <c r="C976" s="15" t="s">
        <v>4322</v>
      </c>
      <c r="D976" s="15" t="s">
        <v>4323</v>
      </c>
      <c r="E976" s="16" t="str">
        <f aca="false">HYPERLINK("#'Forrásszöveg'!A"&amp;(MATCH("TV-S0968",Forrásszöveg!$A$6:$A$2497,0)+5),"70. § (3) eleje")</f>
        <v>70. § (3) eleje</v>
      </c>
      <c r="F976" s="16" t="str">
        <f aca="false">HYPERLINK("https://net.jogtar.hu/jogszabaly?docid=a2400069.tv#pr971id","Jogtár megnyitása")</f>
        <v>Jogtár megnyitása</v>
      </c>
    </row>
    <row r="977" customFormat="false" ht="34" hidden="false" customHeight="true" outlineLevel="0" collapsed="false">
      <c r="A977" s="15" t="s">
        <v>4324</v>
      </c>
      <c r="B977" s="15" t="s">
        <v>1299</v>
      </c>
      <c r="C977" s="15" t="s">
        <v>4325</v>
      </c>
      <c r="D977" s="15" t="s">
        <v>4326</v>
      </c>
      <c r="E977" s="16" t="str">
        <f aca="false">HYPERLINK("#'Forrásszöveg'!A"&amp;(MATCH("TV-S0968",Forrásszöveg!$A$6:$A$2497,0)+5),"70. § (3) eleje")</f>
        <v>70. § (3) eleje</v>
      </c>
      <c r="F977" s="16" t="str">
        <f aca="false">HYPERLINK("https://net.jogtar.hu/jogszabaly?docid=a2400069.tv#pr972id","Jogtár megnyitása")</f>
        <v>Jogtár megnyitása</v>
      </c>
    </row>
    <row r="978" customFormat="false" ht="34" hidden="false" customHeight="true" outlineLevel="0" collapsed="false">
      <c r="A978" s="15" t="s">
        <v>4327</v>
      </c>
      <c r="B978" s="15" t="s">
        <v>1299</v>
      </c>
      <c r="C978" s="15" t="s">
        <v>4328</v>
      </c>
      <c r="D978" s="15" t="s">
        <v>4329</v>
      </c>
      <c r="E978" s="16" t="str">
        <f aca="false">HYPERLINK("#'Forrásszöveg'!A"&amp;(MATCH("TV-S0968",Forrásszöveg!$A$6:$A$2497,0)+5),"70. § (3) eleje")</f>
        <v>70. § (3) eleje</v>
      </c>
      <c r="F978" s="16" t="str">
        <f aca="false">HYPERLINK("https://net.jogtar.hu/jogszabaly?docid=a2400069.tv#pr973id","Jogtár megnyitása")</f>
        <v>Jogtár megnyitása</v>
      </c>
    </row>
    <row r="979" customFormat="false" ht="34" hidden="false" customHeight="true" outlineLevel="0" collapsed="false">
      <c r="A979" s="15" t="s">
        <v>4330</v>
      </c>
      <c r="B979" s="15" t="s">
        <v>1299</v>
      </c>
      <c r="C979" s="15" t="s">
        <v>4313</v>
      </c>
      <c r="D979" s="15" t="s">
        <v>4331</v>
      </c>
      <c r="E979" s="16" t="str">
        <f aca="false">HYPERLINK("#'Forrásszöveg'!A"&amp;(MATCH("TV-S0968",Forrásszöveg!$A$6:$A$2497,0)+5),"70. § (3) eleje")</f>
        <v>70. § (3) eleje</v>
      </c>
      <c r="F979" s="16" t="str">
        <f aca="false">HYPERLINK("https://net.jogtar.hu/jogszabaly?docid=a2400069.tv#pr974id","Jogtár megnyitása")</f>
        <v>Jogtár megnyitása</v>
      </c>
    </row>
    <row r="980" customFormat="false" ht="38" hidden="false" customHeight="true" outlineLevel="0" collapsed="false">
      <c r="A980" s="15" t="s">
        <v>4332</v>
      </c>
      <c r="B980" s="15" t="s">
        <v>1299</v>
      </c>
      <c r="C980" s="15" t="s">
        <v>4333</v>
      </c>
      <c r="D980" s="15" t="s">
        <v>4334</v>
      </c>
      <c r="E980" s="16" t="str">
        <f aca="false">HYPERLINK("#'Forrásszöveg'!A"&amp;(MATCH("TV-S0975",Forrásszöveg!$A$6:$A$2497,0)+5),"70. § (4) eleje")</f>
        <v>70. § (4) eleje</v>
      </c>
      <c r="F980" s="16" t="str">
        <f aca="false">HYPERLINK("https://net.jogtar.hu/jogszabaly?docid=a2400069.tv#pr975id","Jogtár megnyitása")</f>
        <v>Jogtár megnyitása</v>
      </c>
    </row>
    <row r="981" customFormat="false" ht="34" hidden="false" customHeight="true" outlineLevel="0" collapsed="false">
      <c r="A981" s="15" t="s">
        <v>4335</v>
      </c>
      <c r="B981" s="15" t="s">
        <v>1299</v>
      </c>
      <c r="C981" s="15" t="s">
        <v>4336</v>
      </c>
      <c r="D981" s="15" t="s">
        <v>4337</v>
      </c>
      <c r="E981" s="16" t="str">
        <f aca="false">HYPERLINK("#'Forrásszöveg'!A"&amp;(MATCH("TV-S0976",Forrásszöveg!$A$6:$A$2497,0)+5),"70. § (5) eleje")</f>
        <v>70. § (5) eleje</v>
      </c>
      <c r="F981" s="16" t="str">
        <f aca="false">HYPERLINK("https://net.jogtar.hu/jogszabaly?docid=a2400069.tv#pr976id","Jogtár megnyitása")</f>
        <v>Jogtár megnyitása</v>
      </c>
    </row>
    <row r="982" customFormat="false" ht="38" hidden="false" customHeight="true" outlineLevel="0" collapsed="false">
      <c r="A982" s="15" t="s">
        <v>4338</v>
      </c>
      <c r="B982" s="15" t="s">
        <v>1299</v>
      </c>
      <c r="C982" s="15" t="s">
        <v>4339</v>
      </c>
      <c r="D982" s="15" t="s">
        <v>4340</v>
      </c>
      <c r="E982" s="16" t="str">
        <f aca="false">HYPERLINK("#'Forrásszöveg'!A"&amp;(MATCH("TV-S0976",Forrásszöveg!$A$6:$A$2497,0)+5),"70. § (5) eleje")</f>
        <v>70. § (5) eleje</v>
      </c>
      <c r="F982" s="16" t="str">
        <f aca="false">HYPERLINK("https://net.jogtar.hu/jogszabaly?docid=a2400069.tv#pr977id","Jogtár megnyitása")</f>
        <v>Jogtár megnyitása</v>
      </c>
    </row>
    <row r="983" customFormat="false" ht="38" hidden="false" customHeight="true" outlineLevel="0" collapsed="false">
      <c r="A983" s="15" t="s">
        <v>4341</v>
      </c>
      <c r="B983" s="15" t="s">
        <v>1299</v>
      </c>
      <c r="C983" s="15" t="s">
        <v>4342</v>
      </c>
      <c r="D983" s="15" t="s">
        <v>4343</v>
      </c>
      <c r="E983" s="16" t="str">
        <f aca="false">HYPERLINK("#'Forrásszöveg'!A"&amp;(MATCH("TV-S0976",Forrásszöveg!$A$6:$A$2497,0)+5),"70. § (5) eleje")</f>
        <v>70. § (5) eleje</v>
      </c>
      <c r="F983" s="16" t="str">
        <f aca="false">HYPERLINK("https://net.jogtar.hu/jogszabaly?docid=a2400069.tv#pr978id","Jogtár megnyitása")</f>
        <v>Jogtár megnyitása</v>
      </c>
    </row>
    <row r="984" customFormat="false" ht="34" hidden="false" customHeight="true" outlineLevel="0" collapsed="false">
      <c r="A984" s="15" t="s">
        <v>4344</v>
      </c>
      <c r="B984" s="15" t="s">
        <v>1299</v>
      </c>
      <c r="C984" s="15" t="s">
        <v>4345</v>
      </c>
      <c r="D984" s="15" t="s">
        <v>4049</v>
      </c>
      <c r="E984" s="16" t="str">
        <f aca="false">HYPERLINK("#'Forrásszöveg'!A"&amp;(MATCH("TV-S0976",Forrásszöveg!$A$6:$A$2497,0)+5),"70. § (5) eleje")</f>
        <v>70. § (5) eleje</v>
      </c>
      <c r="F984" s="16" t="str">
        <f aca="false">HYPERLINK("https://net.jogtar.hu/jogszabaly?docid=a2400069.tv#pr979id","Jogtár megnyitása")</f>
        <v>Jogtár megnyitása</v>
      </c>
    </row>
    <row r="985" customFormat="false" ht="38" hidden="false" customHeight="true" outlineLevel="0" collapsed="false">
      <c r="A985" s="15" t="s">
        <v>4346</v>
      </c>
      <c r="B985" s="15" t="s">
        <v>1299</v>
      </c>
      <c r="C985" s="15" t="s">
        <v>4347</v>
      </c>
      <c r="D985" s="15" t="s">
        <v>4348</v>
      </c>
      <c r="E985" s="16" t="str">
        <f aca="false">HYPERLINK("#'Forrásszöveg'!A"&amp;(MATCH("TV-S0980",Forrásszöveg!$A$6:$A$2497,0)+5),"70. § (5a) eleje")</f>
        <v>70. § (5a) eleje</v>
      </c>
      <c r="F985" s="16" t="str">
        <f aca="false">HYPERLINK("https://net.jogtar.hu/jogszabaly?docid=a2400069.tv#pr980id","Jogtár megnyitása")</f>
        <v>Jogtár megnyitása</v>
      </c>
    </row>
    <row r="986" customFormat="false" ht="52" hidden="false" customHeight="true" outlineLevel="0" collapsed="false">
      <c r="A986" s="15" t="s">
        <v>4349</v>
      </c>
      <c r="B986" s="15" t="s">
        <v>1299</v>
      </c>
      <c r="C986" s="15" t="s">
        <v>4350</v>
      </c>
      <c r="D986" s="15" t="s">
        <v>4351</v>
      </c>
      <c r="E986" s="16" t="str">
        <f aca="false">HYPERLINK("#'Forrásszöveg'!A"&amp;(MATCH("TV-S0981",Forrásszöveg!$A$6:$A$2497,0)+5),"70. § (6) eleje")</f>
        <v>70. § (6) eleje</v>
      </c>
      <c r="F986" s="16" t="str">
        <f aca="false">HYPERLINK("https://net.jogtar.hu/jogszabaly?docid=a2400069.tv#pr981id","Jogtár megnyitása")</f>
        <v>Jogtár megnyitása</v>
      </c>
    </row>
    <row r="987" customFormat="false" ht="80" hidden="false" customHeight="true" outlineLevel="0" collapsed="false">
      <c r="A987" s="15" t="s">
        <v>4352</v>
      </c>
      <c r="B987" s="15" t="s">
        <v>1299</v>
      </c>
      <c r="C987" s="15" t="s">
        <v>4353</v>
      </c>
      <c r="D987" s="15" t="s">
        <v>4354</v>
      </c>
      <c r="E987" s="16" t="str">
        <f aca="false">HYPERLINK("#'Forrásszöveg'!A"&amp;(MATCH("TV-S0982",Forrásszöveg!$A$6:$A$2497,0)+5),"70. § (7) eleje")</f>
        <v>70. § (7) eleje</v>
      </c>
      <c r="F987" s="16" t="str">
        <f aca="false">HYPERLINK("https://net.jogtar.hu/jogszabaly?docid=a2400069.tv#pr982id","Jogtár megnyitása")</f>
        <v>Jogtár megnyitása</v>
      </c>
    </row>
    <row r="988" customFormat="false" ht="66" hidden="false" customHeight="true" outlineLevel="0" collapsed="false">
      <c r="A988" s="15" t="s">
        <v>4355</v>
      </c>
      <c r="B988" s="15" t="s">
        <v>1299</v>
      </c>
      <c r="C988" s="15" t="s">
        <v>4356</v>
      </c>
      <c r="D988" s="15" t="s">
        <v>4357</v>
      </c>
      <c r="E988" s="16" t="str">
        <f aca="false">HYPERLINK("#'Forrásszöveg'!A"&amp;(MATCH("TV-S0983",Forrásszöveg!$A$6:$A$2497,0)+5),"70. § (8) eleje")</f>
        <v>70. § (8) eleje</v>
      </c>
      <c r="F988" s="16" t="str">
        <f aca="false">HYPERLINK("https://net.jogtar.hu/jogszabaly?docid=a2400069.tv#pr983id","Jogtár megnyitása")</f>
        <v>Jogtár megnyitása</v>
      </c>
    </row>
    <row r="989" customFormat="false" ht="34" hidden="false" customHeight="true" outlineLevel="0" collapsed="false">
      <c r="A989" s="15" t="s">
        <v>4358</v>
      </c>
      <c r="B989" s="15" t="s">
        <v>1299</v>
      </c>
      <c r="C989" s="15" t="s">
        <v>4359</v>
      </c>
      <c r="D989" s="15" t="s">
        <v>4360</v>
      </c>
      <c r="E989" s="16" t="str">
        <f aca="false">HYPERLINK("#'Forrásszöveg'!A"&amp;(MATCH("TV-S0984",Forrásszöveg!$A$6:$A$2497,0)+5),"70. § (9) eleje")</f>
        <v>70. § (9) eleje</v>
      </c>
      <c r="F989" s="16" t="str">
        <f aca="false">HYPERLINK("https://net.jogtar.hu/jogszabaly?docid=a2400069.tv#pr984id","Jogtár megnyitása")</f>
        <v>Jogtár megnyitása</v>
      </c>
    </row>
    <row r="990" customFormat="false" ht="38" hidden="false" customHeight="true" outlineLevel="0" collapsed="false">
      <c r="A990" s="15" t="s">
        <v>4361</v>
      </c>
      <c r="B990" s="15" t="s">
        <v>1299</v>
      </c>
      <c r="C990" s="15" t="s">
        <v>4362</v>
      </c>
      <c r="D990" s="15" t="s">
        <v>4363</v>
      </c>
      <c r="E990" s="16" t="str">
        <f aca="false">HYPERLINK("#'Forrásszöveg'!A"&amp;(MATCH("TV-S0985",Forrásszöveg!$A$6:$A$2497,0)+5),"70. § (10) eleje")</f>
        <v>70. § (10) eleje</v>
      </c>
      <c r="F990" s="16" t="str">
        <f aca="false">HYPERLINK("https://net.jogtar.hu/jogszabaly?docid=a2400069.tv#pr985id","Jogtár megnyitása")</f>
        <v>Jogtár megnyitása</v>
      </c>
    </row>
    <row r="991" customFormat="false" ht="80" hidden="false" customHeight="true" outlineLevel="0" collapsed="false">
      <c r="A991" s="15" t="s">
        <v>4364</v>
      </c>
      <c r="B991" s="15" t="s">
        <v>1299</v>
      </c>
      <c r="C991" s="15" t="s">
        <v>4365</v>
      </c>
      <c r="D991" s="15" t="s">
        <v>4366</v>
      </c>
      <c r="E991" s="16" t="str">
        <f aca="false">HYPERLINK("#'Forrásszöveg'!A"&amp;(MATCH("TV-S0986",Forrásszöveg!$A$6:$A$2497,0)+5),"70. § (11) eleje")</f>
        <v>70. § (11) eleje</v>
      </c>
      <c r="F991" s="16" t="str">
        <f aca="false">HYPERLINK("https://net.jogtar.hu/jogszabaly?docid=a2400069.tv#pr986id","Jogtár megnyitása")</f>
        <v>Jogtár megnyitása</v>
      </c>
    </row>
    <row r="992" customFormat="false" ht="34" hidden="false" customHeight="true" outlineLevel="0" collapsed="false">
      <c r="A992" s="15" t="s">
        <v>4367</v>
      </c>
      <c r="B992" s="15" t="s">
        <v>1299</v>
      </c>
      <c r="C992" s="15" t="s">
        <v>4368</v>
      </c>
      <c r="D992" s="15" t="s">
        <v>4369</v>
      </c>
      <c r="E992" s="16" t="str">
        <f aca="false">HYPERLINK("#'Forrásszöveg'!A"&amp;(MATCH("TV-S0987",Forrásszöveg!$A$6:$A$2497,0)+5),"70. § (12) eleje")</f>
        <v>70. § (12) eleje</v>
      </c>
      <c r="F992" s="16" t="str">
        <f aca="false">HYPERLINK("https://net.jogtar.hu/jogszabaly?docid=a2400069.tv#pr987id","Jogtár megnyitása")</f>
        <v>Jogtár megnyitása</v>
      </c>
    </row>
    <row r="993" customFormat="false" ht="52" hidden="false" customHeight="true" outlineLevel="0" collapsed="false">
      <c r="A993" s="15" t="s">
        <v>4370</v>
      </c>
      <c r="B993" s="15" t="s">
        <v>1299</v>
      </c>
      <c r="C993" s="15" t="s">
        <v>4371</v>
      </c>
      <c r="D993" s="15" t="s">
        <v>4372</v>
      </c>
      <c r="E993" s="16" t="str">
        <f aca="false">HYPERLINK("#'Forrásszöveg'!A"&amp;(MATCH("TV-S0988",Forrásszöveg!$A$6:$A$2497,0)+5),"70. § (13) eleje")</f>
        <v>70. § (13) eleje</v>
      </c>
      <c r="F993" s="16" t="str">
        <f aca="false">HYPERLINK("https://net.jogtar.hu/jogszabaly?docid=a2400069.tv#pr988id","Jogtár megnyitása")</f>
        <v>Jogtár megnyitása</v>
      </c>
    </row>
    <row r="994" customFormat="false" ht="34" hidden="false" customHeight="true" outlineLevel="0" collapsed="false">
      <c r="A994" s="15" t="s">
        <v>4373</v>
      </c>
      <c r="B994" s="15" t="s">
        <v>1299</v>
      </c>
      <c r="C994" s="15" t="s">
        <v>4374</v>
      </c>
      <c r="D994" s="15" t="s">
        <v>4375</v>
      </c>
      <c r="E994" s="16" t="str">
        <f aca="false">HYPERLINK("#'Forrásszöveg'!A"&amp;(MATCH("TV-S0989",Forrásszöveg!$A$6:$A$2497,0)+5),"70. § (14) eleje")</f>
        <v>70. § (14) eleje</v>
      </c>
      <c r="F994" s="16" t="str">
        <f aca="false">HYPERLINK("https://net.jogtar.hu/jogszabaly?docid=a2400069.tv#pr989id","Jogtár megnyitása")</f>
        <v>Jogtár megnyitása</v>
      </c>
    </row>
    <row r="995" customFormat="false" ht="34" hidden="false" customHeight="true" outlineLevel="0" collapsed="false">
      <c r="A995" s="15" t="s">
        <v>4376</v>
      </c>
      <c r="B995" s="15" t="s">
        <v>1299</v>
      </c>
      <c r="C995" s="15" t="s">
        <v>4377</v>
      </c>
      <c r="D995" s="15" t="s">
        <v>4378</v>
      </c>
      <c r="E995" s="16" t="str">
        <f aca="false">HYPERLINK("#'Forrásszöveg'!A"&amp;(MATCH("TV-S0990",Forrásszöveg!$A$6:$A$2497,0)+5),"70. § (15) eleje")</f>
        <v>70. § (15) eleje</v>
      </c>
      <c r="F995" s="16" t="str">
        <f aca="false">HYPERLINK("https://net.jogtar.hu/jogszabaly?docid=a2400069.tv#pr990id","Jogtár megnyitása")</f>
        <v>Jogtár megnyitása</v>
      </c>
    </row>
    <row r="996" customFormat="false" ht="94" hidden="false" customHeight="true" outlineLevel="0" collapsed="false">
      <c r="A996" s="15" t="s">
        <v>4379</v>
      </c>
      <c r="B996" s="15" t="s">
        <v>1299</v>
      </c>
      <c r="C996" s="15" t="s">
        <v>1418</v>
      </c>
      <c r="D996" s="15" t="s">
        <v>1418</v>
      </c>
      <c r="E996" s="16" t="str">
        <f aca="false">HYPERLINK("#'Forrásszöveg'!A"&amp;(MATCH("TV-S0966",Forrásszöveg!$A$6:$A$2497,0)+5),"70. § eleje")</f>
        <v>70. § eleje</v>
      </c>
      <c r="F996" s="16" t="str">
        <f aca="false">HYPERLINK("https://net.jogtar.hu/jogszabaly?docid=a2400069.tv#pr991id","Jogtár megnyitása")</f>
        <v>Jogtár megnyitása</v>
      </c>
    </row>
    <row r="997" customFormat="false" ht="52" hidden="false" customHeight="true" outlineLevel="0" collapsed="false">
      <c r="A997" s="15" t="s">
        <v>4380</v>
      </c>
      <c r="B997" s="15" t="s">
        <v>1299</v>
      </c>
      <c r="C997" s="15" t="s">
        <v>4381</v>
      </c>
      <c r="D997" s="15" t="s">
        <v>118</v>
      </c>
      <c r="E997" s="16" t="str">
        <f aca="false">HYPERLINK("#'Forrásszöveg'!A"&amp;(MATCH("TV-S0992",Forrásszöveg!$A$6:$A$2497,0)+5),"71. § (1) eleje")</f>
        <v>71. § (1) eleje</v>
      </c>
      <c r="F997" s="16" t="str">
        <f aca="false">HYPERLINK("https://net.jogtar.hu/jogszabaly?docid=a2400069.tv#pr992id","Jogtár megnyitása")</f>
        <v>Jogtár megnyitása</v>
      </c>
    </row>
    <row r="998" customFormat="false" ht="66" hidden="false" customHeight="true" outlineLevel="0" collapsed="false">
      <c r="A998" s="15" t="s">
        <v>4382</v>
      </c>
      <c r="B998" s="15" t="s">
        <v>1299</v>
      </c>
      <c r="C998" s="15" t="s">
        <v>4383</v>
      </c>
      <c r="D998" s="15" t="s">
        <v>4384</v>
      </c>
      <c r="E998" s="16" t="str">
        <f aca="false">HYPERLINK("#'Forrásszöveg'!A"&amp;(MATCH("TV-S0993",Forrásszöveg!$A$6:$A$2497,0)+5),"71. § (2) eleje")</f>
        <v>71. § (2) eleje</v>
      </c>
      <c r="F998" s="16" t="str">
        <f aca="false">HYPERLINK("https://net.jogtar.hu/jogszabaly?docid=a2400069.tv#pr993id","Jogtár megnyitása")</f>
        <v>Jogtár megnyitása</v>
      </c>
    </row>
    <row r="999" customFormat="false" ht="34" hidden="false" customHeight="true" outlineLevel="0" collapsed="false">
      <c r="A999" s="15" t="s">
        <v>4385</v>
      </c>
      <c r="B999" s="15" t="s">
        <v>1299</v>
      </c>
      <c r="C999" s="15" t="s">
        <v>4386</v>
      </c>
      <c r="D999" s="15" t="s">
        <v>4386</v>
      </c>
      <c r="E999" s="16" t="str">
        <f aca="false">HYPERLINK("#'Forrásszöveg'!A"&amp;(MATCH("TV-S0992",Forrásszöveg!$A$6:$A$2497,0)+5),"71. § eleje")</f>
        <v>71. § eleje</v>
      </c>
      <c r="F999" s="16" t="str">
        <f aca="false">HYPERLINK("https://net.jogtar.hu/jogszabaly?docid=a2400069.tv#pr994id","Jogtár megnyitása")</f>
        <v>Jogtár megnyitása</v>
      </c>
    </row>
    <row r="1000" customFormat="false" ht="52" hidden="false" customHeight="true" outlineLevel="0" collapsed="false">
      <c r="A1000" s="15" t="s">
        <v>4387</v>
      </c>
      <c r="B1000" s="15" t="s">
        <v>1299</v>
      </c>
      <c r="C1000" s="15" t="s">
        <v>4388</v>
      </c>
      <c r="D1000" s="15" t="s">
        <v>4388</v>
      </c>
      <c r="E1000" s="16" t="str">
        <f aca="false">HYPERLINK("#'Forrásszöveg'!A"&amp;(MATCH("TV-S0992",Forrásszöveg!$A$6:$A$2497,0)+5),"71. § eleje")</f>
        <v>71. § eleje</v>
      </c>
      <c r="F1000" s="16" t="str">
        <f aca="false">HYPERLINK("https://net.jogtar.hu/jogszabaly?docid=a2400069.tv#pr995id","Jogtár megnyitása")</f>
        <v>Jogtár megnyitása</v>
      </c>
    </row>
    <row r="1001" customFormat="false" ht="38" hidden="false" customHeight="true" outlineLevel="0" collapsed="false">
      <c r="A1001" s="15" t="s">
        <v>4389</v>
      </c>
      <c r="B1001" s="15" t="s">
        <v>1299</v>
      </c>
      <c r="C1001" s="15" t="s">
        <v>1420</v>
      </c>
      <c r="D1001" s="15" t="s">
        <v>1420</v>
      </c>
      <c r="E1001" s="16" t="str">
        <f aca="false">HYPERLINK("#'Forrásszöveg'!A"&amp;(MATCH("TV-S0992",Forrásszöveg!$A$6:$A$2497,0)+5),"71. § eleje")</f>
        <v>71. § eleje</v>
      </c>
      <c r="F1001" s="16" t="str">
        <f aca="false">HYPERLINK("https://net.jogtar.hu/jogszabaly?docid=a2400069.tv#pr996id","Jogtár megnyitása")</f>
        <v>Jogtár megnyitása</v>
      </c>
    </row>
    <row r="1002" customFormat="false" ht="34" hidden="false" customHeight="true" outlineLevel="0" collapsed="false">
      <c r="A1002" s="15" t="s">
        <v>4390</v>
      </c>
      <c r="B1002" s="15" t="s">
        <v>1299</v>
      </c>
      <c r="C1002" s="15" t="s">
        <v>4391</v>
      </c>
      <c r="D1002" s="15" t="s">
        <v>4392</v>
      </c>
      <c r="E1002" s="16" t="str">
        <f aca="false">HYPERLINK("#'Forrásszöveg'!A"&amp;(MATCH("TV-S0997",Forrásszöveg!$A$6:$A$2497,0)+5),"72. § (1) eleje")</f>
        <v>72. § (1) eleje</v>
      </c>
      <c r="F1002" s="16" t="str">
        <f aca="false">HYPERLINK("https://net.jogtar.hu/jogszabaly?docid=a2400069.tv#pr997id","Jogtár megnyitása")</f>
        <v>Jogtár megnyitása</v>
      </c>
    </row>
    <row r="1003" customFormat="false" ht="38" hidden="false" customHeight="true" outlineLevel="0" collapsed="false">
      <c r="A1003" s="15" t="s">
        <v>4393</v>
      </c>
      <c r="B1003" s="15" t="s">
        <v>1299</v>
      </c>
      <c r="C1003" s="15" t="s">
        <v>4394</v>
      </c>
      <c r="D1003" s="15" t="s">
        <v>4395</v>
      </c>
      <c r="E1003" s="16" t="str">
        <f aca="false">HYPERLINK("#'Forrásszöveg'!A"&amp;(MATCH("TV-S0998",Forrásszöveg!$A$6:$A$2497,0)+5),"72. § (2) eleje")</f>
        <v>72. § (2) eleje</v>
      </c>
      <c r="F1003" s="16" t="str">
        <f aca="false">HYPERLINK("https://net.jogtar.hu/jogszabaly?docid=a2400069.tv#pr998id","Jogtár megnyitása")</f>
        <v>Jogtár megnyitása</v>
      </c>
    </row>
    <row r="1004" customFormat="false" ht="34" hidden="false" customHeight="true" outlineLevel="0" collapsed="false">
      <c r="A1004" s="15" t="s">
        <v>4396</v>
      </c>
      <c r="B1004" s="15" t="s">
        <v>1299</v>
      </c>
      <c r="C1004" s="15" t="s">
        <v>4397</v>
      </c>
      <c r="D1004" s="15" t="s">
        <v>4398</v>
      </c>
      <c r="E1004" s="16" t="str">
        <f aca="false">HYPERLINK("#'Forrásszöveg'!A"&amp;(MATCH("TV-S0998",Forrásszöveg!$A$6:$A$2497,0)+5),"72. § (2) eleje")</f>
        <v>72. § (2) eleje</v>
      </c>
      <c r="F1004" s="16" t="str">
        <f aca="false">HYPERLINK("https://net.jogtar.hu/jogszabaly?docid=a2400069.tv#pr999id","Jogtár megnyitása")</f>
        <v>Jogtár megnyitása</v>
      </c>
    </row>
    <row r="1005" customFormat="false" ht="34" hidden="false" customHeight="true" outlineLevel="0" collapsed="false">
      <c r="A1005" s="15" t="s">
        <v>4399</v>
      </c>
      <c r="B1005" s="15" t="s">
        <v>1299</v>
      </c>
      <c r="C1005" s="15" t="s">
        <v>4400</v>
      </c>
      <c r="D1005" s="15" t="s">
        <v>4401</v>
      </c>
      <c r="E1005" s="16" t="str">
        <f aca="false">HYPERLINK("#'Forrásszöveg'!A"&amp;(MATCH("TV-S0998",Forrásszöveg!$A$6:$A$2497,0)+5),"72. § (2) eleje")</f>
        <v>72. § (2) eleje</v>
      </c>
      <c r="F1005" s="16" t="str">
        <f aca="false">HYPERLINK("https://net.jogtar.hu/jogszabaly?docid=a2400069.tv#pr1000id","Jogtár megnyitása")</f>
        <v>Jogtár megnyitása</v>
      </c>
    </row>
    <row r="1006" customFormat="false" ht="34" hidden="false" customHeight="true" outlineLevel="0" collapsed="false">
      <c r="A1006" s="15" t="s">
        <v>4402</v>
      </c>
      <c r="B1006" s="15" t="s">
        <v>1299</v>
      </c>
      <c r="C1006" s="15" t="s">
        <v>4394</v>
      </c>
      <c r="D1006" s="15" t="s">
        <v>4403</v>
      </c>
      <c r="E1006" s="16" t="str">
        <f aca="false">HYPERLINK("#'Forrásszöveg'!A"&amp;(MATCH("TV-S0998",Forrásszöveg!$A$6:$A$2497,0)+5),"72. § (2) eleje")</f>
        <v>72. § (2) eleje</v>
      </c>
      <c r="F1006" s="16" t="str">
        <f aca="false">HYPERLINK("https://net.jogtar.hu/jogszabaly?docid=a2400069.tv#pr1001id","Jogtár megnyitása")</f>
        <v>Jogtár megnyitása</v>
      </c>
    </row>
    <row r="1007" customFormat="false" ht="34" hidden="false" customHeight="true" outlineLevel="0" collapsed="false">
      <c r="A1007" s="15" t="s">
        <v>4404</v>
      </c>
      <c r="B1007" s="15" t="s">
        <v>1299</v>
      </c>
      <c r="C1007" s="15" t="s">
        <v>4405</v>
      </c>
      <c r="D1007" s="15" t="s">
        <v>4406</v>
      </c>
      <c r="E1007" s="16" t="str">
        <f aca="false">HYPERLINK("#'Forrásszöveg'!A"&amp;(MATCH("TV-S1002",Forrásszöveg!$A$6:$A$2497,0)+5),"72. § (3) eleje")</f>
        <v>72. § (3) eleje</v>
      </c>
      <c r="F1007" s="16" t="str">
        <f aca="false">HYPERLINK("https://net.jogtar.hu/jogszabaly?docid=a2400069.tv#pr1002id","Jogtár megnyitása")</f>
        <v>Jogtár megnyitása</v>
      </c>
    </row>
    <row r="1008" customFormat="false" ht="38" hidden="false" customHeight="true" outlineLevel="0" collapsed="false">
      <c r="A1008" s="15" t="s">
        <v>4407</v>
      </c>
      <c r="B1008" s="15" t="s">
        <v>1299</v>
      </c>
      <c r="C1008" s="15" t="s">
        <v>1422</v>
      </c>
      <c r="D1008" s="15" t="s">
        <v>1422</v>
      </c>
      <c r="E1008" s="16" t="str">
        <f aca="false">HYPERLINK("#'Forrásszöveg'!A"&amp;(MATCH("TV-S0997",Forrásszöveg!$A$6:$A$2497,0)+5),"72. § eleje")</f>
        <v>72. § eleje</v>
      </c>
      <c r="F1008" s="16" t="str">
        <f aca="false">HYPERLINK("https://net.jogtar.hu/jogszabaly?docid=a2400069.tv#pr1003id","Jogtár megnyitása")</f>
        <v>Jogtár megnyitása</v>
      </c>
    </row>
    <row r="1009" customFormat="false" ht="38" hidden="false" customHeight="true" outlineLevel="0" collapsed="false">
      <c r="A1009" s="15" t="s">
        <v>4408</v>
      </c>
      <c r="B1009" s="15" t="s">
        <v>1299</v>
      </c>
      <c r="C1009" s="15" t="s">
        <v>4409</v>
      </c>
      <c r="D1009" s="15" t="s">
        <v>4410</v>
      </c>
      <c r="E1009" s="16" t="str">
        <f aca="false">HYPERLINK("#'Forrásszöveg'!A"&amp;(MATCH("TV-S1004",Forrásszöveg!$A$6:$A$2497,0)+5),"73. § (1) eleje")</f>
        <v>73. § (1) eleje</v>
      </c>
      <c r="F1009" s="16" t="str">
        <f aca="false">HYPERLINK("https://net.jogtar.hu/jogszabaly?docid=a2400069.tv#pr1004id","Jogtár megnyitása")</f>
        <v>Jogtár megnyitása</v>
      </c>
    </row>
    <row r="1010" customFormat="false" ht="38" hidden="false" customHeight="true" outlineLevel="0" collapsed="false">
      <c r="A1010" s="15" t="s">
        <v>4411</v>
      </c>
      <c r="B1010" s="15" t="s">
        <v>1299</v>
      </c>
      <c r="C1010" s="15" t="s">
        <v>4412</v>
      </c>
      <c r="D1010" s="15" t="s">
        <v>4413</v>
      </c>
      <c r="E1010" s="16" t="str">
        <f aca="false">HYPERLINK("#'Forrásszöveg'!A"&amp;(MATCH("TV-S1005",Forrásszöveg!$A$6:$A$2497,0)+5),"73. § (2) eleje")</f>
        <v>73. § (2) eleje</v>
      </c>
      <c r="F1010" s="16" t="str">
        <f aca="false">HYPERLINK("https://net.jogtar.hu/jogszabaly?docid=a2400069.tv#pr1005id","Jogtár megnyitása")</f>
        <v>Jogtár megnyitása</v>
      </c>
    </row>
    <row r="1011" customFormat="false" ht="38" hidden="false" customHeight="true" outlineLevel="0" collapsed="false">
      <c r="A1011" s="15" t="s">
        <v>4414</v>
      </c>
      <c r="B1011" s="15" t="s">
        <v>1299</v>
      </c>
      <c r="C1011" s="15" t="s">
        <v>4415</v>
      </c>
      <c r="D1011" s="15" t="s">
        <v>4416</v>
      </c>
      <c r="E1011" s="16" t="str">
        <f aca="false">HYPERLINK("#'Forrásszöveg'!A"&amp;(MATCH("TV-S1006",Forrásszöveg!$A$6:$A$2497,0)+5),"73. § (3) eleje")</f>
        <v>73. § (3) eleje</v>
      </c>
      <c r="F1011" s="16" t="str">
        <f aca="false">HYPERLINK("https://net.jogtar.hu/jogszabaly?docid=a2400069.tv#pr1006id","Jogtár megnyitása")</f>
        <v>Jogtár megnyitása</v>
      </c>
    </row>
    <row r="1012" customFormat="false" ht="66" hidden="false" customHeight="true" outlineLevel="0" collapsed="false">
      <c r="A1012" s="15" t="s">
        <v>4417</v>
      </c>
      <c r="B1012" s="15" t="s">
        <v>1299</v>
      </c>
      <c r="C1012" s="15" t="s">
        <v>4418</v>
      </c>
      <c r="D1012" s="15" t="s">
        <v>4419</v>
      </c>
      <c r="E1012" s="16" t="str">
        <f aca="false">HYPERLINK("#'Forrásszöveg'!A"&amp;(MATCH("TV-S1007",Forrásszöveg!$A$6:$A$2497,0)+5),"73. § (4) eleje")</f>
        <v>73. § (4) eleje</v>
      </c>
      <c r="F1012" s="16" t="str">
        <f aca="false">HYPERLINK("https://net.jogtar.hu/jogszabaly?docid=a2400069.tv#pr1007id","Jogtár megnyitása")</f>
        <v>Jogtár megnyitása</v>
      </c>
    </row>
    <row r="1013" customFormat="false" ht="38" hidden="false" customHeight="true" outlineLevel="0" collapsed="false">
      <c r="A1013" s="15" t="s">
        <v>4420</v>
      </c>
      <c r="B1013" s="15" t="s">
        <v>1299</v>
      </c>
      <c r="C1013" s="15" t="s">
        <v>4421</v>
      </c>
      <c r="D1013" s="15" t="s">
        <v>4422</v>
      </c>
      <c r="E1013" s="16" t="str">
        <f aca="false">HYPERLINK("#'Forrásszöveg'!A"&amp;(MATCH("TV-S1008",Forrásszöveg!$A$6:$A$2497,0)+5),"73. § (5) eleje")</f>
        <v>73. § (5) eleje</v>
      </c>
      <c r="F1013" s="16" t="str">
        <f aca="false">HYPERLINK("https://net.jogtar.hu/jogszabaly?docid=a2400069.tv#pr1008id","Jogtár megnyitása")</f>
        <v>Jogtár megnyitása</v>
      </c>
    </row>
    <row r="1014" customFormat="false" ht="52" hidden="false" customHeight="true" outlineLevel="0" collapsed="false">
      <c r="A1014" s="15" t="s">
        <v>4423</v>
      </c>
      <c r="B1014" s="15" t="s">
        <v>1299</v>
      </c>
      <c r="C1014" s="15" t="s">
        <v>1424</v>
      </c>
      <c r="D1014" s="15" t="s">
        <v>1424</v>
      </c>
      <c r="E1014" s="16" t="str">
        <f aca="false">HYPERLINK("#'Forrásszöveg'!A"&amp;(MATCH("TV-S1004",Forrásszöveg!$A$6:$A$2497,0)+5),"73. § eleje")</f>
        <v>73. § eleje</v>
      </c>
      <c r="F1014" s="16" t="str">
        <f aca="false">HYPERLINK("https://net.jogtar.hu/jogszabaly?docid=a2400069.tv#pr1009id","Jogtár megnyitása")</f>
        <v>Jogtár megnyitása</v>
      </c>
    </row>
    <row r="1015" customFormat="false" ht="52" hidden="false" customHeight="true" outlineLevel="0" collapsed="false">
      <c r="A1015" s="15" t="s">
        <v>4424</v>
      </c>
      <c r="B1015" s="15" t="s">
        <v>1299</v>
      </c>
      <c r="C1015" s="15" t="s">
        <v>4425</v>
      </c>
      <c r="D1015" s="15" t="s">
        <v>4426</v>
      </c>
      <c r="E1015" s="16" t="str">
        <f aca="false">HYPERLINK("#'Forrásszöveg'!A"&amp;(MATCH("TV-S1010",Forrásszöveg!$A$6:$A$2497,0)+5),"74. § (1) eleje")</f>
        <v>74. § (1) eleje</v>
      </c>
      <c r="F1015" s="16" t="str">
        <f aca="false">HYPERLINK("https://net.jogtar.hu/jogszabaly?docid=a2400069.tv#pr1010id","Jogtár megnyitása")</f>
        <v>Jogtár megnyitása</v>
      </c>
    </row>
    <row r="1016" customFormat="false" ht="38" hidden="false" customHeight="true" outlineLevel="0" collapsed="false">
      <c r="A1016" s="15" t="s">
        <v>4427</v>
      </c>
      <c r="B1016" s="15" t="s">
        <v>1299</v>
      </c>
      <c r="C1016" s="15" t="s">
        <v>4428</v>
      </c>
      <c r="D1016" s="15" t="s">
        <v>4429</v>
      </c>
      <c r="E1016" s="16" t="str">
        <f aca="false">HYPERLINK("#'Forrásszöveg'!A"&amp;(MATCH("TV-S1011",Forrásszöveg!$A$6:$A$2497,0)+5),"74. § (2) eleje")</f>
        <v>74. § (2) eleje</v>
      </c>
      <c r="F1016" s="16" t="str">
        <f aca="false">HYPERLINK("https://net.jogtar.hu/jogszabaly?docid=a2400069.tv#pr1011id","Jogtár megnyitása")</f>
        <v>Jogtár megnyitása</v>
      </c>
    </row>
    <row r="1017" customFormat="false" ht="38" hidden="false" customHeight="true" outlineLevel="0" collapsed="false">
      <c r="A1017" s="15" t="s">
        <v>4430</v>
      </c>
      <c r="B1017" s="15" t="s">
        <v>1299</v>
      </c>
      <c r="C1017" s="15" t="s">
        <v>4431</v>
      </c>
      <c r="D1017" s="15" t="s">
        <v>4432</v>
      </c>
      <c r="E1017" s="16" t="str">
        <f aca="false">HYPERLINK("#'Forrásszöveg'!A"&amp;(MATCH("TV-S1012",Forrásszöveg!$A$6:$A$2497,0)+5),"74. § (3) eleje")</f>
        <v>74. § (3) eleje</v>
      </c>
      <c r="F1017" s="16" t="str">
        <f aca="false">HYPERLINK("https://net.jogtar.hu/jogszabaly?docid=a2400069.tv#pr1012id","Jogtár megnyitása")</f>
        <v>Jogtár megnyitása</v>
      </c>
    </row>
    <row r="1018" customFormat="false" ht="38" hidden="false" customHeight="true" outlineLevel="0" collapsed="false">
      <c r="A1018" s="15" t="s">
        <v>4433</v>
      </c>
      <c r="B1018" s="15" t="s">
        <v>1299</v>
      </c>
      <c r="C1018" s="15" t="s">
        <v>4434</v>
      </c>
      <c r="D1018" s="15" t="s">
        <v>4435</v>
      </c>
      <c r="E1018" s="16" t="str">
        <f aca="false">HYPERLINK("#'Forrásszöveg'!A"&amp;(MATCH("TV-S1013",Forrásszöveg!$A$6:$A$2497,0)+5),"74. § (4) eleje")</f>
        <v>74. § (4) eleje</v>
      </c>
      <c r="F1018" s="16" t="str">
        <f aca="false">HYPERLINK("https://net.jogtar.hu/jogszabaly?docid=a2400069.tv#pr1013id","Jogtár megnyitása")</f>
        <v>Jogtár megnyitása</v>
      </c>
    </row>
    <row r="1019" customFormat="false" ht="38" hidden="false" customHeight="true" outlineLevel="0" collapsed="false">
      <c r="A1019" s="15" t="s">
        <v>4436</v>
      </c>
      <c r="B1019" s="15" t="s">
        <v>1299</v>
      </c>
      <c r="C1019" s="15" t="s">
        <v>4437</v>
      </c>
      <c r="D1019" s="15" t="s">
        <v>4438</v>
      </c>
      <c r="E1019" s="16" t="str">
        <f aca="false">HYPERLINK("#'Forrásszöveg'!A"&amp;(MATCH("TV-S1013",Forrásszöveg!$A$6:$A$2497,0)+5),"74. § (4) eleje")</f>
        <v>74. § (4) eleje</v>
      </c>
      <c r="F1019" s="16" t="str">
        <f aca="false">HYPERLINK("https://net.jogtar.hu/jogszabaly?docid=a2400069.tv#pr1014id","Jogtár megnyitása")</f>
        <v>Jogtár megnyitása</v>
      </c>
    </row>
    <row r="1020" customFormat="false" ht="34" hidden="false" customHeight="true" outlineLevel="0" collapsed="false">
      <c r="A1020" s="15" t="s">
        <v>4439</v>
      </c>
      <c r="B1020" s="15" t="s">
        <v>1299</v>
      </c>
      <c r="C1020" s="15" t="s">
        <v>4440</v>
      </c>
      <c r="D1020" s="15" t="s">
        <v>4441</v>
      </c>
      <c r="E1020" s="16" t="str">
        <f aca="false">HYPERLINK("#'Forrásszöveg'!A"&amp;(MATCH("TV-S1013",Forrásszöveg!$A$6:$A$2497,0)+5),"74. § (4) eleje")</f>
        <v>74. § (4) eleje</v>
      </c>
      <c r="F1020" s="16" t="str">
        <f aca="false">HYPERLINK("https://net.jogtar.hu/jogszabaly?docid=a2400069.tv#pr1015id","Jogtár megnyitása")</f>
        <v>Jogtár megnyitása</v>
      </c>
    </row>
    <row r="1021" customFormat="false" ht="52" hidden="false" customHeight="true" outlineLevel="0" collapsed="false">
      <c r="A1021" s="15" t="s">
        <v>4442</v>
      </c>
      <c r="B1021" s="15" t="s">
        <v>1299</v>
      </c>
      <c r="C1021" s="15" t="s">
        <v>4443</v>
      </c>
      <c r="D1021" s="15" t="s">
        <v>4444</v>
      </c>
      <c r="E1021" s="16" t="str">
        <f aca="false">HYPERLINK("#'Forrásszöveg'!A"&amp;(MATCH("TV-S1013",Forrásszöveg!$A$6:$A$2497,0)+5),"74. § (4) eleje")</f>
        <v>74. § (4) eleje</v>
      </c>
      <c r="F1021" s="16" t="str">
        <f aca="false">HYPERLINK("https://net.jogtar.hu/jogszabaly?docid=a2400069.tv#pr1016id","Jogtár megnyitása")</f>
        <v>Jogtár megnyitása</v>
      </c>
    </row>
    <row r="1022" customFormat="false" ht="38" hidden="false" customHeight="true" outlineLevel="0" collapsed="false">
      <c r="A1022" s="15" t="s">
        <v>4445</v>
      </c>
      <c r="B1022" s="15" t="s">
        <v>1299</v>
      </c>
      <c r="C1022" s="15" t="s">
        <v>4446</v>
      </c>
      <c r="D1022" s="15" t="s">
        <v>4447</v>
      </c>
      <c r="E1022" s="16" t="str">
        <f aca="false">HYPERLINK("#'Forrásszöveg'!A"&amp;(MATCH("TV-S1013",Forrásszöveg!$A$6:$A$2497,0)+5),"74. § (4) eleje")</f>
        <v>74. § (4) eleje</v>
      </c>
      <c r="F1022" s="16" t="str">
        <f aca="false">HYPERLINK("https://net.jogtar.hu/jogszabaly?docid=a2400069.tv#pr1017id","Jogtár megnyitása")</f>
        <v>Jogtár megnyitása</v>
      </c>
    </row>
    <row r="1023" customFormat="false" ht="52" hidden="false" customHeight="true" outlineLevel="0" collapsed="false">
      <c r="A1023" s="15" t="s">
        <v>4448</v>
      </c>
      <c r="B1023" s="15" t="s">
        <v>1299</v>
      </c>
      <c r="C1023" s="15" t="s">
        <v>4449</v>
      </c>
      <c r="D1023" s="15" t="s">
        <v>4450</v>
      </c>
      <c r="E1023" s="16" t="str">
        <f aca="false">HYPERLINK("#'Forrásszöveg'!A"&amp;(MATCH("TV-S1013",Forrásszöveg!$A$6:$A$2497,0)+5),"74. § (4) eleje")</f>
        <v>74. § (4) eleje</v>
      </c>
      <c r="F1023" s="16" t="str">
        <f aca="false">HYPERLINK("https://net.jogtar.hu/jogszabaly?docid=a2400069.tv#pr1018id","Jogtár megnyitása")</f>
        <v>Jogtár megnyitása</v>
      </c>
    </row>
    <row r="1024" customFormat="false" ht="66" hidden="false" customHeight="true" outlineLevel="0" collapsed="false">
      <c r="A1024" s="15" t="s">
        <v>4451</v>
      </c>
      <c r="B1024" s="15" t="s">
        <v>1299</v>
      </c>
      <c r="C1024" s="15" t="s">
        <v>4452</v>
      </c>
      <c r="D1024" s="15" t="s">
        <v>4453</v>
      </c>
      <c r="E1024" s="16" t="str">
        <f aca="false">HYPERLINK("#'Forrásszöveg'!A"&amp;(MATCH("TV-S1013",Forrásszöveg!$A$6:$A$2497,0)+5),"74. § (4) eleje")</f>
        <v>74. § (4) eleje</v>
      </c>
      <c r="F1024" s="16" t="str">
        <f aca="false">HYPERLINK("https://net.jogtar.hu/jogszabaly?docid=a2400069.tv#pr1019id","Jogtár megnyitása")</f>
        <v>Jogtár megnyitása</v>
      </c>
    </row>
    <row r="1025" customFormat="false" ht="52" hidden="false" customHeight="true" outlineLevel="0" collapsed="false">
      <c r="A1025" s="15" t="s">
        <v>4454</v>
      </c>
      <c r="B1025" s="15" t="s">
        <v>1299</v>
      </c>
      <c r="C1025" s="15" t="s">
        <v>4455</v>
      </c>
      <c r="D1025" s="15" t="s">
        <v>4456</v>
      </c>
      <c r="E1025" s="16" t="str">
        <f aca="false">HYPERLINK("#'Forrásszöveg'!A"&amp;(MATCH("TV-S1013",Forrásszöveg!$A$6:$A$2497,0)+5),"74. § (4) eleje")</f>
        <v>74. § (4) eleje</v>
      </c>
      <c r="F1025" s="16" t="str">
        <f aca="false">HYPERLINK("https://net.jogtar.hu/jogszabaly?docid=a2400069.tv#pr1020id","Jogtár megnyitása")</f>
        <v>Jogtár megnyitása</v>
      </c>
    </row>
    <row r="1026" customFormat="false" ht="66" hidden="false" customHeight="true" outlineLevel="0" collapsed="false">
      <c r="A1026" s="15" t="s">
        <v>4457</v>
      </c>
      <c r="B1026" s="15" t="s">
        <v>1299</v>
      </c>
      <c r="C1026" s="15" t="s">
        <v>4458</v>
      </c>
      <c r="D1026" s="15" t="s">
        <v>4459</v>
      </c>
      <c r="E1026" s="16" t="str">
        <f aca="false">HYPERLINK("#'Forrásszöveg'!A"&amp;(MATCH("TV-S1013",Forrásszöveg!$A$6:$A$2497,0)+5),"74. § (4) eleje")</f>
        <v>74. § (4) eleje</v>
      </c>
      <c r="F1026" s="16" t="str">
        <f aca="false">HYPERLINK("https://net.jogtar.hu/jogszabaly?docid=a2400069.tv#pr1021id","Jogtár megnyitása")</f>
        <v>Jogtár megnyitása</v>
      </c>
    </row>
    <row r="1027" customFormat="false" ht="34" hidden="false" customHeight="true" outlineLevel="0" collapsed="false">
      <c r="A1027" s="15" t="s">
        <v>4460</v>
      </c>
      <c r="B1027" s="15" t="s">
        <v>1299</v>
      </c>
      <c r="C1027" s="15" t="s">
        <v>4461</v>
      </c>
      <c r="D1027" s="15" t="s">
        <v>4462</v>
      </c>
      <c r="E1027" s="16" t="str">
        <f aca="false">HYPERLINK("#'Forrásszöveg'!A"&amp;(MATCH("TV-S1013",Forrásszöveg!$A$6:$A$2497,0)+5),"74. § (4) eleje")</f>
        <v>74. § (4) eleje</v>
      </c>
      <c r="F1027" s="16" t="str">
        <f aca="false">HYPERLINK("https://net.jogtar.hu/jogszabaly?docid=a2400069.tv#pr1022id","Jogtár megnyitása")</f>
        <v>Jogtár megnyitása</v>
      </c>
    </row>
    <row r="1028" customFormat="false" ht="52" hidden="false" customHeight="true" outlineLevel="0" collapsed="false">
      <c r="A1028" s="15" t="s">
        <v>4463</v>
      </c>
      <c r="B1028" s="15" t="s">
        <v>1299</v>
      </c>
      <c r="C1028" s="15" t="s">
        <v>4464</v>
      </c>
      <c r="D1028" s="15" t="s">
        <v>4465</v>
      </c>
      <c r="E1028" s="16" t="str">
        <f aca="false">HYPERLINK("#'Forrásszöveg'!A"&amp;(MATCH("TV-S1013",Forrásszöveg!$A$6:$A$2497,0)+5),"74. § (4) eleje")</f>
        <v>74. § (4) eleje</v>
      </c>
      <c r="F1028" s="16" t="str">
        <f aca="false">HYPERLINK("https://net.jogtar.hu/jogszabaly?docid=a2400069.tv#pr1023id","Jogtár megnyitása")</f>
        <v>Jogtár megnyitása</v>
      </c>
    </row>
    <row r="1029" customFormat="false" ht="34" hidden="false" customHeight="true" outlineLevel="0" collapsed="false">
      <c r="A1029" s="15" t="s">
        <v>4466</v>
      </c>
      <c r="B1029" s="15" t="s">
        <v>1299</v>
      </c>
      <c r="C1029" s="15" t="s">
        <v>4467</v>
      </c>
      <c r="D1029" s="15" t="s">
        <v>4468</v>
      </c>
      <c r="E1029" s="16" t="str">
        <f aca="false">HYPERLINK("#'Forrásszöveg'!A"&amp;(MATCH("TV-S1013",Forrásszöveg!$A$6:$A$2497,0)+5),"74. § (4) eleje")</f>
        <v>74. § (4) eleje</v>
      </c>
      <c r="F1029" s="16" t="str">
        <f aca="false">HYPERLINK("https://net.jogtar.hu/jogszabaly?docid=a2400069.tv#pr1024id","Jogtár megnyitása")</f>
        <v>Jogtár megnyitása</v>
      </c>
    </row>
    <row r="1030" customFormat="false" ht="52" hidden="false" customHeight="true" outlineLevel="0" collapsed="false">
      <c r="A1030" s="15" t="s">
        <v>4469</v>
      </c>
      <c r="B1030" s="15" t="s">
        <v>1299</v>
      </c>
      <c r="C1030" s="15" t="s">
        <v>4470</v>
      </c>
      <c r="D1030" s="15" t="s">
        <v>4471</v>
      </c>
      <c r="E1030" s="16" t="str">
        <f aca="false">HYPERLINK("#'Forrásszöveg'!A"&amp;(MATCH("TV-S1013",Forrásszöveg!$A$6:$A$2497,0)+5),"74. § (4) eleje")</f>
        <v>74. § (4) eleje</v>
      </c>
      <c r="F1030" s="16" t="str">
        <f aca="false">HYPERLINK("https://net.jogtar.hu/jogszabaly?docid=a2400069.tv#pr1025id","Jogtár megnyitása")</f>
        <v>Jogtár megnyitása</v>
      </c>
    </row>
    <row r="1031" customFormat="false" ht="52" hidden="false" customHeight="true" outlineLevel="0" collapsed="false">
      <c r="A1031" s="15" t="s">
        <v>4472</v>
      </c>
      <c r="B1031" s="15" t="s">
        <v>1299</v>
      </c>
      <c r="C1031" s="15" t="s">
        <v>4473</v>
      </c>
      <c r="D1031" s="15" t="s">
        <v>4474</v>
      </c>
      <c r="E1031" s="16" t="str">
        <f aca="false">HYPERLINK("#'Forrásszöveg'!A"&amp;(MATCH("TV-S1026",Forrásszöveg!$A$6:$A$2497,0)+5),"74. § (5) eleje")</f>
        <v>74. § (5) eleje</v>
      </c>
      <c r="F1031" s="16" t="str">
        <f aca="false">HYPERLINK("https://net.jogtar.hu/jogszabaly?docid=a2400069.tv#pr1026id","Jogtár megnyitása")</f>
        <v>Jogtár megnyitása</v>
      </c>
    </row>
    <row r="1032" customFormat="false" ht="52" hidden="false" customHeight="true" outlineLevel="0" collapsed="false">
      <c r="A1032" s="15" t="s">
        <v>4475</v>
      </c>
      <c r="B1032" s="15" t="s">
        <v>1299</v>
      </c>
      <c r="C1032" s="15" t="s">
        <v>4476</v>
      </c>
      <c r="D1032" s="15" t="s">
        <v>4477</v>
      </c>
      <c r="E1032" s="16" t="str">
        <f aca="false">HYPERLINK("#'Forrásszöveg'!A"&amp;(MATCH("TV-S1027",Forrásszöveg!$A$6:$A$2497,0)+5),"74. § (6) eleje")</f>
        <v>74. § (6) eleje</v>
      </c>
      <c r="F1032" s="16" t="str">
        <f aca="false">HYPERLINK("https://net.jogtar.hu/jogszabaly?docid=a2400069.tv#pr1027id","Jogtár megnyitása")</f>
        <v>Jogtár megnyitása</v>
      </c>
    </row>
    <row r="1033" customFormat="false" ht="38" hidden="false" customHeight="true" outlineLevel="0" collapsed="false">
      <c r="A1033" s="15" t="s">
        <v>4478</v>
      </c>
      <c r="B1033" s="15" t="s">
        <v>1299</v>
      </c>
      <c r="C1033" s="15" t="s">
        <v>4479</v>
      </c>
      <c r="D1033" s="15" t="s">
        <v>4480</v>
      </c>
      <c r="E1033" s="16" t="str">
        <f aca="false">HYPERLINK("#'Forrásszöveg'!A"&amp;(MATCH("TV-S1027",Forrásszöveg!$A$6:$A$2497,0)+5),"74. § (6) eleje")</f>
        <v>74. § (6) eleje</v>
      </c>
      <c r="F1033" s="16" t="str">
        <f aca="false">HYPERLINK("https://net.jogtar.hu/jogszabaly?docid=a2400069.tv#pr1028id","Jogtár megnyitása")</f>
        <v>Jogtár megnyitása</v>
      </c>
    </row>
    <row r="1034" customFormat="false" ht="34" hidden="false" customHeight="true" outlineLevel="0" collapsed="false">
      <c r="A1034" s="15" t="s">
        <v>4481</v>
      </c>
      <c r="B1034" s="15" t="s">
        <v>1299</v>
      </c>
      <c r="C1034" s="15" t="s">
        <v>4482</v>
      </c>
      <c r="D1034" s="15" t="s">
        <v>4483</v>
      </c>
      <c r="E1034" s="16" t="str">
        <f aca="false">HYPERLINK("#'Forrásszöveg'!A"&amp;(MATCH("TV-S1027",Forrásszöveg!$A$6:$A$2497,0)+5),"74. § (6) eleje")</f>
        <v>74. § (6) eleje</v>
      </c>
      <c r="F1034" s="16" t="str">
        <f aca="false">HYPERLINK("https://net.jogtar.hu/jogszabaly?docid=a2400069.tv#pr1029id","Jogtár megnyitása")</f>
        <v>Jogtár megnyitása</v>
      </c>
    </row>
    <row r="1035" customFormat="false" ht="38" hidden="false" customHeight="true" outlineLevel="0" collapsed="false">
      <c r="A1035" s="15" t="s">
        <v>4484</v>
      </c>
      <c r="B1035" s="15" t="s">
        <v>1299</v>
      </c>
      <c r="C1035" s="15" t="s">
        <v>4485</v>
      </c>
      <c r="D1035" s="15" t="s">
        <v>4486</v>
      </c>
      <c r="E1035" s="16" t="str">
        <f aca="false">HYPERLINK("#'Forrásszöveg'!A"&amp;(MATCH("TV-S1030",Forrásszöveg!$A$6:$A$2497,0)+5),"74. § (7) eleje")</f>
        <v>74. § (7) eleje</v>
      </c>
      <c r="F1035" s="16" t="str">
        <f aca="false">HYPERLINK("https://net.jogtar.hu/jogszabaly?docid=a2400069.tv#pr1030id","Jogtár megnyitása")</f>
        <v>Jogtár megnyitása</v>
      </c>
    </row>
    <row r="1036" customFormat="false" ht="38" hidden="false" customHeight="true" outlineLevel="0" collapsed="false">
      <c r="A1036" s="15" t="s">
        <v>4487</v>
      </c>
      <c r="B1036" s="15" t="s">
        <v>1299</v>
      </c>
      <c r="C1036" s="15" t="s">
        <v>4488</v>
      </c>
      <c r="D1036" s="15" t="s">
        <v>4489</v>
      </c>
      <c r="E1036" s="16" t="str">
        <f aca="false">HYPERLINK("#'Forrásszöveg'!A"&amp;(MATCH("TV-S1031",Forrásszöveg!$A$6:$A$2497,0)+5),"74. § (8) eleje")</f>
        <v>74. § (8) eleje</v>
      </c>
      <c r="F1036" s="16" t="str">
        <f aca="false">HYPERLINK("https://net.jogtar.hu/jogszabaly?docid=a2400069.tv#pr1031id","Jogtár megnyitása")</f>
        <v>Jogtár megnyitása</v>
      </c>
    </row>
    <row r="1037" customFormat="false" ht="38" hidden="false" customHeight="true" outlineLevel="0" collapsed="false">
      <c r="A1037" s="15" t="s">
        <v>4490</v>
      </c>
      <c r="B1037" s="15" t="s">
        <v>1299</v>
      </c>
      <c r="C1037" s="15" t="s">
        <v>4491</v>
      </c>
      <c r="D1037" s="15" t="s">
        <v>4492</v>
      </c>
      <c r="E1037" s="16" t="str">
        <f aca="false">HYPERLINK("#'Forrásszöveg'!A"&amp;(MATCH("TV-S1032",Forrásszöveg!$A$6:$A$2497,0)+5),"74. § (9) eleje")</f>
        <v>74. § (9) eleje</v>
      </c>
      <c r="F1037" s="16" t="str">
        <f aca="false">HYPERLINK("https://net.jogtar.hu/jogszabaly?docid=a2400069.tv#pr1032id","Jogtár megnyitása")</f>
        <v>Jogtár megnyitása</v>
      </c>
    </row>
    <row r="1038" customFormat="false" ht="38" hidden="false" customHeight="true" outlineLevel="0" collapsed="false">
      <c r="A1038" s="15" t="s">
        <v>4493</v>
      </c>
      <c r="B1038" s="15" t="s">
        <v>1299</v>
      </c>
      <c r="C1038" s="15" t="s">
        <v>4494</v>
      </c>
      <c r="D1038" s="15" t="s">
        <v>4495</v>
      </c>
      <c r="E1038" s="16" t="str">
        <f aca="false">HYPERLINK("#'Forrásszöveg'!A"&amp;(MATCH("TV-S1032",Forrásszöveg!$A$6:$A$2497,0)+5),"74. § (9) eleje")</f>
        <v>74. § (9) eleje</v>
      </c>
      <c r="F1038" s="16" t="str">
        <f aca="false">HYPERLINK("https://net.jogtar.hu/jogszabaly?docid=a2400069.tv#pr1033id","Jogtár megnyitása")</f>
        <v>Jogtár megnyitása</v>
      </c>
    </row>
    <row r="1039" customFormat="false" ht="38" hidden="false" customHeight="true" outlineLevel="0" collapsed="false">
      <c r="A1039" s="15" t="s">
        <v>4496</v>
      </c>
      <c r="B1039" s="15" t="s">
        <v>1299</v>
      </c>
      <c r="C1039" s="15" t="s">
        <v>4497</v>
      </c>
      <c r="D1039" s="15" t="s">
        <v>4498</v>
      </c>
      <c r="E1039" s="16" t="str">
        <f aca="false">HYPERLINK("#'Forrásszöveg'!A"&amp;(MATCH("TV-S1032",Forrásszöveg!$A$6:$A$2497,0)+5),"74. § (9) eleje")</f>
        <v>74. § (9) eleje</v>
      </c>
      <c r="F1039" s="16" t="str">
        <f aca="false">HYPERLINK("https://net.jogtar.hu/jogszabaly?docid=a2400069.tv#pr1034id","Jogtár megnyitása")</f>
        <v>Jogtár megnyitása</v>
      </c>
    </row>
    <row r="1040" customFormat="false" ht="66" hidden="false" customHeight="true" outlineLevel="0" collapsed="false">
      <c r="A1040" s="15" t="s">
        <v>4499</v>
      </c>
      <c r="B1040" s="15" t="s">
        <v>1299</v>
      </c>
      <c r="C1040" s="15" t="s">
        <v>4500</v>
      </c>
      <c r="D1040" s="15" t="s">
        <v>4501</v>
      </c>
      <c r="E1040" s="16" t="str">
        <f aca="false">HYPERLINK("#'Forrásszöveg'!A"&amp;(MATCH("TV-S1035",Forrásszöveg!$A$6:$A$2497,0)+5),"74. § (10) eleje")</f>
        <v>74. § (10) eleje</v>
      </c>
      <c r="F1040" s="16" t="str">
        <f aca="false">HYPERLINK("https://net.jogtar.hu/jogszabaly?docid=a2400069.tv#pr1035id","Jogtár megnyitása")</f>
        <v>Jogtár megnyitása</v>
      </c>
    </row>
    <row r="1041" customFormat="false" ht="80" hidden="false" customHeight="true" outlineLevel="0" collapsed="false">
      <c r="A1041" s="15" t="s">
        <v>4502</v>
      </c>
      <c r="B1041" s="15" t="s">
        <v>1299</v>
      </c>
      <c r="C1041" s="15" t="s">
        <v>4503</v>
      </c>
      <c r="D1041" s="15" t="s">
        <v>4504</v>
      </c>
      <c r="E1041" s="16" t="str">
        <f aca="false">HYPERLINK("#'Forrásszöveg'!A"&amp;(MATCH("TV-S1036",Forrásszöveg!$A$6:$A$2497,0)+5),"74. § (11) eleje")</f>
        <v>74. § (11) eleje</v>
      </c>
      <c r="F1041" s="16" t="str">
        <f aca="false">HYPERLINK("https://net.jogtar.hu/jogszabaly?docid=a2400069.tv#pr1036id","Jogtár megnyitása")</f>
        <v>Jogtár megnyitása</v>
      </c>
    </row>
    <row r="1042" customFormat="false" ht="52" hidden="false" customHeight="true" outlineLevel="0" collapsed="false">
      <c r="A1042" s="15" t="s">
        <v>4505</v>
      </c>
      <c r="B1042" s="15" t="s">
        <v>1299</v>
      </c>
      <c r="C1042" s="15" t="s">
        <v>4506</v>
      </c>
      <c r="D1042" s="15" t="s">
        <v>4507</v>
      </c>
      <c r="E1042" s="16" t="str">
        <f aca="false">HYPERLINK("#'Forrásszöveg'!A"&amp;(MATCH("TV-S1037",Forrásszöveg!$A$6:$A$2497,0)+5),"74. § (12) eleje")</f>
        <v>74. § (12) eleje</v>
      </c>
      <c r="F1042" s="16" t="str">
        <f aca="false">HYPERLINK("https://net.jogtar.hu/jogszabaly?docid=a2400069.tv#pr1037id","Jogtár megnyitása")</f>
        <v>Jogtár megnyitása</v>
      </c>
    </row>
    <row r="1043" customFormat="false" ht="52" hidden="false" customHeight="true" outlineLevel="0" collapsed="false">
      <c r="A1043" s="15" t="s">
        <v>4508</v>
      </c>
      <c r="B1043" s="15" t="s">
        <v>1299</v>
      </c>
      <c r="C1043" s="15" t="s">
        <v>4509</v>
      </c>
      <c r="D1043" s="15" t="s">
        <v>4510</v>
      </c>
      <c r="E1043" s="16" t="str">
        <f aca="false">HYPERLINK("#'Forrásszöveg'!A"&amp;(MATCH("TV-S1038",Forrásszöveg!$A$6:$A$2497,0)+5),"74. § (13) eleje")</f>
        <v>74. § (13) eleje</v>
      </c>
      <c r="F1043" s="16" t="str">
        <f aca="false">HYPERLINK("https://net.jogtar.hu/jogszabaly?docid=a2400069.tv#pr1038id","Jogtár megnyitása")</f>
        <v>Jogtár megnyitása</v>
      </c>
    </row>
    <row r="1044" customFormat="false" ht="38" hidden="false" customHeight="true" outlineLevel="0" collapsed="false">
      <c r="A1044" s="15" t="s">
        <v>4511</v>
      </c>
      <c r="B1044" s="15" t="s">
        <v>1299</v>
      </c>
      <c r="C1044" s="15" t="s">
        <v>1426</v>
      </c>
      <c r="D1044" s="15" t="s">
        <v>1426</v>
      </c>
      <c r="E1044" s="16" t="str">
        <f aca="false">HYPERLINK("#'Forrásszöveg'!A"&amp;(MATCH("TV-S1010",Forrásszöveg!$A$6:$A$2497,0)+5),"74. § eleje")</f>
        <v>74. § eleje</v>
      </c>
      <c r="F1044" s="16" t="str">
        <f aca="false">HYPERLINK("https://net.jogtar.hu/jogszabaly?docid=a2400069.tv#pr1039id","Jogtár megnyitása")</f>
        <v>Jogtár megnyitása</v>
      </c>
    </row>
    <row r="1045" customFormat="false" ht="52" hidden="false" customHeight="true" outlineLevel="0" collapsed="false">
      <c r="A1045" s="15" t="s">
        <v>4512</v>
      </c>
      <c r="B1045" s="15" t="s">
        <v>1299</v>
      </c>
      <c r="C1045" s="15" t="s">
        <v>4513</v>
      </c>
      <c r="D1045" s="15" t="s">
        <v>4514</v>
      </c>
      <c r="E1045" s="16" t="str">
        <f aca="false">HYPERLINK("#'Forrásszöveg'!A"&amp;(MATCH("TV-S1040",Forrásszöveg!$A$6:$A$2497,0)+5),"75. § (1) eleje")</f>
        <v>75. § (1) eleje</v>
      </c>
      <c r="F1045" s="16" t="str">
        <f aca="false">HYPERLINK("https://net.jogtar.hu/jogszabaly?docid=a2400069.tv#pr1040id","Jogtár megnyitása")</f>
        <v>Jogtár megnyitása</v>
      </c>
    </row>
    <row r="1046" customFormat="false" ht="52" hidden="false" customHeight="true" outlineLevel="0" collapsed="false">
      <c r="A1046" s="15" t="s">
        <v>4515</v>
      </c>
      <c r="B1046" s="15" t="s">
        <v>1299</v>
      </c>
      <c r="C1046" s="15" t="s">
        <v>4516</v>
      </c>
      <c r="D1046" s="15" t="s">
        <v>4517</v>
      </c>
      <c r="E1046" s="16" t="str">
        <f aca="false">HYPERLINK("#'Forrásszöveg'!A"&amp;(MATCH("TV-S1041",Forrásszöveg!$A$6:$A$2497,0)+5),"75. § (2) eleje")</f>
        <v>75. § (2) eleje</v>
      </c>
      <c r="F1046" s="16" t="str">
        <f aca="false">HYPERLINK("https://net.jogtar.hu/jogszabaly?docid=a2400069.tv#pr1041id","Jogtár megnyitása")</f>
        <v>Jogtár megnyitása</v>
      </c>
    </row>
    <row r="1047" customFormat="false" ht="34" hidden="false" customHeight="true" outlineLevel="0" collapsed="false">
      <c r="A1047" s="15" t="s">
        <v>4518</v>
      </c>
      <c r="B1047" s="15" t="s">
        <v>1299</v>
      </c>
      <c r="C1047" s="15" t="s">
        <v>4519</v>
      </c>
      <c r="D1047" s="15" t="s">
        <v>4520</v>
      </c>
      <c r="E1047" s="16" t="str">
        <f aca="false">HYPERLINK("#'Forrásszöveg'!A"&amp;(MATCH("TV-S1041",Forrásszöveg!$A$6:$A$2497,0)+5),"75. § (2) eleje")</f>
        <v>75. § (2) eleje</v>
      </c>
      <c r="F1047" s="16" t="str">
        <f aca="false">HYPERLINK("https://net.jogtar.hu/jogszabaly?docid=a2400069.tv#pr1042id","Jogtár megnyitása")</f>
        <v>Jogtár megnyitása</v>
      </c>
    </row>
    <row r="1048" customFormat="false" ht="34" hidden="false" customHeight="true" outlineLevel="0" collapsed="false">
      <c r="A1048" s="15" t="s">
        <v>4521</v>
      </c>
      <c r="B1048" s="15" t="s">
        <v>1299</v>
      </c>
      <c r="C1048" s="15" t="s">
        <v>4522</v>
      </c>
      <c r="D1048" s="15" t="s">
        <v>4523</v>
      </c>
      <c r="E1048" s="16" t="str">
        <f aca="false">HYPERLINK("#'Forrásszöveg'!A"&amp;(MATCH("TV-S1041",Forrásszöveg!$A$6:$A$2497,0)+5),"75. § (2) eleje")</f>
        <v>75. § (2) eleje</v>
      </c>
      <c r="F1048" s="16" t="str">
        <f aca="false">HYPERLINK("https://net.jogtar.hu/jogszabaly?docid=a2400069.tv#pr1043id","Jogtár megnyitása")</f>
        <v>Jogtár megnyitása</v>
      </c>
    </row>
    <row r="1049" customFormat="false" ht="34" hidden="false" customHeight="true" outlineLevel="0" collapsed="false">
      <c r="A1049" s="15" t="s">
        <v>4524</v>
      </c>
      <c r="B1049" s="15" t="s">
        <v>1299</v>
      </c>
      <c r="C1049" s="15" t="s">
        <v>4525</v>
      </c>
      <c r="D1049" s="15" t="s">
        <v>4526</v>
      </c>
      <c r="E1049" s="16" t="str">
        <f aca="false">HYPERLINK("#'Forrásszöveg'!A"&amp;(MATCH("TV-S1041",Forrásszöveg!$A$6:$A$2497,0)+5),"75. § (2) eleje")</f>
        <v>75. § (2) eleje</v>
      </c>
      <c r="F1049" s="16" t="str">
        <f aca="false">HYPERLINK("https://net.jogtar.hu/jogszabaly?docid=a2400069.tv#pr1044id","Jogtár megnyitása")</f>
        <v>Jogtár megnyitása</v>
      </c>
    </row>
    <row r="1050" customFormat="false" ht="38" hidden="false" customHeight="true" outlineLevel="0" collapsed="false">
      <c r="A1050" s="15" t="s">
        <v>4527</v>
      </c>
      <c r="B1050" s="15" t="s">
        <v>1299</v>
      </c>
      <c r="C1050" s="15" t="s">
        <v>4528</v>
      </c>
      <c r="D1050" s="15" t="s">
        <v>4529</v>
      </c>
      <c r="E1050" s="16" t="str">
        <f aca="false">HYPERLINK("#'Forrásszöveg'!A"&amp;(MATCH("TV-S1041",Forrásszöveg!$A$6:$A$2497,0)+5),"75. § (2) eleje")</f>
        <v>75. § (2) eleje</v>
      </c>
      <c r="F1050" s="16" t="str">
        <f aca="false">HYPERLINK("https://net.jogtar.hu/jogszabaly?docid=a2400069.tv#pr1045id","Jogtár megnyitása")</f>
        <v>Jogtár megnyitása</v>
      </c>
    </row>
    <row r="1051" customFormat="false" ht="38" hidden="false" customHeight="true" outlineLevel="0" collapsed="false">
      <c r="A1051" s="15" t="s">
        <v>4530</v>
      </c>
      <c r="B1051" s="15" t="s">
        <v>1299</v>
      </c>
      <c r="C1051" s="15" t="s">
        <v>4531</v>
      </c>
      <c r="D1051" s="15" t="s">
        <v>4532</v>
      </c>
      <c r="E1051" s="16" t="str">
        <f aca="false">HYPERLINK("#'Forrásszöveg'!A"&amp;(MATCH("TV-S1041",Forrásszöveg!$A$6:$A$2497,0)+5),"75. § (2) eleje")</f>
        <v>75. § (2) eleje</v>
      </c>
      <c r="F1051" s="16" t="str">
        <f aca="false">HYPERLINK("https://net.jogtar.hu/jogszabaly?docid=a2400069.tv#pr1046id","Jogtár megnyitása")</f>
        <v>Jogtár megnyitása</v>
      </c>
    </row>
    <row r="1052" customFormat="false" ht="34" hidden="false" customHeight="true" outlineLevel="0" collapsed="false">
      <c r="A1052" s="15" t="s">
        <v>4533</v>
      </c>
      <c r="B1052" s="15" t="s">
        <v>1299</v>
      </c>
      <c r="C1052" s="15" t="s">
        <v>4534</v>
      </c>
      <c r="D1052" s="15" t="s">
        <v>4535</v>
      </c>
      <c r="E1052" s="16" t="str">
        <f aca="false">HYPERLINK("#'Forrásszöveg'!A"&amp;(MATCH("TV-S1041",Forrásszöveg!$A$6:$A$2497,0)+5),"75. § (2) eleje")</f>
        <v>75. § (2) eleje</v>
      </c>
      <c r="F1052" s="16" t="str">
        <f aca="false">HYPERLINK("https://net.jogtar.hu/jogszabaly?docid=a2400069.tv#pr1047id","Jogtár megnyitása")</f>
        <v>Jogtár megnyitása</v>
      </c>
    </row>
    <row r="1053" customFormat="false" ht="34" hidden="false" customHeight="true" outlineLevel="0" collapsed="false">
      <c r="A1053" s="15" t="s">
        <v>4536</v>
      </c>
      <c r="B1053" s="15" t="s">
        <v>1299</v>
      </c>
      <c r="C1053" s="15" t="s">
        <v>4537</v>
      </c>
      <c r="D1053" s="15" t="s">
        <v>4538</v>
      </c>
      <c r="E1053" s="16" t="str">
        <f aca="false">HYPERLINK("#'Forrásszöveg'!A"&amp;(MATCH("TV-S1048",Forrásszöveg!$A$6:$A$2497,0)+5),"75. § (3) eleje")</f>
        <v>75. § (3) eleje</v>
      </c>
      <c r="F1053" s="16" t="str">
        <f aca="false">HYPERLINK("https://net.jogtar.hu/jogszabaly?docid=a2400069.tv#pr1048id","Jogtár megnyitása")</f>
        <v>Jogtár megnyitása</v>
      </c>
    </row>
    <row r="1054" customFormat="false" ht="38" hidden="false" customHeight="true" outlineLevel="0" collapsed="false">
      <c r="A1054" s="15" t="s">
        <v>4539</v>
      </c>
      <c r="B1054" s="15" t="s">
        <v>1299</v>
      </c>
      <c r="C1054" s="15" t="s">
        <v>4540</v>
      </c>
      <c r="D1054" s="15" t="s">
        <v>4541</v>
      </c>
      <c r="E1054" s="16" t="str">
        <f aca="false">HYPERLINK("#'Forrásszöveg'!A"&amp;(MATCH("TV-S1048",Forrásszöveg!$A$6:$A$2497,0)+5),"75. § (3) eleje")</f>
        <v>75. § (3) eleje</v>
      </c>
      <c r="F1054" s="16" t="str">
        <f aca="false">HYPERLINK("https://net.jogtar.hu/jogszabaly?docid=a2400069.tv#pr1049id","Jogtár megnyitása")</f>
        <v>Jogtár megnyitása</v>
      </c>
    </row>
    <row r="1055" customFormat="false" ht="34" hidden="false" customHeight="true" outlineLevel="0" collapsed="false">
      <c r="A1055" s="15" t="s">
        <v>4542</v>
      </c>
      <c r="B1055" s="15" t="s">
        <v>1299</v>
      </c>
      <c r="C1055" s="15" t="s">
        <v>4543</v>
      </c>
      <c r="D1055" s="15" t="s">
        <v>4544</v>
      </c>
      <c r="E1055" s="16" t="str">
        <f aca="false">HYPERLINK("#'Forrásszöveg'!A"&amp;(MATCH("TV-S1048",Forrásszöveg!$A$6:$A$2497,0)+5),"75. § (3) eleje")</f>
        <v>75. § (3) eleje</v>
      </c>
      <c r="F1055" s="16" t="str">
        <f aca="false">HYPERLINK("https://net.jogtar.hu/jogszabaly?docid=a2400069.tv#pr1050id","Jogtár megnyitása")</f>
        <v>Jogtár megnyitása</v>
      </c>
    </row>
    <row r="1056" customFormat="false" ht="34" hidden="false" customHeight="true" outlineLevel="0" collapsed="false">
      <c r="A1056" s="15" t="s">
        <v>4545</v>
      </c>
      <c r="B1056" s="15" t="s">
        <v>1299</v>
      </c>
      <c r="C1056" s="15" t="s">
        <v>4546</v>
      </c>
      <c r="D1056" s="15" t="s">
        <v>4547</v>
      </c>
      <c r="E1056" s="16" t="str">
        <f aca="false">HYPERLINK("#'Forrásszöveg'!A"&amp;(MATCH("TV-S1048",Forrásszöveg!$A$6:$A$2497,0)+5),"75. § (3) eleje")</f>
        <v>75. § (3) eleje</v>
      </c>
      <c r="F1056" s="16" t="str">
        <f aca="false">HYPERLINK("https://net.jogtar.hu/jogszabaly?docid=a2400069.tv#pr1051id","Jogtár megnyitása")</f>
        <v>Jogtár megnyitása</v>
      </c>
    </row>
    <row r="1057" customFormat="false" ht="34" hidden="false" customHeight="true" outlineLevel="0" collapsed="false">
      <c r="A1057" s="15" t="s">
        <v>4548</v>
      </c>
      <c r="B1057" s="15" t="s">
        <v>1299</v>
      </c>
      <c r="C1057" s="15" t="s">
        <v>4549</v>
      </c>
      <c r="D1057" s="15" t="s">
        <v>4550</v>
      </c>
      <c r="E1057" s="16" t="str">
        <f aca="false">HYPERLINK("#'Forrásszöveg'!A"&amp;(MATCH("TV-S1048",Forrásszöveg!$A$6:$A$2497,0)+5),"75. § (3) eleje")</f>
        <v>75. § (3) eleje</v>
      </c>
      <c r="F1057" s="16" t="str">
        <f aca="false">HYPERLINK("https://net.jogtar.hu/jogszabaly?docid=a2400069.tv#pr1052id","Jogtár megnyitása")</f>
        <v>Jogtár megnyitása</v>
      </c>
    </row>
    <row r="1058" customFormat="false" ht="34" hidden="false" customHeight="true" outlineLevel="0" collapsed="false">
      <c r="A1058" s="15" t="s">
        <v>4551</v>
      </c>
      <c r="B1058" s="15" t="s">
        <v>1299</v>
      </c>
      <c r="C1058" s="15" t="s">
        <v>4552</v>
      </c>
      <c r="D1058" s="15" t="s">
        <v>4553</v>
      </c>
      <c r="E1058" s="16" t="str">
        <f aca="false">HYPERLINK("#'Forrásszöveg'!A"&amp;(MATCH("TV-S1048",Forrásszöveg!$A$6:$A$2497,0)+5),"75. § (3) eleje")</f>
        <v>75. § (3) eleje</v>
      </c>
      <c r="F1058" s="16" t="str">
        <f aca="false">HYPERLINK("https://net.jogtar.hu/jogszabaly?docid=a2400069.tv#pr1053id","Jogtár megnyitása")</f>
        <v>Jogtár megnyitása</v>
      </c>
    </row>
    <row r="1059" customFormat="false" ht="34" hidden="false" customHeight="true" outlineLevel="0" collapsed="false">
      <c r="A1059" s="15" t="s">
        <v>4554</v>
      </c>
      <c r="B1059" s="15" t="s">
        <v>1299</v>
      </c>
      <c r="C1059" s="15" t="s">
        <v>4537</v>
      </c>
      <c r="D1059" s="15" t="s">
        <v>3296</v>
      </c>
      <c r="E1059" s="16" t="str">
        <f aca="false">HYPERLINK("#'Forrásszöveg'!A"&amp;(MATCH("TV-S1048",Forrásszöveg!$A$6:$A$2497,0)+5),"75. § (3) eleje")</f>
        <v>75. § (3) eleje</v>
      </c>
      <c r="F1059" s="16" t="str">
        <f aca="false">HYPERLINK("https://net.jogtar.hu/jogszabaly?docid=a2400069.tv#pr1054id","Jogtár megnyitása")</f>
        <v>Jogtár megnyitása</v>
      </c>
    </row>
    <row r="1060" customFormat="false" ht="66" hidden="false" customHeight="true" outlineLevel="0" collapsed="false">
      <c r="A1060" s="15" t="s">
        <v>4555</v>
      </c>
      <c r="B1060" s="15" t="s">
        <v>1299</v>
      </c>
      <c r="C1060" s="15" t="s">
        <v>4556</v>
      </c>
      <c r="D1060" s="15" t="s">
        <v>4557</v>
      </c>
      <c r="E1060" s="16" t="str">
        <f aca="false">HYPERLINK("#'Forrásszöveg'!A"&amp;(MATCH("TV-S1055",Forrásszöveg!$A$6:$A$2497,0)+5),"75. § (4) eleje")</f>
        <v>75. § (4) eleje</v>
      </c>
      <c r="F1060" s="16" t="str">
        <f aca="false">HYPERLINK("https://net.jogtar.hu/jogszabaly?docid=a2400069.tv#pr1055id","Jogtár megnyitása")</f>
        <v>Jogtár megnyitása</v>
      </c>
    </row>
    <row r="1061" customFormat="false" ht="38" hidden="false" customHeight="true" outlineLevel="0" collapsed="false">
      <c r="A1061" s="15" t="s">
        <v>4558</v>
      </c>
      <c r="B1061" s="15" t="s">
        <v>1299</v>
      </c>
      <c r="C1061" s="15" t="s">
        <v>4559</v>
      </c>
      <c r="D1061" s="15" t="s">
        <v>4560</v>
      </c>
      <c r="E1061" s="16" t="str">
        <f aca="false">HYPERLINK("#'Forrásszöveg'!A"&amp;(MATCH("TV-S1056",Forrásszöveg!$A$6:$A$2497,0)+5),"75. § (5) eleje")</f>
        <v>75. § (5) eleje</v>
      </c>
      <c r="F1061" s="16" t="str">
        <f aca="false">HYPERLINK("https://net.jogtar.hu/jogszabaly?docid=a2400069.tv#pr1056id","Jogtár megnyitása")</f>
        <v>Jogtár megnyitása</v>
      </c>
    </row>
    <row r="1062" customFormat="false" ht="38" hidden="false" customHeight="true" outlineLevel="0" collapsed="false">
      <c r="A1062" s="15" t="s">
        <v>4561</v>
      </c>
      <c r="B1062" s="15" t="s">
        <v>1299</v>
      </c>
      <c r="C1062" s="15" t="s">
        <v>1428</v>
      </c>
      <c r="D1062" s="15" t="s">
        <v>1428</v>
      </c>
      <c r="E1062" s="16" t="str">
        <f aca="false">HYPERLINK("#'Forrásszöveg'!A"&amp;(MATCH("TV-S1040",Forrásszöveg!$A$6:$A$2497,0)+5),"75. § eleje")</f>
        <v>75. § eleje</v>
      </c>
      <c r="F1062" s="16" t="str">
        <f aca="false">HYPERLINK("https://net.jogtar.hu/jogszabaly?docid=a2400069.tv#pr1057id","Jogtár megnyitása")</f>
        <v>Jogtár megnyitása</v>
      </c>
    </row>
    <row r="1063" customFormat="false" ht="80" hidden="false" customHeight="true" outlineLevel="0" collapsed="false">
      <c r="A1063" s="15" t="s">
        <v>4562</v>
      </c>
      <c r="B1063" s="15" t="s">
        <v>1299</v>
      </c>
      <c r="C1063" s="15" t="s">
        <v>4563</v>
      </c>
      <c r="D1063" s="15" t="s">
        <v>4564</v>
      </c>
      <c r="E1063" s="16" t="str">
        <f aca="false">HYPERLINK("#'Forrásszöveg'!A"&amp;(MATCH("TV-S1058",Forrásszöveg!$A$6:$A$2497,0)+5),"76. § (1) eleje")</f>
        <v>76. § (1) eleje</v>
      </c>
      <c r="F1063" s="16" t="str">
        <f aca="false">HYPERLINK("https://net.jogtar.hu/jogszabaly?docid=a2400069.tv#pr1058id","Jogtár megnyitása")</f>
        <v>Jogtár megnyitása</v>
      </c>
    </row>
    <row r="1064" customFormat="false" ht="52" hidden="false" customHeight="true" outlineLevel="0" collapsed="false">
      <c r="A1064" s="15" t="s">
        <v>4565</v>
      </c>
      <c r="B1064" s="15" t="s">
        <v>1299</v>
      </c>
      <c r="C1064" s="15" t="s">
        <v>4566</v>
      </c>
      <c r="D1064" s="15" t="s">
        <v>4567</v>
      </c>
      <c r="E1064" s="16" t="str">
        <f aca="false">HYPERLINK("#'Forrásszöveg'!A"&amp;(MATCH("TV-S1059",Forrásszöveg!$A$6:$A$2497,0)+5),"76. § (2) eleje")</f>
        <v>76. § (2) eleje</v>
      </c>
      <c r="F1064" s="16" t="str">
        <f aca="false">HYPERLINK("https://net.jogtar.hu/jogszabaly?docid=a2400069.tv#pr1059id","Jogtár megnyitása")</f>
        <v>Jogtár megnyitása</v>
      </c>
    </row>
    <row r="1065" customFormat="false" ht="66" hidden="false" customHeight="true" outlineLevel="0" collapsed="false">
      <c r="A1065" s="15" t="s">
        <v>4568</v>
      </c>
      <c r="B1065" s="15" t="s">
        <v>1299</v>
      </c>
      <c r="C1065" s="15" t="s">
        <v>4569</v>
      </c>
      <c r="D1065" s="15" t="s">
        <v>4570</v>
      </c>
      <c r="E1065" s="16" t="str">
        <f aca="false">HYPERLINK("#'Forrásszöveg'!A"&amp;(MATCH("TV-S1060",Forrásszöveg!$A$6:$A$2497,0)+5),"76. § (3) eleje")</f>
        <v>76. § (3) eleje</v>
      </c>
      <c r="F1065" s="16" t="str">
        <f aca="false">HYPERLINK("https://net.jogtar.hu/jogszabaly?docid=a2400069.tv#pr1060id","Jogtár megnyitása")</f>
        <v>Jogtár megnyitása</v>
      </c>
    </row>
    <row r="1066" customFormat="false" ht="66" hidden="false" customHeight="true" outlineLevel="0" collapsed="false">
      <c r="A1066" s="15" t="s">
        <v>4571</v>
      </c>
      <c r="B1066" s="15" t="s">
        <v>1299</v>
      </c>
      <c r="C1066" s="15" t="s">
        <v>4572</v>
      </c>
      <c r="D1066" s="15" t="s">
        <v>4573</v>
      </c>
      <c r="E1066" s="16" t="str">
        <f aca="false">HYPERLINK("#'Forrásszöveg'!A"&amp;(MATCH("TV-S1061",Forrásszöveg!$A$6:$A$2497,0)+5),"76. § (4) eleje")</f>
        <v>76. § (4) eleje</v>
      </c>
      <c r="F1066" s="16" t="str">
        <f aca="false">HYPERLINK("https://net.jogtar.hu/jogszabaly?docid=a2400069.tv#pr1061id","Jogtár megnyitása")</f>
        <v>Jogtár megnyitása</v>
      </c>
    </row>
    <row r="1067" customFormat="false" ht="34" hidden="false" customHeight="true" outlineLevel="0" collapsed="false">
      <c r="A1067" s="15" t="s">
        <v>4574</v>
      </c>
      <c r="B1067" s="15" t="s">
        <v>1299</v>
      </c>
      <c r="C1067" s="15" t="s">
        <v>4575</v>
      </c>
      <c r="D1067" s="15" t="s">
        <v>4575</v>
      </c>
      <c r="E1067" s="16" t="str">
        <f aca="false">HYPERLINK("#'Forrásszöveg'!A"&amp;(MATCH("TV-S1058",Forrásszöveg!$A$6:$A$2497,0)+5),"76. § eleje")</f>
        <v>76. § eleje</v>
      </c>
      <c r="F1067" s="16" t="str">
        <f aca="false">HYPERLINK("https://net.jogtar.hu/jogszabaly?docid=a2400069.tv#pr1062id","Jogtár megnyitása")</f>
        <v>Jogtár megnyitása</v>
      </c>
    </row>
    <row r="1068" customFormat="false" ht="38" hidden="false" customHeight="true" outlineLevel="0" collapsed="false">
      <c r="A1068" s="15" t="s">
        <v>4576</v>
      </c>
      <c r="B1068" s="15" t="s">
        <v>1299</v>
      </c>
      <c r="C1068" s="15" t="s">
        <v>4577</v>
      </c>
      <c r="D1068" s="15" t="s">
        <v>4577</v>
      </c>
      <c r="E1068" s="16" t="str">
        <f aca="false">HYPERLINK("#'Forrásszöveg'!A"&amp;(MATCH("TV-S1058",Forrásszöveg!$A$6:$A$2497,0)+5),"76. § eleje")</f>
        <v>76. § eleje</v>
      </c>
      <c r="F1068" s="16" t="str">
        <f aca="false">HYPERLINK("https://net.jogtar.hu/jogszabaly?docid=a2400069.tv#pr1063id","Jogtár megnyitása")</f>
        <v>Jogtár megnyitása</v>
      </c>
    </row>
    <row r="1069" customFormat="false" ht="122" hidden="false" customHeight="true" outlineLevel="0" collapsed="false">
      <c r="A1069" s="15" t="s">
        <v>4578</v>
      </c>
      <c r="B1069" s="15" t="s">
        <v>1299</v>
      </c>
      <c r="C1069" s="15" t="s">
        <v>4579</v>
      </c>
      <c r="D1069" s="15" t="s">
        <v>4580</v>
      </c>
      <c r="E1069" s="16" t="str">
        <f aca="false">HYPERLINK("#'Forrásszöveg'!A"&amp;(MATCH("TV-S1064",Forrásszöveg!$A$6:$A$2497,0)+5),"77. § (1) eleje")</f>
        <v>77. § (1) eleje</v>
      </c>
      <c r="F1069" s="16" t="str">
        <f aca="false">HYPERLINK("https://net.jogtar.hu/jogszabaly?docid=a2400069.tv#pr1064id","Jogtár megnyitása")</f>
        <v>Jogtár megnyitása</v>
      </c>
    </row>
    <row r="1070" customFormat="false" ht="52" hidden="false" customHeight="true" outlineLevel="0" collapsed="false">
      <c r="A1070" s="15" t="s">
        <v>4581</v>
      </c>
      <c r="B1070" s="15" t="s">
        <v>1299</v>
      </c>
      <c r="C1070" s="15" t="s">
        <v>4582</v>
      </c>
      <c r="D1070" s="15" t="s">
        <v>4583</v>
      </c>
      <c r="E1070" s="16" t="str">
        <f aca="false">HYPERLINK("#'Forrásszöveg'!A"&amp;(MATCH("TV-S1065",Forrásszöveg!$A$6:$A$2497,0)+5),"77. § (2) eleje")</f>
        <v>77. § (2) eleje</v>
      </c>
      <c r="F1070" s="16" t="str">
        <f aca="false">HYPERLINK("https://net.jogtar.hu/jogszabaly?docid=a2400069.tv#pr1065id","Jogtár megnyitása")</f>
        <v>Jogtár megnyitása</v>
      </c>
    </row>
    <row r="1071" customFormat="false" ht="66" hidden="false" customHeight="true" outlineLevel="0" collapsed="false">
      <c r="A1071" s="15" t="s">
        <v>4584</v>
      </c>
      <c r="B1071" s="15" t="s">
        <v>1299</v>
      </c>
      <c r="C1071" s="15" t="s">
        <v>4585</v>
      </c>
      <c r="D1071" s="15" t="s">
        <v>4586</v>
      </c>
      <c r="E1071" s="16" t="str">
        <f aca="false">HYPERLINK("#'Forrásszöveg'!A"&amp;(MATCH("TV-S1066",Forrásszöveg!$A$6:$A$2497,0)+5),"77. § (3) eleje")</f>
        <v>77. § (3) eleje</v>
      </c>
      <c r="F1071" s="16" t="str">
        <f aca="false">HYPERLINK("https://net.jogtar.hu/jogszabaly?docid=a2400069.tv#pr1066id","Jogtár megnyitása")</f>
        <v>Jogtár megnyitása</v>
      </c>
    </row>
    <row r="1072" customFormat="false" ht="52" hidden="false" customHeight="true" outlineLevel="0" collapsed="false">
      <c r="A1072" s="15" t="s">
        <v>4587</v>
      </c>
      <c r="B1072" s="15" t="s">
        <v>1299</v>
      </c>
      <c r="C1072" s="15" t="s">
        <v>4588</v>
      </c>
      <c r="D1072" s="15" t="s">
        <v>4589</v>
      </c>
      <c r="E1072" s="16" t="str">
        <f aca="false">HYPERLINK("#'Forrásszöveg'!A"&amp;(MATCH("TV-S1067",Forrásszöveg!$A$6:$A$2497,0)+5),"77. § (4) eleje")</f>
        <v>77. § (4) eleje</v>
      </c>
      <c r="F1072" s="16" t="str">
        <f aca="false">HYPERLINK("https://net.jogtar.hu/jogszabaly?docid=a2400069.tv#pr1067id","Jogtár megnyitása")</f>
        <v>Jogtár megnyitása</v>
      </c>
    </row>
    <row r="1073" customFormat="false" ht="38" hidden="false" customHeight="true" outlineLevel="0" collapsed="false">
      <c r="A1073" s="15" t="s">
        <v>4590</v>
      </c>
      <c r="B1073" s="15" t="s">
        <v>1299</v>
      </c>
      <c r="C1073" s="15" t="s">
        <v>4591</v>
      </c>
      <c r="D1073" s="15" t="s">
        <v>4592</v>
      </c>
      <c r="E1073" s="16" t="str">
        <f aca="false">HYPERLINK("#'Forrásszöveg'!A"&amp;(MATCH("TV-S1068",Forrásszöveg!$A$6:$A$2497,0)+5),"77. § (5) eleje")</f>
        <v>77. § (5) eleje</v>
      </c>
      <c r="F1073" s="16" t="str">
        <f aca="false">HYPERLINK("https://net.jogtar.hu/jogszabaly?docid=a2400069.tv#pr1068id","Jogtár megnyitása")</f>
        <v>Jogtár megnyitása</v>
      </c>
    </row>
    <row r="1074" customFormat="false" ht="66" hidden="false" customHeight="true" outlineLevel="0" collapsed="false">
      <c r="A1074" s="15" t="s">
        <v>4593</v>
      </c>
      <c r="B1074" s="15" t="s">
        <v>1299</v>
      </c>
      <c r="C1074" s="15" t="s">
        <v>4594</v>
      </c>
      <c r="D1074" s="15" t="s">
        <v>4595</v>
      </c>
      <c r="E1074" s="16" t="str">
        <f aca="false">HYPERLINK("#'Forrásszöveg'!A"&amp;(MATCH("TV-S1069",Forrásszöveg!$A$6:$A$2497,0)+5),"77. § (6) eleje")</f>
        <v>77. § (6) eleje</v>
      </c>
      <c r="F1074" s="16" t="str">
        <f aca="false">HYPERLINK("https://net.jogtar.hu/jogszabaly?docid=a2400069.tv#pr1069id","Jogtár megnyitása")</f>
        <v>Jogtár megnyitása</v>
      </c>
    </row>
    <row r="1075" customFormat="false" ht="52" hidden="false" customHeight="true" outlineLevel="0" collapsed="false">
      <c r="A1075" s="15" t="s">
        <v>4596</v>
      </c>
      <c r="B1075" s="15" t="s">
        <v>1299</v>
      </c>
      <c r="C1075" s="15" t="s">
        <v>4597</v>
      </c>
      <c r="D1075" s="15" t="s">
        <v>4598</v>
      </c>
      <c r="E1075" s="16" t="str">
        <f aca="false">HYPERLINK("#'Forrásszöveg'!A"&amp;(MATCH("TV-S1070",Forrásszöveg!$A$6:$A$2497,0)+5),"78. § (1) eleje")</f>
        <v>78. § (1) eleje</v>
      </c>
      <c r="F1075" s="16" t="str">
        <f aca="false">HYPERLINK("https://net.jogtar.hu/jogszabaly?docid=a2400069.tv#pr1070id","Jogtár megnyitása")</f>
        <v>Jogtár megnyitása</v>
      </c>
    </row>
    <row r="1076" customFormat="false" ht="34" hidden="false" customHeight="true" outlineLevel="0" collapsed="false">
      <c r="A1076" s="15" t="s">
        <v>4599</v>
      </c>
      <c r="B1076" s="15" t="s">
        <v>1299</v>
      </c>
      <c r="C1076" s="15" t="s">
        <v>4600</v>
      </c>
      <c r="D1076" s="15" t="s">
        <v>4601</v>
      </c>
      <c r="E1076" s="16" t="str">
        <f aca="false">HYPERLINK("#'Forrásszöveg'!A"&amp;(MATCH("TV-S1070",Forrásszöveg!$A$6:$A$2497,0)+5),"78. § (1) eleje")</f>
        <v>78. § (1) eleje</v>
      </c>
      <c r="F1076" s="16" t="str">
        <f aca="false">HYPERLINK("https://net.jogtar.hu/jogszabaly?docid=a2400069.tv#pr1071id","Jogtár megnyitása")</f>
        <v>Jogtár megnyitása</v>
      </c>
    </row>
    <row r="1077" customFormat="false" ht="34" hidden="false" customHeight="true" outlineLevel="0" collapsed="false">
      <c r="A1077" s="15" t="s">
        <v>4602</v>
      </c>
      <c r="B1077" s="15" t="s">
        <v>1299</v>
      </c>
      <c r="C1077" s="15" t="s">
        <v>4603</v>
      </c>
      <c r="D1077" s="15" t="s">
        <v>4604</v>
      </c>
      <c r="E1077" s="16" t="str">
        <f aca="false">HYPERLINK("#'Forrásszöveg'!A"&amp;(MATCH("TV-S1070",Forrásszöveg!$A$6:$A$2497,0)+5),"78. § (1) eleje")</f>
        <v>78. § (1) eleje</v>
      </c>
      <c r="F1077" s="16" t="str">
        <f aca="false">HYPERLINK("https://net.jogtar.hu/jogszabaly?docid=a2400069.tv#pr1072id","Jogtár megnyitása")</f>
        <v>Jogtár megnyitása</v>
      </c>
    </row>
    <row r="1078" customFormat="false" ht="34" hidden="false" customHeight="true" outlineLevel="0" collapsed="false">
      <c r="A1078" s="15" t="s">
        <v>4605</v>
      </c>
      <c r="B1078" s="15" t="s">
        <v>1299</v>
      </c>
      <c r="C1078" s="15" t="s">
        <v>4606</v>
      </c>
      <c r="D1078" s="15" t="s">
        <v>4607</v>
      </c>
      <c r="E1078" s="16" t="str">
        <f aca="false">HYPERLINK("#'Forrásszöveg'!A"&amp;(MATCH("TV-S1070",Forrásszöveg!$A$6:$A$2497,0)+5),"78. § (1) eleje")</f>
        <v>78. § (1) eleje</v>
      </c>
      <c r="F1078" s="16" t="str">
        <f aca="false">HYPERLINK("https://net.jogtar.hu/jogszabaly?docid=a2400069.tv#pr1073id","Jogtár megnyitása")</f>
        <v>Jogtár megnyitása</v>
      </c>
    </row>
    <row r="1079" customFormat="false" ht="34" hidden="false" customHeight="true" outlineLevel="0" collapsed="false">
      <c r="A1079" s="15" t="s">
        <v>4608</v>
      </c>
      <c r="B1079" s="15" t="s">
        <v>1299</v>
      </c>
      <c r="C1079" s="15" t="s">
        <v>4597</v>
      </c>
      <c r="D1079" s="15" t="s">
        <v>4609</v>
      </c>
      <c r="E1079" s="16" t="str">
        <f aca="false">HYPERLINK("#'Forrásszöveg'!A"&amp;(MATCH("TV-S1070",Forrásszöveg!$A$6:$A$2497,0)+5),"78. § (1) eleje")</f>
        <v>78. § (1) eleje</v>
      </c>
      <c r="F1079" s="16" t="str">
        <f aca="false">HYPERLINK("https://net.jogtar.hu/jogszabaly?docid=a2400069.tv#pr1074id","Jogtár megnyitása")</f>
        <v>Jogtár megnyitása</v>
      </c>
    </row>
    <row r="1080" customFormat="false" ht="52" hidden="false" customHeight="true" outlineLevel="0" collapsed="false">
      <c r="A1080" s="15" t="s">
        <v>4610</v>
      </c>
      <c r="B1080" s="15" t="s">
        <v>1299</v>
      </c>
      <c r="C1080" s="15" t="s">
        <v>4611</v>
      </c>
      <c r="D1080" s="15" t="s">
        <v>4612</v>
      </c>
      <c r="E1080" s="16" t="str">
        <f aca="false">HYPERLINK("#'Forrásszöveg'!A"&amp;(MATCH("TV-S1075",Forrásszöveg!$A$6:$A$2497,0)+5),"78. § (2) eleje")</f>
        <v>78. § (2) eleje</v>
      </c>
      <c r="F1080" s="16" t="str">
        <f aca="false">HYPERLINK("https://net.jogtar.hu/jogszabaly?docid=a2400069.tv#pr1075id","Jogtár megnyitása")</f>
        <v>Jogtár megnyitása</v>
      </c>
    </row>
    <row r="1081" customFormat="false" ht="66" hidden="false" customHeight="true" outlineLevel="0" collapsed="false">
      <c r="A1081" s="15" t="s">
        <v>4613</v>
      </c>
      <c r="B1081" s="15" t="s">
        <v>1299</v>
      </c>
      <c r="C1081" s="15" t="s">
        <v>4614</v>
      </c>
      <c r="D1081" s="15" t="s">
        <v>4615</v>
      </c>
      <c r="E1081" s="16" t="str">
        <f aca="false">HYPERLINK("#'Forrásszöveg'!A"&amp;(MATCH("TV-S1076",Forrásszöveg!$A$6:$A$2497,0)+5),"78. § (3) eleje")</f>
        <v>78. § (3) eleje</v>
      </c>
      <c r="F1081" s="16" t="str">
        <f aca="false">HYPERLINK("https://net.jogtar.hu/jogszabaly?docid=a2400069.tv#pr1076id","Jogtár megnyitása")</f>
        <v>Jogtár megnyitása</v>
      </c>
    </row>
    <row r="1082" customFormat="false" ht="38" hidden="false" customHeight="true" outlineLevel="0" collapsed="false">
      <c r="A1082" s="15" t="s">
        <v>4616</v>
      </c>
      <c r="B1082" s="15" t="s">
        <v>1299</v>
      </c>
      <c r="C1082" s="15" t="s">
        <v>4617</v>
      </c>
      <c r="D1082" s="15" t="s">
        <v>4618</v>
      </c>
      <c r="E1082" s="16" t="str">
        <f aca="false">HYPERLINK("#'Forrásszöveg'!A"&amp;(MATCH("TV-S1077",Forrásszöveg!$A$6:$A$2497,0)+5),"79. § (1) eleje")</f>
        <v>79. § (1) eleje</v>
      </c>
      <c r="F1082" s="16" t="str">
        <f aca="false">HYPERLINK("https://net.jogtar.hu/jogszabaly?docid=a2400069.tv#pr1077id","Jogtár megnyitása")</f>
        <v>Jogtár megnyitása</v>
      </c>
    </row>
    <row r="1083" customFormat="false" ht="52" hidden="false" customHeight="true" outlineLevel="0" collapsed="false">
      <c r="A1083" s="15" t="s">
        <v>4619</v>
      </c>
      <c r="B1083" s="15" t="s">
        <v>1299</v>
      </c>
      <c r="C1083" s="15" t="s">
        <v>4620</v>
      </c>
      <c r="D1083" s="15" t="s">
        <v>4621</v>
      </c>
      <c r="E1083" s="16" t="str">
        <f aca="false">HYPERLINK("#'Forrásszöveg'!A"&amp;(MATCH("TV-S1078",Forrásszöveg!$A$6:$A$2497,0)+5),"79. § (2) eleje")</f>
        <v>79. § (2) eleje</v>
      </c>
      <c r="F1083" s="16" t="str">
        <f aca="false">HYPERLINK("https://net.jogtar.hu/jogszabaly?docid=a2400069.tv#pr1078id","Jogtár megnyitása")</f>
        <v>Jogtár megnyitása</v>
      </c>
    </row>
    <row r="1084" customFormat="false" ht="80" hidden="false" customHeight="true" outlineLevel="0" collapsed="false">
      <c r="A1084" s="15" t="s">
        <v>4622</v>
      </c>
      <c r="B1084" s="15" t="s">
        <v>1299</v>
      </c>
      <c r="C1084" s="15" t="s">
        <v>4623</v>
      </c>
      <c r="D1084" s="15" t="s">
        <v>4624</v>
      </c>
      <c r="E1084" s="16" t="str">
        <f aca="false">HYPERLINK("#'Forrásszöveg'!A"&amp;(MATCH("TV-S1079",Forrásszöveg!$A$6:$A$2497,0)+5),"79/A. § (1) eleje")</f>
        <v>79/A. § (1) eleje</v>
      </c>
      <c r="F1084" s="16" t="str">
        <f aca="false">HYPERLINK("https://net.jogtar.hu/jogszabaly?docid=a2400069.tv#pr1079id","Jogtár megnyitása")</f>
        <v>Jogtár megnyitása</v>
      </c>
    </row>
    <row r="1085" customFormat="false" ht="34" hidden="false" customHeight="true" outlineLevel="0" collapsed="false">
      <c r="A1085" s="15" t="s">
        <v>4625</v>
      </c>
      <c r="B1085" s="15" t="s">
        <v>1299</v>
      </c>
      <c r="C1085" s="15" t="s">
        <v>4626</v>
      </c>
      <c r="D1085" s="15" t="s">
        <v>4627</v>
      </c>
      <c r="E1085" s="16" t="str">
        <f aca="false">HYPERLINK("#'Forrásszöveg'!A"&amp;(MATCH("TV-S1080",Forrásszöveg!$A$6:$A$2497,0)+5),"79/A. § (2) eleje")</f>
        <v>79/A. § (2) eleje</v>
      </c>
      <c r="F1085" s="16" t="str">
        <f aca="false">HYPERLINK("https://net.jogtar.hu/jogszabaly?docid=a2400069.tv#pr1080id","Jogtár megnyitása")</f>
        <v>Jogtár megnyitása</v>
      </c>
    </row>
    <row r="1086" customFormat="false" ht="66" hidden="false" customHeight="true" outlineLevel="0" collapsed="false">
      <c r="A1086" s="15" t="s">
        <v>4628</v>
      </c>
      <c r="B1086" s="15" t="s">
        <v>1299</v>
      </c>
      <c r="C1086" s="15" t="s">
        <v>4629</v>
      </c>
      <c r="D1086" s="15" t="s">
        <v>4630</v>
      </c>
      <c r="E1086" s="16" t="str">
        <f aca="false">HYPERLINK("#'Forrásszöveg'!A"&amp;(MATCH("TV-S1081",Forrásszöveg!$A$6:$A$2497,0)+5),"80. § (1) eleje")</f>
        <v>80. § (1) eleje</v>
      </c>
      <c r="F1086" s="16" t="str">
        <f aca="false">HYPERLINK("https://net.jogtar.hu/jogszabaly?docid=a2400069.tv#pr1081id","Jogtár megnyitása")</f>
        <v>Jogtár megnyitása</v>
      </c>
    </row>
    <row r="1087" customFormat="false" ht="80" hidden="false" customHeight="true" outlineLevel="0" collapsed="false">
      <c r="A1087" s="15" t="s">
        <v>4631</v>
      </c>
      <c r="B1087" s="15" t="s">
        <v>1299</v>
      </c>
      <c r="C1087" s="15" t="s">
        <v>4632</v>
      </c>
      <c r="D1087" s="15" t="s">
        <v>4633</v>
      </c>
      <c r="E1087" s="16" t="str">
        <f aca="false">HYPERLINK("#'Forrásszöveg'!A"&amp;(MATCH("TV-S1082",Forrásszöveg!$A$6:$A$2497,0)+5),"80. § (2) eleje")</f>
        <v>80. § (2) eleje</v>
      </c>
      <c r="F1087" s="16" t="str">
        <f aca="false">HYPERLINK("https://net.jogtar.hu/jogszabaly?docid=a2400069.tv#pr1082id","Jogtár megnyitása")</f>
        <v>Jogtár megnyitása</v>
      </c>
    </row>
    <row r="1088" customFormat="false" ht="34" hidden="false" customHeight="true" outlineLevel="0" collapsed="false">
      <c r="A1088" s="15" t="s">
        <v>4634</v>
      </c>
      <c r="B1088" s="15" t="s">
        <v>1299</v>
      </c>
      <c r="C1088" s="15" t="s">
        <v>4635</v>
      </c>
      <c r="D1088" s="15" t="s">
        <v>4635</v>
      </c>
      <c r="E1088" s="16" t="str">
        <f aca="false">HYPERLINK("#'Forrásszöveg'!A"&amp;(MATCH("TV-S1081",Forrásszöveg!$A$6:$A$2497,0)+5),"80. § eleje")</f>
        <v>80. § eleje</v>
      </c>
      <c r="F1088" s="16" t="str">
        <f aca="false">HYPERLINK("https://net.jogtar.hu/jogszabaly?docid=a2400069.tv#pr1083id","Jogtár megnyitása")</f>
        <v>Jogtár megnyitása</v>
      </c>
    </row>
    <row r="1089" customFormat="false" ht="52" hidden="false" customHeight="true" outlineLevel="0" collapsed="false">
      <c r="A1089" s="15" t="s">
        <v>4636</v>
      </c>
      <c r="B1089" s="15" t="s">
        <v>1299</v>
      </c>
      <c r="C1089" s="15" t="s">
        <v>4637</v>
      </c>
      <c r="D1089" s="15" t="s">
        <v>4637</v>
      </c>
      <c r="E1089" s="16" t="str">
        <f aca="false">HYPERLINK("#'Forrásszöveg'!A"&amp;(MATCH("TV-S1081",Forrásszöveg!$A$6:$A$2497,0)+5),"80. § eleje")</f>
        <v>80. § eleje</v>
      </c>
      <c r="F1089" s="16" t="str">
        <f aca="false">HYPERLINK("https://net.jogtar.hu/jogszabaly?docid=a2400069.tv#pr1084id","Jogtár megnyitása")</f>
        <v>Jogtár megnyitása</v>
      </c>
    </row>
    <row r="1090" customFormat="false" ht="66" hidden="false" customHeight="true" outlineLevel="0" collapsed="false">
      <c r="A1090" s="15" t="s">
        <v>4638</v>
      </c>
      <c r="B1090" s="15" t="s">
        <v>1299</v>
      </c>
      <c r="C1090" s="15" t="s">
        <v>1435</v>
      </c>
      <c r="D1090" s="15" t="s">
        <v>1435</v>
      </c>
      <c r="E1090" s="16" t="str">
        <f aca="false">HYPERLINK("#'Forrásszöveg'!A"&amp;(MATCH("TV-S1081",Forrásszöveg!$A$6:$A$2497,0)+5),"80. § eleje")</f>
        <v>80. § eleje</v>
      </c>
      <c r="F1090" s="16" t="str">
        <f aca="false">HYPERLINK("https://net.jogtar.hu/jogszabaly?docid=a2400069.tv#pr1085id","Jogtár megnyitása")</f>
        <v>Jogtár megnyitása</v>
      </c>
    </row>
    <row r="1091" customFormat="false" ht="34" hidden="false" customHeight="true" outlineLevel="0" collapsed="false">
      <c r="A1091" s="15" t="s">
        <v>4639</v>
      </c>
      <c r="B1091" s="15" t="s">
        <v>1299</v>
      </c>
      <c r="C1091" s="15" t="s">
        <v>1434</v>
      </c>
      <c r="D1091" s="15" t="s">
        <v>4640</v>
      </c>
      <c r="E1091" s="16" t="str">
        <f aca="false">HYPERLINK("#'Forrásszöveg'!A"&amp;(MATCH("TV-S1086",Forrásszöveg!$A$6:$A$2497,0)+5),"80/A. § eleje")</f>
        <v>80/A. § eleje</v>
      </c>
      <c r="F1091" s="16" t="str">
        <f aca="false">HYPERLINK("https://net.jogtar.hu/jogszabaly?docid=a2400069.tv#pr1086id","Jogtár megnyitása")</f>
        <v>Jogtár megnyitása</v>
      </c>
    </row>
    <row r="1092" customFormat="false" ht="38" hidden="false" customHeight="true" outlineLevel="0" collapsed="false">
      <c r="A1092" s="15" t="s">
        <v>4641</v>
      </c>
      <c r="B1092" s="15" t="s">
        <v>1299</v>
      </c>
      <c r="C1092" s="15" t="s">
        <v>4642</v>
      </c>
      <c r="D1092" s="15" t="s">
        <v>4643</v>
      </c>
      <c r="E1092" s="16" t="str">
        <f aca="false">HYPERLINK("#'Forrásszöveg'!A"&amp;(MATCH("TV-S1086",Forrásszöveg!$A$6:$A$2497,0)+5),"80/A. § eleje")</f>
        <v>80/A. § eleje</v>
      </c>
      <c r="F1092" s="16" t="str">
        <f aca="false">HYPERLINK("https://net.jogtar.hu/jogszabaly?docid=a2400069.tv#pr1087id","Jogtár megnyitása")</f>
        <v>Jogtár megnyitása</v>
      </c>
    </row>
    <row r="1093" customFormat="false" ht="38" hidden="false" customHeight="true" outlineLevel="0" collapsed="false">
      <c r="A1093" s="15" t="s">
        <v>4644</v>
      </c>
      <c r="B1093" s="15" t="s">
        <v>1299</v>
      </c>
      <c r="C1093" s="15" t="s">
        <v>4645</v>
      </c>
      <c r="D1093" s="15" t="s">
        <v>4646</v>
      </c>
      <c r="E1093" s="16" t="str">
        <f aca="false">HYPERLINK("#'Forrásszöveg'!A"&amp;(MATCH("TV-S1086",Forrásszöveg!$A$6:$A$2497,0)+5),"80/A. § eleje")</f>
        <v>80/A. § eleje</v>
      </c>
      <c r="F1093" s="16" t="str">
        <f aca="false">HYPERLINK("https://net.jogtar.hu/jogszabaly?docid=a2400069.tv#pr1088id","Jogtár megnyitása")</f>
        <v>Jogtár megnyitása</v>
      </c>
    </row>
    <row r="1094" customFormat="false" ht="38" hidden="false" customHeight="true" outlineLevel="0" collapsed="false">
      <c r="A1094" s="15" t="s">
        <v>4647</v>
      </c>
      <c r="B1094" s="15" t="s">
        <v>1299</v>
      </c>
      <c r="C1094" s="15" t="s">
        <v>4648</v>
      </c>
      <c r="D1094" s="15" t="s">
        <v>4649</v>
      </c>
      <c r="E1094" s="16" t="str">
        <f aca="false">HYPERLINK("#'Forrásszöveg'!A"&amp;(MATCH("TV-S1086",Forrásszöveg!$A$6:$A$2497,0)+5),"80/A. § eleje")</f>
        <v>80/A. § eleje</v>
      </c>
      <c r="F1094" s="16" t="str">
        <f aca="false">HYPERLINK("https://net.jogtar.hu/jogszabaly?docid=a2400069.tv#pr1089id","Jogtár megnyitása")</f>
        <v>Jogtár megnyitása</v>
      </c>
    </row>
    <row r="1095" customFormat="false" ht="38" hidden="false" customHeight="true" outlineLevel="0" collapsed="false">
      <c r="A1095" s="15" t="s">
        <v>4650</v>
      </c>
      <c r="B1095" s="15" t="s">
        <v>1299</v>
      </c>
      <c r="C1095" s="15" t="s">
        <v>4651</v>
      </c>
      <c r="D1095" s="15" t="s">
        <v>4652</v>
      </c>
      <c r="E1095" s="16" t="str">
        <f aca="false">HYPERLINK("#'Forrásszöveg'!A"&amp;(MATCH("TV-S1086",Forrásszöveg!$A$6:$A$2497,0)+5),"80/A. § eleje")</f>
        <v>80/A. § eleje</v>
      </c>
      <c r="F1095" s="16" t="str">
        <f aca="false">HYPERLINK("https://net.jogtar.hu/jogszabaly?docid=a2400069.tv#pr1090id","Jogtár megnyitása")</f>
        <v>Jogtár megnyitása</v>
      </c>
    </row>
    <row r="1096" customFormat="false" ht="38" hidden="false" customHeight="true" outlineLevel="0" collapsed="false">
      <c r="A1096" s="15" t="s">
        <v>4653</v>
      </c>
      <c r="B1096" s="15" t="s">
        <v>1299</v>
      </c>
      <c r="C1096" s="15" t="s">
        <v>1436</v>
      </c>
      <c r="D1096" s="15" t="s">
        <v>4654</v>
      </c>
      <c r="E1096" s="16" t="str">
        <f aca="false">HYPERLINK("#'Forrásszöveg'!A"&amp;(MATCH("TV-S1091",Forrásszöveg!$A$6:$A$2497,0)+5),"80/B. § eleje")</f>
        <v>80/B. § eleje</v>
      </c>
      <c r="F1096" s="16" t="str">
        <f aca="false">HYPERLINK("https://net.jogtar.hu/jogszabaly?docid=a2400069.tv#pr1091id","Jogtár megnyitása")</f>
        <v>Jogtár megnyitása</v>
      </c>
    </row>
    <row r="1097" customFormat="false" ht="38" hidden="false" customHeight="true" outlineLevel="0" collapsed="false">
      <c r="A1097" s="15" t="s">
        <v>4655</v>
      </c>
      <c r="B1097" s="15" t="s">
        <v>1299</v>
      </c>
      <c r="C1097" s="15" t="s">
        <v>1438</v>
      </c>
      <c r="D1097" s="15" t="s">
        <v>1438</v>
      </c>
      <c r="E1097" s="16" t="str">
        <f aca="false">HYPERLINK("#'Forrásszöveg'!A"&amp;(MATCH("TV-S1091",Forrásszöveg!$A$6:$A$2497,0)+5),"80/B. § eleje")</f>
        <v>80/B. § eleje</v>
      </c>
      <c r="F1097" s="16" t="str">
        <f aca="false">HYPERLINK("https://net.jogtar.hu/jogszabaly?docid=a2400069.tv#pr1092id","Jogtár megnyitása")</f>
        <v>Jogtár megnyitása</v>
      </c>
    </row>
    <row r="1098" customFormat="false" ht="34" hidden="false" customHeight="true" outlineLevel="0" collapsed="false">
      <c r="A1098" s="15" t="s">
        <v>4656</v>
      </c>
      <c r="B1098" s="15" t="s">
        <v>1299</v>
      </c>
      <c r="C1098" s="15" t="s">
        <v>4657</v>
      </c>
      <c r="D1098" s="15" t="s">
        <v>4658</v>
      </c>
      <c r="E1098" s="16" t="str">
        <f aca="false">HYPERLINK("#'Forrásszöveg'!A"&amp;(MATCH("TV-S1093",Forrásszöveg!$A$6:$A$2497,0)+5),"80/C. § (1) eleje")</f>
        <v>80/C. § (1) eleje</v>
      </c>
      <c r="F1098" s="16" t="str">
        <f aca="false">HYPERLINK("https://net.jogtar.hu/jogszabaly?docid=a2400069.tv#pr1093id","Jogtár megnyitása")</f>
        <v>Jogtár megnyitása</v>
      </c>
    </row>
    <row r="1099" customFormat="false" ht="38" hidden="false" customHeight="true" outlineLevel="0" collapsed="false">
      <c r="A1099" s="15" t="s">
        <v>4659</v>
      </c>
      <c r="B1099" s="15" t="s">
        <v>1299</v>
      </c>
      <c r="C1099" s="15" t="s">
        <v>4660</v>
      </c>
      <c r="D1099" s="15" t="s">
        <v>4661</v>
      </c>
      <c r="E1099" s="16" t="str">
        <f aca="false">HYPERLINK("#'Forrásszöveg'!A"&amp;(MATCH("TV-S1093",Forrásszöveg!$A$6:$A$2497,0)+5),"80/C. § (1) eleje")</f>
        <v>80/C. § (1) eleje</v>
      </c>
      <c r="F1099" s="16" t="str">
        <f aca="false">HYPERLINK("https://net.jogtar.hu/jogszabaly?docid=a2400069.tv#pr1094id","Jogtár megnyitása")</f>
        <v>Jogtár megnyitása</v>
      </c>
    </row>
    <row r="1100" customFormat="false" ht="34" hidden="false" customHeight="true" outlineLevel="0" collapsed="false">
      <c r="A1100" s="15" t="s">
        <v>4662</v>
      </c>
      <c r="B1100" s="15" t="s">
        <v>1299</v>
      </c>
      <c r="C1100" s="15" t="s">
        <v>4663</v>
      </c>
      <c r="D1100" s="15" t="s">
        <v>4664</v>
      </c>
      <c r="E1100" s="16" t="str">
        <f aca="false">HYPERLINK("#'Forrásszöveg'!A"&amp;(MATCH("TV-S1093",Forrásszöveg!$A$6:$A$2497,0)+5),"80/C. § (1) eleje")</f>
        <v>80/C. § (1) eleje</v>
      </c>
      <c r="F1100" s="16" t="str">
        <f aca="false">HYPERLINK("https://net.jogtar.hu/jogszabaly?docid=a2400069.tv#pr1095id","Jogtár megnyitása")</f>
        <v>Jogtár megnyitása</v>
      </c>
    </row>
    <row r="1101" customFormat="false" ht="38" hidden="false" customHeight="true" outlineLevel="0" collapsed="false">
      <c r="A1101" s="15" t="s">
        <v>4665</v>
      </c>
      <c r="B1101" s="15" t="s">
        <v>1299</v>
      </c>
      <c r="C1101" s="15" t="s">
        <v>4666</v>
      </c>
      <c r="D1101" s="15" t="s">
        <v>4667</v>
      </c>
      <c r="E1101" s="16" t="str">
        <f aca="false">HYPERLINK("#'Forrásszöveg'!A"&amp;(MATCH("TV-S1093",Forrásszöveg!$A$6:$A$2497,0)+5),"80/C. § (1) eleje")</f>
        <v>80/C. § (1) eleje</v>
      </c>
      <c r="F1101" s="16" t="str">
        <f aca="false">HYPERLINK("https://net.jogtar.hu/jogszabaly?docid=a2400069.tv#pr1096id","Jogtár megnyitása")</f>
        <v>Jogtár megnyitása</v>
      </c>
    </row>
    <row r="1102" customFormat="false" ht="38" hidden="false" customHeight="true" outlineLevel="0" collapsed="false">
      <c r="A1102" s="15" t="s">
        <v>4668</v>
      </c>
      <c r="B1102" s="15" t="s">
        <v>1299</v>
      </c>
      <c r="C1102" s="15" t="s">
        <v>4669</v>
      </c>
      <c r="D1102" s="15" t="s">
        <v>4670</v>
      </c>
      <c r="E1102" s="16" t="str">
        <f aca="false">HYPERLINK("#'Forrásszöveg'!A"&amp;(MATCH("TV-S1097",Forrásszöveg!$A$6:$A$2497,0)+5),"80/C. § (2) eleje")</f>
        <v>80/C. § (2) eleje</v>
      </c>
      <c r="F1102" s="16" t="str">
        <f aca="false">HYPERLINK("https://net.jogtar.hu/jogszabaly?docid=a2400069.tv#pr1097id","Jogtár megnyitása")</f>
        <v>Jogtár megnyitása</v>
      </c>
    </row>
    <row r="1103" customFormat="false" ht="38" hidden="false" customHeight="true" outlineLevel="0" collapsed="false">
      <c r="A1103" s="15" t="s">
        <v>4671</v>
      </c>
      <c r="B1103" s="15" t="s">
        <v>1299</v>
      </c>
      <c r="C1103" s="15" t="s">
        <v>4672</v>
      </c>
      <c r="D1103" s="15" t="s">
        <v>4673</v>
      </c>
      <c r="E1103" s="16" t="str">
        <f aca="false">HYPERLINK("#'Forrásszöveg'!A"&amp;(MATCH("TV-S1098",Forrásszöveg!$A$6:$A$2497,0)+5),"80/C. § (3) eleje")</f>
        <v>80/C. § (3) eleje</v>
      </c>
      <c r="F1103" s="16" t="str">
        <f aca="false">HYPERLINK("https://net.jogtar.hu/jogszabaly?docid=a2400069.tv#pr1098id","Jogtár megnyitása")</f>
        <v>Jogtár megnyitása</v>
      </c>
    </row>
    <row r="1104" customFormat="false" ht="66" hidden="false" customHeight="true" outlineLevel="0" collapsed="false">
      <c r="A1104" s="15" t="s">
        <v>4674</v>
      </c>
      <c r="B1104" s="15" t="s">
        <v>1299</v>
      </c>
      <c r="C1104" s="15" t="s">
        <v>4675</v>
      </c>
      <c r="D1104" s="15" t="s">
        <v>4676</v>
      </c>
      <c r="E1104" s="16" t="str">
        <f aca="false">HYPERLINK("#'Forrásszöveg'!A"&amp;(MATCH("TV-S1099",Forrásszöveg!$A$6:$A$2497,0)+5),"80/C. § (4) eleje")</f>
        <v>80/C. § (4) eleje</v>
      </c>
      <c r="F1104" s="16" t="str">
        <f aca="false">HYPERLINK("https://net.jogtar.hu/jogszabaly?docid=a2400069.tv#pr1099id","Jogtár megnyitása")</f>
        <v>Jogtár megnyitása</v>
      </c>
    </row>
    <row r="1105" customFormat="false" ht="34" hidden="false" customHeight="true" outlineLevel="0" collapsed="false">
      <c r="A1105" s="15" t="s">
        <v>4677</v>
      </c>
      <c r="B1105" s="15" t="s">
        <v>1299</v>
      </c>
      <c r="C1105" s="15" t="s">
        <v>4678</v>
      </c>
      <c r="D1105" s="15" t="s">
        <v>4679</v>
      </c>
      <c r="E1105" s="16" t="str">
        <f aca="false">HYPERLINK("#'Forrásszöveg'!A"&amp;(MATCH("TV-S1100",Forrásszöveg!$A$6:$A$2497,0)+5),"80/C. § (5) eleje")</f>
        <v>80/C. § (5) eleje</v>
      </c>
      <c r="F1105" s="16" t="str">
        <f aca="false">HYPERLINK("https://net.jogtar.hu/jogszabaly?docid=a2400069.tv#pr1100id","Jogtár megnyitása")</f>
        <v>Jogtár megnyitása</v>
      </c>
    </row>
    <row r="1106" customFormat="false" ht="34" hidden="false" customHeight="true" outlineLevel="0" collapsed="false">
      <c r="A1106" s="15" t="s">
        <v>4680</v>
      </c>
      <c r="B1106" s="15" t="s">
        <v>1299</v>
      </c>
      <c r="C1106" s="15" t="s">
        <v>4681</v>
      </c>
      <c r="D1106" s="15" t="s">
        <v>4682</v>
      </c>
      <c r="E1106" s="16" t="str">
        <f aca="false">HYPERLINK("#'Forrásszöveg'!A"&amp;(MATCH("TV-S1101",Forrásszöveg!$A$6:$A$2497,0)+5),"80/C. § (6) eleje")</f>
        <v>80/C. § (6) eleje</v>
      </c>
      <c r="F1106" s="16" t="str">
        <f aca="false">HYPERLINK("https://net.jogtar.hu/jogszabaly?docid=a2400069.tv#pr1101id","Jogtár megnyitása")</f>
        <v>Jogtár megnyitása</v>
      </c>
    </row>
    <row r="1107" customFormat="false" ht="38" hidden="false" customHeight="true" outlineLevel="0" collapsed="false">
      <c r="A1107" s="15" t="s">
        <v>4683</v>
      </c>
      <c r="B1107" s="15" t="s">
        <v>1299</v>
      </c>
      <c r="C1107" s="15" t="s">
        <v>4684</v>
      </c>
      <c r="D1107" s="15" t="s">
        <v>4685</v>
      </c>
      <c r="E1107" s="16" t="str">
        <f aca="false">HYPERLINK("#'Forrásszöveg'!A"&amp;(MATCH("TV-S1102",Forrásszöveg!$A$6:$A$2497,0)+5),"80/D. § (1) eleje")</f>
        <v>80/D. § (1) eleje</v>
      </c>
      <c r="F1107" s="16" t="str">
        <f aca="false">HYPERLINK("https://net.jogtar.hu/jogszabaly?docid=a2400069.tv#pr1102id","Jogtár megnyitása")</f>
        <v>Jogtár megnyitása</v>
      </c>
    </row>
    <row r="1108" customFormat="false" ht="66" hidden="false" customHeight="true" outlineLevel="0" collapsed="false">
      <c r="A1108" s="15" t="s">
        <v>4686</v>
      </c>
      <c r="B1108" s="15" t="s">
        <v>1299</v>
      </c>
      <c r="C1108" s="15" t="s">
        <v>4687</v>
      </c>
      <c r="D1108" s="15" t="s">
        <v>4688</v>
      </c>
      <c r="E1108" s="16" t="str">
        <f aca="false">HYPERLINK("#'Forrásszöveg'!A"&amp;(MATCH("TV-S1103",Forrásszöveg!$A$6:$A$2497,0)+5),"80/D. § (2) eleje")</f>
        <v>80/D. § (2) eleje</v>
      </c>
      <c r="F1108" s="16" t="str">
        <f aca="false">HYPERLINK("https://net.jogtar.hu/jogszabaly?docid=a2400069.tv#pr1103id","Jogtár megnyitása")</f>
        <v>Jogtár megnyitása</v>
      </c>
    </row>
    <row r="1109" customFormat="false" ht="38" hidden="false" customHeight="true" outlineLevel="0" collapsed="false">
      <c r="A1109" s="15" t="s">
        <v>4689</v>
      </c>
      <c r="B1109" s="15" t="s">
        <v>1299</v>
      </c>
      <c r="C1109" s="15" t="s">
        <v>4690</v>
      </c>
      <c r="D1109" s="15" t="s">
        <v>4691</v>
      </c>
      <c r="E1109" s="16" t="str">
        <f aca="false">HYPERLINK("#'Forrásszöveg'!A"&amp;(MATCH("TV-S1104",Forrásszöveg!$A$6:$A$2497,0)+5),"80/D. § (3) eleje")</f>
        <v>80/D. § (3) eleje</v>
      </c>
      <c r="F1109" s="16" t="str">
        <f aca="false">HYPERLINK("https://net.jogtar.hu/jogszabaly?docid=a2400069.tv#pr1104id","Jogtár megnyitása")</f>
        <v>Jogtár megnyitása</v>
      </c>
    </row>
    <row r="1110" customFormat="false" ht="52" hidden="false" customHeight="true" outlineLevel="0" collapsed="false">
      <c r="A1110" s="15" t="s">
        <v>4692</v>
      </c>
      <c r="B1110" s="15" t="s">
        <v>1299</v>
      </c>
      <c r="C1110" s="15" t="s">
        <v>4693</v>
      </c>
      <c r="D1110" s="15" t="s">
        <v>4694</v>
      </c>
      <c r="E1110" s="16" t="str">
        <f aca="false">HYPERLINK("#'Forrásszöveg'!A"&amp;(MATCH("TV-S1105",Forrásszöveg!$A$6:$A$2497,0)+5),"80/D. § (4) eleje")</f>
        <v>80/D. § (4) eleje</v>
      </c>
      <c r="F1110" s="16" t="str">
        <f aca="false">HYPERLINK("https://net.jogtar.hu/jogszabaly?docid=a2400069.tv#pr1105id","Jogtár megnyitása")</f>
        <v>Jogtár megnyitása</v>
      </c>
    </row>
    <row r="1111" customFormat="false" ht="80" hidden="false" customHeight="true" outlineLevel="0" collapsed="false">
      <c r="A1111" s="15" t="s">
        <v>4695</v>
      </c>
      <c r="B1111" s="15" t="s">
        <v>1299</v>
      </c>
      <c r="C1111" s="15" t="s">
        <v>4696</v>
      </c>
      <c r="D1111" s="15" t="s">
        <v>4697</v>
      </c>
      <c r="E1111" s="16" t="str">
        <f aca="false">HYPERLINK("#'Forrásszöveg'!A"&amp;(MATCH("TV-S1106",Forrásszöveg!$A$6:$A$2497,0)+5),"80/D. § (5) eleje")</f>
        <v>80/D. § (5) eleje</v>
      </c>
      <c r="F1111" s="16" t="str">
        <f aca="false">HYPERLINK("https://net.jogtar.hu/jogszabaly?docid=a2400069.tv#pr1106id","Jogtár megnyitása")</f>
        <v>Jogtár megnyitása</v>
      </c>
    </row>
    <row r="1112" customFormat="false" ht="108" hidden="false" customHeight="true" outlineLevel="0" collapsed="false">
      <c r="A1112" s="15" t="s">
        <v>4698</v>
      </c>
      <c r="B1112" s="15" t="s">
        <v>1299</v>
      </c>
      <c r="C1112" s="15" t="s">
        <v>4699</v>
      </c>
      <c r="D1112" s="15" t="s">
        <v>4700</v>
      </c>
      <c r="E1112" s="16" t="str">
        <f aca="false">HYPERLINK("#'Forrásszöveg'!A"&amp;(MATCH("TV-S1107",Forrásszöveg!$A$6:$A$2497,0)+5),"80/D. § (6) eleje")</f>
        <v>80/D. § (6) eleje</v>
      </c>
      <c r="F1112" s="16" t="str">
        <f aca="false">HYPERLINK("https://net.jogtar.hu/jogszabaly?docid=a2400069.tv#pr1107id","Jogtár megnyitása")</f>
        <v>Jogtár megnyitása</v>
      </c>
    </row>
    <row r="1113" customFormat="false" ht="34" hidden="false" customHeight="true" outlineLevel="0" collapsed="false">
      <c r="A1113" s="15" t="s">
        <v>4701</v>
      </c>
      <c r="B1113" s="15" t="s">
        <v>1299</v>
      </c>
      <c r="C1113" s="15" t="s">
        <v>4702</v>
      </c>
      <c r="D1113" s="15" t="s">
        <v>4703</v>
      </c>
      <c r="E1113" s="16" t="str">
        <f aca="false">HYPERLINK("#'Forrásszöveg'!A"&amp;(MATCH("TV-S1108",Forrásszöveg!$A$6:$A$2497,0)+5),"80/E. § (1) eleje")</f>
        <v>80/E. § (1) eleje</v>
      </c>
      <c r="F1113" s="16" t="str">
        <f aca="false">HYPERLINK("https://net.jogtar.hu/jogszabaly?docid=a2400069.tv#pr1108id","Jogtár megnyitása")</f>
        <v>Jogtár megnyitása</v>
      </c>
    </row>
    <row r="1114" customFormat="false" ht="52" hidden="false" customHeight="true" outlineLevel="0" collapsed="false">
      <c r="A1114" s="15" t="s">
        <v>4704</v>
      </c>
      <c r="B1114" s="15" t="s">
        <v>1299</v>
      </c>
      <c r="C1114" s="15" t="s">
        <v>4705</v>
      </c>
      <c r="D1114" s="15" t="s">
        <v>4706</v>
      </c>
      <c r="E1114" s="16" t="str">
        <f aca="false">HYPERLINK("#'Forrásszöveg'!A"&amp;(MATCH("TV-S1108",Forrásszöveg!$A$6:$A$2497,0)+5),"80/E. § (1) eleje")</f>
        <v>80/E. § (1) eleje</v>
      </c>
      <c r="F1114" s="16" t="str">
        <f aca="false">HYPERLINK("https://net.jogtar.hu/jogszabaly?docid=a2400069.tv#pr1109id","Jogtár megnyitása")</f>
        <v>Jogtár megnyitása</v>
      </c>
    </row>
    <row r="1115" customFormat="false" ht="38" hidden="false" customHeight="true" outlineLevel="0" collapsed="false">
      <c r="A1115" s="15" t="s">
        <v>4707</v>
      </c>
      <c r="B1115" s="15" t="s">
        <v>1299</v>
      </c>
      <c r="C1115" s="15" t="s">
        <v>4708</v>
      </c>
      <c r="D1115" s="15" t="s">
        <v>4709</v>
      </c>
      <c r="E1115" s="16" t="str">
        <f aca="false">HYPERLINK("#'Forrásszöveg'!A"&amp;(MATCH("TV-S1108",Forrásszöveg!$A$6:$A$2497,0)+5),"80/E. § (1) eleje")</f>
        <v>80/E. § (1) eleje</v>
      </c>
      <c r="F1115" s="16" t="str">
        <f aca="false">HYPERLINK("https://net.jogtar.hu/jogszabaly?docid=a2400069.tv#pr1110id","Jogtár megnyitása")</f>
        <v>Jogtár megnyitása</v>
      </c>
    </row>
    <row r="1116" customFormat="false" ht="34" hidden="false" customHeight="true" outlineLevel="0" collapsed="false">
      <c r="A1116" s="15" t="s">
        <v>4710</v>
      </c>
      <c r="B1116" s="15" t="s">
        <v>1299</v>
      </c>
      <c r="C1116" s="15" t="s">
        <v>4711</v>
      </c>
      <c r="D1116" s="15" t="s">
        <v>4712</v>
      </c>
      <c r="E1116" s="16" t="str">
        <f aca="false">HYPERLINK("#'Forrásszöveg'!A"&amp;(MATCH("TV-S1108",Forrásszöveg!$A$6:$A$2497,0)+5),"80/E. § (1) eleje")</f>
        <v>80/E. § (1) eleje</v>
      </c>
      <c r="F1116" s="16" t="str">
        <f aca="false">HYPERLINK("https://net.jogtar.hu/jogszabaly?docid=a2400069.tv#pr1111id","Jogtár megnyitása")</f>
        <v>Jogtár megnyitása</v>
      </c>
    </row>
    <row r="1117" customFormat="false" ht="34" hidden="false" customHeight="true" outlineLevel="0" collapsed="false">
      <c r="A1117" s="15" t="s">
        <v>4713</v>
      </c>
      <c r="B1117" s="15" t="s">
        <v>1299</v>
      </c>
      <c r="C1117" s="15" t="s">
        <v>4714</v>
      </c>
      <c r="D1117" s="15" t="s">
        <v>4715</v>
      </c>
      <c r="E1117" s="16" t="str">
        <f aca="false">HYPERLINK("#'Forrásszöveg'!A"&amp;(MATCH("TV-S1108",Forrásszöveg!$A$6:$A$2497,0)+5),"80/E. § (1) eleje")</f>
        <v>80/E. § (1) eleje</v>
      </c>
      <c r="F1117" s="16" t="str">
        <f aca="false">HYPERLINK("https://net.jogtar.hu/jogszabaly?docid=a2400069.tv#pr1112id","Jogtár megnyitása")</f>
        <v>Jogtár megnyitása</v>
      </c>
    </row>
    <row r="1118" customFormat="false" ht="34" hidden="false" customHeight="true" outlineLevel="0" collapsed="false">
      <c r="A1118" s="15" t="s">
        <v>4716</v>
      </c>
      <c r="B1118" s="15" t="s">
        <v>1299</v>
      </c>
      <c r="C1118" s="15" t="s">
        <v>4717</v>
      </c>
      <c r="D1118" s="15" t="s">
        <v>4718</v>
      </c>
      <c r="E1118" s="16" t="str">
        <f aca="false">HYPERLINK("#'Forrásszöveg'!A"&amp;(MATCH("TV-S1108",Forrásszöveg!$A$6:$A$2497,0)+5),"80/E. § (1) eleje")</f>
        <v>80/E. § (1) eleje</v>
      </c>
      <c r="F1118" s="16" t="str">
        <f aca="false">HYPERLINK("https://net.jogtar.hu/jogszabaly?docid=a2400069.tv#pr1113id","Jogtár megnyitása")</f>
        <v>Jogtár megnyitása</v>
      </c>
    </row>
    <row r="1119" customFormat="false" ht="38" hidden="false" customHeight="true" outlineLevel="0" collapsed="false">
      <c r="A1119" s="15" t="s">
        <v>4719</v>
      </c>
      <c r="B1119" s="15" t="s">
        <v>1299</v>
      </c>
      <c r="C1119" s="15" t="s">
        <v>4720</v>
      </c>
      <c r="D1119" s="15" t="s">
        <v>4721</v>
      </c>
      <c r="E1119" s="16" t="str">
        <f aca="false">HYPERLINK("#'Forrásszöveg'!A"&amp;(MATCH("TV-S1108",Forrásszöveg!$A$6:$A$2497,0)+5),"80/E. § (1) eleje")</f>
        <v>80/E. § (1) eleje</v>
      </c>
      <c r="F1119" s="16" t="str">
        <f aca="false">HYPERLINK("https://net.jogtar.hu/jogszabaly?docid=a2400069.tv#pr1114id","Jogtár megnyitása")</f>
        <v>Jogtár megnyitása</v>
      </c>
    </row>
    <row r="1120" customFormat="false" ht="38" hidden="false" customHeight="true" outlineLevel="0" collapsed="false">
      <c r="A1120" s="15" t="s">
        <v>4722</v>
      </c>
      <c r="B1120" s="15" t="s">
        <v>1299</v>
      </c>
      <c r="C1120" s="15" t="s">
        <v>4723</v>
      </c>
      <c r="D1120" s="15" t="s">
        <v>4724</v>
      </c>
      <c r="E1120" s="16" t="str">
        <f aca="false">HYPERLINK("#'Forrásszöveg'!A"&amp;(MATCH("TV-S1108",Forrásszöveg!$A$6:$A$2497,0)+5),"80/E. § (1) eleje")</f>
        <v>80/E. § (1) eleje</v>
      </c>
      <c r="F1120" s="16" t="str">
        <f aca="false">HYPERLINK("https://net.jogtar.hu/jogszabaly?docid=a2400069.tv#pr1115id","Jogtár megnyitása")</f>
        <v>Jogtár megnyitása</v>
      </c>
    </row>
    <row r="1121" customFormat="false" ht="34" hidden="false" customHeight="true" outlineLevel="0" collapsed="false">
      <c r="A1121" s="15" t="s">
        <v>4725</v>
      </c>
      <c r="B1121" s="15" t="s">
        <v>1299</v>
      </c>
      <c r="C1121" s="15" t="s">
        <v>4726</v>
      </c>
      <c r="D1121" s="15" t="s">
        <v>4727</v>
      </c>
      <c r="E1121" s="16" t="str">
        <f aca="false">HYPERLINK("#'Forrásszöveg'!A"&amp;(MATCH("TV-S1108",Forrásszöveg!$A$6:$A$2497,0)+5),"80/E. § (1) eleje")</f>
        <v>80/E. § (1) eleje</v>
      </c>
      <c r="F1121" s="16" t="str">
        <f aca="false">HYPERLINK("https://net.jogtar.hu/jogszabaly?docid=a2400069.tv#pr1116id","Jogtár megnyitása")</f>
        <v>Jogtár megnyitása</v>
      </c>
    </row>
    <row r="1122" customFormat="false" ht="38" hidden="false" customHeight="true" outlineLevel="0" collapsed="false">
      <c r="A1122" s="15" t="s">
        <v>4728</v>
      </c>
      <c r="B1122" s="15" t="s">
        <v>1299</v>
      </c>
      <c r="C1122" s="15" t="s">
        <v>4729</v>
      </c>
      <c r="D1122" s="15" t="s">
        <v>4730</v>
      </c>
      <c r="E1122" s="16" t="str">
        <f aca="false">HYPERLINK("#'Forrásszöveg'!A"&amp;(MATCH("TV-S1108",Forrásszöveg!$A$6:$A$2497,0)+5),"80/E. § (1) eleje")</f>
        <v>80/E. § (1) eleje</v>
      </c>
      <c r="F1122" s="16" t="str">
        <f aca="false">HYPERLINK("https://net.jogtar.hu/jogszabaly?docid=a2400069.tv#pr1117id","Jogtár megnyitása")</f>
        <v>Jogtár megnyitása</v>
      </c>
    </row>
    <row r="1123" customFormat="false" ht="34" hidden="false" customHeight="true" outlineLevel="0" collapsed="false">
      <c r="A1123" s="15" t="s">
        <v>4731</v>
      </c>
      <c r="B1123" s="15" t="s">
        <v>1299</v>
      </c>
      <c r="C1123" s="15" t="s">
        <v>4732</v>
      </c>
      <c r="D1123" s="15" t="s">
        <v>4733</v>
      </c>
      <c r="E1123" s="16" t="str">
        <f aca="false">HYPERLINK("#'Forrásszöveg'!A"&amp;(MATCH("TV-S1108",Forrásszöveg!$A$6:$A$2497,0)+5),"80/E. § (1) eleje")</f>
        <v>80/E. § (1) eleje</v>
      </c>
      <c r="F1123" s="16" t="str">
        <f aca="false">HYPERLINK("https://net.jogtar.hu/jogszabaly?docid=a2400069.tv#pr1118id","Jogtár megnyitása")</f>
        <v>Jogtár megnyitása</v>
      </c>
    </row>
    <row r="1124" customFormat="false" ht="34" hidden="false" customHeight="true" outlineLevel="0" collapsed="false">
      <c r="A1124" s="15" t="s">
        <v>4734</v>
      </c>
      <c r="B1124" s="15" t="s">
        <v>1299</v>
      </c>
      <c r="C1124" s="15" t="s">
        <v>4735</v>
      </c>
      <c r="D1124" s="15" t="s">
        <v>4736</v>
      </c>
      <c r="E1124" s="16" t="str">
        <f aca="false">HYPERLINK("#'Forrásszöveg'!A"&amp;(MATCH("TV-S1108",Forrásszöveg!$A$6:$A$2497,0)+5),"80/E. § (1) eleje")</f>
        <v>80/E. § (1) eleje</v>
      </c>
      <c r="F1124" s="16" t="str">
        <f aca="false">HYPERLINK("https://net.jogtar.hu/jogszabaly?docid=a2400069.tv#pr1119id","Jogtár megnyitása")</f>
        <v>Jogtár megnyitása</v>
      </c>
    </row>
    <row r="1125" customFormat="false" ht="38" hidden="false" customHeight="true" outlineLevel="0" collapsed="false">
      <c r="A1125" s="15" t="s">
        <v>4737</v>
      </c>
      <c r="B1125" s="15" t="s">
        <v>1299</v>
      </c>
      <c r="C1125" s="15" t="s">
        <v>4738</v>
      </c>
      <c r="D1125" s="15" t="s">
        <v>4739</v>
      </c>
      <c r="E1125" s="16" t="str">
        <f aca="false">HYPERLINK("#'Forrásszöveg'!A"&amp;(MATCH("TV-S1120",Forrásszöveg!$A$6:$A$2497,0)+5),"80/E. § (2) eleje")</f>
        <v>80/E. § (2) eleje</v>
      </c>
      <c r="F1125" s="16" t="str">
        <f aca="false">HYPERLINK("https://net.jogtar.hu/jogszabaly?docid=a2400069.tv#pr1120id","Jogtár megnyitása")</f>
        <v>Jogtár megnyitása</v>
      </c>
    </row>
    <row r="1126" customFormat="false" ht="52" hidden="false" customHeight="true" outlineLevel="0" collapsed="false">
      <c r="A1126" s="15" t="s">
        <v>4740</v>
      </c>
      <c r="B1126" s="15" t="s">
        <v>1299</v>
      </c>
      <c r="C1126" s="15" t="s">
        <v>4741</v>
      </c>
      <c r="D1126" s="15" t="s">
        <v>4742</v>
      </c>
      <c r="E1126" s="16" t="str">
        <f aca="false">HYPERLINK("#'Forrásszöveg'!A"&amp;(MATCH("TV-S1121",Forrásszöveg!$A$6:$A$2497,0)+5),"80/E. § (3) eleje")</f>
        <v>80/E. § (3) eleje</v>
      </c>
      <c r="F1126" s="16" t="str">
        <f aca="false">HYPERLINK("https://net.jogtar.hu/jogszabaly?docid=a2400069.tv#pr1121id","Jogtár megnyitása")</f>
        <v>Jogtár megnyitása</v>
      </c>
    </row>
    <row r="1127" customFormat="false" ht="52" hidden="false" customHeight="true" outlineLevel="0" collapsed="false">
      <c r="A1127" s="15" t="s">
        <v>4743</v>
      </c>
      <c r="B1127" s="15" t="s">
        <v>1299</v>
      </c>
      <c r="C1127" s="15" t="s">
        <v>4744</v>
      </c>
      <c r="D1127" s="15" t="s">
        <v>4745</v>
      </c>
      <c r="E1127" s="16" t="str">
        <f aca="false">HYPERLINK("#'Forrásszöveg'!A"&amp;(MATCH("TV-S1122",Forrásszöveg!$A$6:$A$2497,0)+5),"80/E. § (4) eleje")</f>
        <v>80/E. § (4) eleje</v>
      </c>
      <c r="F1127" s="16" t="str">
        <f aca="false">HYPERLINK("https://net.jogtar.hu/jogszabaly?docid=a2400069.tv#pr1122id","Jogtár megnyitása")</f>
        <v>Jogtár megnyitása</v>
      </c>
    </row>
    <row r="1128" customFormat="false" ht="38" hidden="false" customHeight="true" outlineLevel="0" collapsed="false">
      <c r="A1128" s="15" t="s">
        <v>4746</v>
      </c>
      <c r="B1128" s="15" t="s">
        <v>1299</v>
      </c>
      <c r="C1128" s="15" t="s">
        <v>4747</v>
      </c>
      <c r="D1128" s="15" t="s">
        <v>4748</v>
      </c>
      <c r="E1128" s="16" t="str">
        <f aca="false">HYPERLINK("#'Forrásszöveg'!A"&amp;(MATCH("TV-S1123",Forrásszöveg!$A$6:$A$2497,0)+5),"80/E. § (5) eleje")</f>
        <v>80/E. § (5) eleje</v>
      </c>
      <c r="F1128" s="16" t="str">
        <f aca="false">HYPERLINK("https://net.jogtar.hu/jogszabaly?docid=a2400069.tv#pr1123id","Jogtár megnyitása")</f>
        <v>Jogtár megnyitása</v>
      </c>
    </row>
    <row r="1129" customFormat="false" ht="52" hidden="false" customHeight="true" outlineLevel="0" collapsed="false">
      <c r="A1129" s="15" t="s">
        <v>4749</v>
      </c>
      <c r="B1129" s="15" t="s">
        <v>1299</v>
      </c>
      <c r="C1129" s="15" t="s">
        <v>4750</v>
      </c>
      <c r="D1129" s="15" t="s">
        <v>4751</v>
      </c>
      <c r="E1129" s="16" t="str">
        <f aca="false">HYPERLINK("#'Forrásszöveg'!A"&amp;(MATCH("TV-S1124",Forrásszöveg!$A$6:$A$2497,0)+5),"80/E. § (6) eleje")</f>
        <v>80/E. § (6) eleje</v>
      </c>
      <c r="F1129" s="16" t="str">
        <f aca="false">HYPERLINK("https://net.jogtar.hu/jogszabaly?docid=a2400069.tv#pr1124id","Jogtár megnyitása")</f>
        <v>Jogtár megnyitása</v>
      </c>
    </row>
    <row r="1130" customFormat="false" ht="66" hidden="false" customHeight="true" outlineLevel="0" collapsed="false">
      <c r="A1130" s="15" t="s">
        <v>4752</v>
      </c>
      <c r="B1130" s="15" t="s">
        <v>1299</v>
      </c>
      <c r="C1130" s="15" t="s">
        <v>4753</v>
      </c>
      <c r="D1130" s="15" t="s">
        <v>4754</v>
      </c>
      <c r="E1130" s="16" t="str">
        <f aca="false">HYPERLINK("#'Forrásszöveg'!A"&amp;(MATCH("TV-S1125",Forrásszöveg!$A$6:$A$2497,0)+5),"80/E. § (7) eleje")</f>
        <v>80/E. § (7) eleje</v>
      </c>
      <c r="F1130" s="16" t="str">
        <f aca="false">HYPERLINK("https://net.jogtar.hu/jogszabaly?docid=a2400069.tv#pr1125id","Jogtár megnyitása")</f>
        <v>Jogtár megnyitása</v>
      </c>
    </row>
    <row r="1131" customFormat="false" ht="52" hidden="false" customHeight="true" outlineLevel="0" collapsed="false">
      <c r="A1131" s="15" t="s">
        <v>4755</v>
      </c>
      <c r="B1131" s="15" t="s">
        <v>1299</v>
      </c>
      <c r="C1131" s="15" t="s">
        <v>4756</v>
      </c>
      <c r="D1131" s="15" t="s">
        <v>4757</v>
      </c>
      <c r="E1131" s="16" t="str">
        <f aca="false">HYPERLINK("#'Forrásszöveg'!A"&amp;(MATCH("TV-S1126",Forrásszöveg!$A$6:$A$2497,0)+5),"80/E. § (8) eleje")</f>
        <v>80/E. § (8) eleje</v>
      </c>
      <c r="F1131" s="16" t="str">
        <f aca="false">HYPERLINK("https://net.jogtar.hu/jogszabaly?docid=a2400069.tv#pr1126id","Jogtár megnyitása")</f>
        <v>Jogtár megnyitása</v>
      </c>
    </row>
    <row r="1132" customFormat="false" ht="52" hidden="false" customHeight="true" outlineLevel="0" collapsed="false">
      <c r="A1132" s="15" t="s">
        <v>4758</v>
      </c>
      <c r="B1132" s="15" t="s">
        <v>1299</v>
      </c>
      <c r="C1132" s="15" t="s">
        <v>4759</v>
      </c>
      <c r="D1132" s="15" t="s">
        <v>4760</v>
      </c>
      <c r="E1132" s="16" t="str">
        <f aca="false">HYPERLINK("#'Forrásszöveg'!A"&amp;(MATCH("TV-S1127",Forrásszöveg!$A$6:$A$2497,0)+5),"80/F. § (1) eleje")</f>
        <v>80/F. § (1) eleje</v>
      </c>
      <c r="F1132" s="16" t="str">
        <f aca="false">HYPERLINK("https://net.jogtar.hu/jogszabaly?docid=a2400069.tv#pr1127id","Jogtár megnyitása")</f>
        <v>Jogtár megnyitása</v>
      </c>
    </row>
    <row r="1133" customFormat="false" ht="38" hidden="false" customHeight="true" outlineLevel="0" collapsed="false">
      <c r="A1133" s="15" t="s">
        <v>4761</v>
      </c>
      <c r="B1133" s="15" t="s">
        <v>1299</v>
      </c>
      <c r="C1133" s="15" t="s">
        <v>4762</v>
      </c>
      <c r="D1133" s="15" t="s">
        <v>4763</v>
      </c>
      <c r="E1133" s="16" t="str">
        <f aca="false">HYPERLINK("#'Forrásszöveg'!A"&amp;(MATCH("TV-S1128",Forrásszöveg!$A$6:$A$2497,0)+5),"80/F. § (2) eleje")</f>
        <v>80/F. § (2) eleje</v>
      </c>
      <c r="F1133" s="16" t="str">
        <f aca="false">HYPERLINK("https://net.jogtar.hu/jogszabaly?docid=a2400069.tv#pr1128id","Jogtár megnyitása")</f>
        <v>Jogtár megnyitása</v>
      </c>
    </row>
    <row r="1134" customFormat="false" ht="38" hidden="false" customHeight="true" outlineLevel="0" collapsed="false">
      <c r="A1134" s="15" t="s">
        <v>4764</v>
      </c>
      <c r="B1134" s="15" t="s">
        <v>1299</v>
      </c>
      <c r="C1134" s="15" t="s">
        <v>1442</v>
      </c>
      <c r="D1134" s="15" t="s">
        <v>4765</v>
      </c>
      <c r="E1134" s="16" t="str">
        <f aca="false">HYPERLINK("#'Forrásszöveg'!A"&amp;(MATCH("TV-S1129",Forrásszöveg!$A$6:$A$2497,0)+5),"80/G. § eleje")</f>
        <v>80/G. § eleje</v>
      </c>
      <c r="F1134" s="16" t="str">
        <f aca="false">HYPERLINK("https://net.jogtar.hu/jogszabaly?docid=a2400069.tv#pr1129id","Jogtár megnyitása")</f>
        <v>Jogtár megnyitása</v>
      </c>
    </row>
    <row r="1135" customFormat="false" ht="34" hidden="false" customHeight="true" outlineLevel="0" collapsed="false">
      <c r="A1135" s="15" t="s">
        <v>4766</v>
      </c>
      <c r="B1135" s="15" t="s">
        <v>1299</v>
      </c>
      <c r="C1135" s="15" t="s">
        <v>4767</v>
      </c>
      <c r="D1135" s="15" t="s">
        <v>4767</v>
      </c>
      <c r="E1135" s="16" t="str">
        <f aca="false">HYPERLINK("#'Forrásszöveg'!A"&amp;(MATCH("TV-S1129",Forrásszöveg!$A$6:$A$2497,0)+5),"80/G. § eleje")</f>
        <v>80/G. § eleje</v>
      </c>
      <c r="F1135" s="16" t="str">
        <f aca="false">HYPERLINK("https://net.jogtar.hu/jogszabaly?docid=a2400069.tv#pr1130id","Jogtár megnyitása")</f>
        <v>Jogtár megnyitása</v>
      </c>
    </row>
    <row r="1136" customFormat="false" ht="34" hidden="false" customHeight="true" outlineLevel="0" collapsed="false">
      <c r="A1136" s="15" t="s">
        <v>4768</v>
      </c>
      <c r="B1136" s="15" t="s">
        <v>1299</v>
      </c>
      <c r="C1136" s="15" t="s">
        <v>4769</v>
      </c>
      <c r="D1136" s="15" t="s">
        <v>4769</v>
      </c>
      <c r="E1136" s="16" t="str">
        <f aca="false">HYPERLINK("#'Forrásszöveg'!A"&amp;(MATCH("TV-S1129",Forrásszöveg!$A$6:$A$2497,0)+5),"80/G. § eleje")</f>
        <v>80/G. § eleje</v>
      </c>
      <c r="F1136" s="16" t="str">
        <f aca="false">HYPERLINK("https://net.jogtar.hu/jogszabaly?docid=a2400069.tv#pr1131id","Jogtár megnyitása")</f>
        <v>Jogtár megnyitása</v>
      </c>
    </row>
    <row r="1137" customFormat="false" ht="34" hidden="false" customHeight="true" outlineLevel="0" collapsed="false">
      <c r="A1137" s="15" t="s">
        <v>4770</v>
      </c>
      <c r="B1137" s="15" t="s">
        <v>1299</v>
      </c>
      <c r="C1137" s="15" t="s">
        <v>1444</v>
      </c>
      <c r="D1137" s="15" t="s">
        <v>1444</v>
      </c>
      <c r="E1137" s="16" t="str">
        <f aca="false">HYPERLINK("#'Forrásszöveg'!A"&amp;(MATCH("TV-S1129",Forrásszöveg!$A$6:$A$2497,0)+5),"80/G. § eleje")</f>
        <v>80/G. § eleje</v>
      </c>
      <c r="F1137" s="16" t="str">
        <f aca="false">HYPERLINK("https://net.jogtar.hu/jogszabaly?docid=a2400069.tv#pr1132id","Jogtár megnyitása")</f>
        <v>Jogtár megnyitása</v>
      </c>
    </row>
    <row r="1138" customFormat="false" ht="34" hidden="false" customHeight="true" outlineLevel="0" collapsed="false">
      <c r="A1138" s="15" t="s">
        <v>4771</v>
      </c>
      <c r="B1138" s="15" t="s">
        <v>1299</v>
      </c>
      <c r="C1138" s="15" t="s">
        <v>4772</v>
      </c>
      <c r="D1138" s="15" t="s">
        <v>4773</v>
      </c>
      <c r="E1138" s="16" t="str">
        <f aca="false">HYPERLINK("#'Forrásszöveg'!A"&amp;(MATCH("TV-S1133",Forrásszöveg!$A$6:$A$2497,0)+5),"81. § (1) eleje")</f>
        <v>81. § (1) eleje</v>
      </c>
      <c r="F1138" s="16" t="str">
        <f aca="false">HYPERLINK("https://net.jogtar.hu/jogszabaly?docid=a2400069.tv#pr1133id","Jogtár megnyitása")</f>
        <v>Jogtár megnyitása</v>
      </c>
    </row>
    <row r="1139" customFormat="false" ht="34" hidden="false" customHeight="true" outlineLevel="0" collapsed="false">
      <c r="A1139" s="15" t="s">
        <v>4774</v>
      </c>
      <c r="B1139" s="15" t="s">
        <v>1299</v>
      </c>
      <c r="C1139" s="15" t="s">
        <v>4775</v>
      </c>
      <c r="D1139" s="15" t="s">
        <v>4776</v>
      </c>
      <c r="E1139" s="16" t="str">
        <f aca="false">HYPERLINK("#'Forrásszöveg'!A"&amp;(MATCH("TV-S1133",Forrásszöveg!$A$6:$A$2497,0)+5),"81. § (1) eleje")</f>
        <v>81. § (1) eleje</v>
      </c>
      <c r="F1139" s="16" t="str">
        <f aca="false">HYPERLINK("https://net.jogtar.hu/jogszabaly?docid=a2400069.tv#pr1134id","Jogtár megnyitása")</f>
        <v>Jogtár megnyitása</v>
      </c>
    </row>
    <row r="1140" customFormat="false" ht="34" hidden="false" customHeight="true" outlineLevel="0" collapsed="false">
      <c r="A1140" s="15" t="s">
        <v>4777</v>
      </c>
      <c r="B1140" s="15" t="s">
        <v>1299</v>
      </c>
      <c r="C1140" s="15" t="s">
        <v>4778</v>
      </c>
      <c r="D1140" s="15" t="s">
        <v>4779</v>
      </c>
      <c r="E1140" s="16" t="str">
        <f aca="false">HYPERLINK("#'Forrásszöveg'!A"&amp;(MATCH("TV-S1133",Forrásszöveg!$A$6:$A$2497,0)+5),"81. § (1) eleje")</f>
        <v>81. § (1) eleje</v>
      </c>
      <c r="F1140" s="16" t="str">
        <f aca="false">HYPERLINK("https://net.jogtar.hu/jogszabaly?docid=a2400069.tv#pr1135id","Jogtár megnyitása")</f>
        <v>Jogtár megnyitása</v>
      </c>
    </row>
    <row r="1141" customFormat="false" ht="38" hidden="false" customHeight="true" outlineLevel="0" collapsed="false">
      <c r="A1141" s="15" t="s">
        <v>4780</v>
      </c>
      <c r="B1141" s="15" t="s">
        <v>1299</v>
      </c>
      <c r="C1141" s="15" t="s">
        <v>4781</v>
      </c>
      <c r="D1141" s="15" t="s">
        <v>4782</v>
      </c>
      <c r="E1141" s="16" t="str">
        <f aca="false">HYPERLINK("#'Forrásszöveg'!A"&amp;(MATCH("TV-S1133",Forrásszöveg!$A$6:$A$2497,0)+5),"81. § (1) eleje")</f>
        <v>81. § (1) eleje</v>
      </c>
      <c r="F1141" s="16" t="str">
        <f aca="false">HYPERLINK("https://net.jogtar.hu/jogszabaly?docid=a2400069.tv#pr1136id","Jogtár megnyitása")</f>
        <v>Jogtár megnyitása</v>
      </c>
    </row>
    <row r="1142" customFormat="false" ht="34" hidden="false" customHeight="true" outlineLevel="0" collapsed="false">
      <c r="A1142" s="15" t="s">
        <v>4783</v>
      </c>
      <c r="B1142" s="15" t="s">
        <v>1299</v>
      </c>
      <c r="C1142" s="15" t="s">
        <v>4784</v>
      </c>
      <c r="D1142" s="15" t="s">
        <v>4785</v>
      </c>
      <c r="E1142" s="16" t="str">
        <f aca="false">HYPERLINK("#'Forrásszöveg'!A"&amp;(MATCH("TV-S1133",Forrásszöveg!$A$6:$A$2497,0)+5),"81. § (1) eleje")</f>
        <v>81. § (1) eleje</v>
      </c>
      <c r="F1142" s="16" t="str">
        <f aca="false">HYPERLINK("https://net.jogtar.hu/jogszabaly?docid=a2400069.tv#pr1137id","Jogtár megnyitása")</f>
        <v>Jogtár megnyitása</v>
      </c>
    </row>
    <row r="1143" customFormat="false" ht="34" hidden="false" customHeight="true" outlineLevel="0" collapsed="false">
      <c r="A1143" s="15" t="s">
        <v>4786</v>
      </c>
      <c r="B1143" s="15" t="s">
        <v>1299</v>
      </c>
      <c r="C1143" s="15" t="s">
        <v>4787</v>
      </c>
      <c r="D1143" s="15" t="s">
        <v>4788</v>
      </c>
      <c r="E1143" s="16" t="str">
        <f aca="false">HYPERLINK("#'Forrásszöveg'!A"&amp;(MATCH("TV-S1133",Forrásszöveg!$A$6:$A$2497,0)+5),"81. § (1) eleje")</f>
        <v>81. § (1) eleje</v>
      </c>
      <c r="F1143" s="16" t="str">
        <f aca="false">HYPERLINK("https://net.jogtar.hu/jogszabaly?docid=a2400069.tv#pr1138id","Jogtár megnyitása")</f>
        <v>Jogtár megnyitása</v>
      </c>
    </row>
    <row r="1144" customFormat="false" ht="34" hidden="false" customHeight="true" outlineLevel="0" collapsed="false">
      <c r="A1144" s="15" t="s">
        <v>4789</v>
      </c>
      <c r="B1144" s="15" t="s">
        <v>1299</v>
      </c>
      <c r="C1144" s="15" t="s">
        <v>4790</v>
      </c>
      <c r="D1144" s="15" t="s">
        <v>4791</v>
      </c>
      <c r="E1144" s="16" t="str">
        <f aca="false">HYPERLINK("#'Forrásszöveg'!A"&amp;(MATCH("TV-S1133",Forrásszöveg!$A$6:$A$2497,0)+5),"81. § (1) eleje")</f>
        <v>81. § (1) eleje</v>
      </c>
      <c r="F1144" s="16" t="str">
        <f aca="false">HYPERLINK("https://net.jogtar.hu/jogszabaly?docid=a2400069.tv#pr1139id","Jogtár megnyitása")</f>
        <v>Jogtár megnyitása</v>
      </c>
    </row>
    <row r="1145" customFormat="false" ht="34" hidden="false" customHeight="true" outlineLevel="0" collapsed="false">
      <c r="A1145" s="15" t="s">
        <v>4792</v>
      </c>
      <c r="B1145" s="15" t="s">
        <v>1299</v>
      </c>
      <c r="C1145" s="15" t="s">
        <v>4793</v>
      </c>
      <c r="D1145" s="15" t="s">
        <v>4794</v>
      </c>
      <c r="E1145" s="16" t="str">
        <f aca="false">HYPERLINK("#'Forrásszöveg'!A"&amp;(MATCH("TV-S1133",Forrásszöveg!$A$6:$A$2497,0)+5),"81. § (1) eleje")</f>
        <v>81. § (1) eleje</v>
      </c>
      <c r="F1145" s="16" t="str">
        <f aca="false">HYPERLINK("https://net.jogtar.hu/jogszabaly?docid=a2400069.tv#pr1140id","Jogtár megnyitása")</f>
        <v>Jogtár megnyitása</v>
      </c>
    </row>
    <row r="1146" customFormat="false" ht="38" hidden="false" customHeight="true" outlineLevel="0" collapsed="false">
      <c r="A1146" s="15" t="s">
        <v>4795</v>
      </c>
      <c r="B1146" s="15" t="s">
        <v>1299</v>
      </c>
      <c r="C1146" s="15" t="s">
        <v>4796</v>
      </c>
      <c r="D1146" s="15" t="s">
        <v>4797</v>
      </c>
      <c r="E1146" s="16" t="str">
        <f aca="false">HYPERLINK("#'Forrásszöveg'!A"&amp;(MATCH("TV-S1133",Forrásszöveg!$A$6:$A$2497,0)+5),"81. § (1) eleje")</f>
        <v>81. § (1) eleje</v>
      </c>
      <c r="F1146" s="16" t="str">
        <f aca="false">HYPERLINK("https://net.jogtar.hu/jogszabaly?docid=a2400069.tv#pr1141id","Jogtár megnyitása")</f>
        <v>Jogtár megnyitása</v>
      </c>
    </row>
    <row r="1147" customFormat="false" ht="34" hidden="false" customHeight="true" outlineLevel="0" collapsed="false">
      <c r="A1147" s="15" t="s">
        <v>4798</v>
      </c>
      <c r="B1147" s="15" t="s">
        <v>1299</v>
      </c>
      <c r="C1147" s="15" t="s">
        <v>4799</v>
      </c>
      <c r="D1147" s="15" t="s">
        <v>4800</v>
      </c>
      <c r="E1147" s="16" t="str">
        <f aca="false">HYPERLINK("#'Forrásszöveg'!A"&amp;(MATCH("TV-S1133",Forrásszöveg!$A$6:$A$2497,0)+5),"81. § (1) eleje")</f>
        <v>81. § (1) eleje</v>
      </c>
      <c r="F1147" s="16" t="str">
        <f aca="false">HYPERLINK("https://net.jogtar.hu/jogszabaly?docid=a2400069.tv#pr1142id","Jogtár megnyitása")</f>
        <v>Jogtár megnyitása</v>
      </c>
    </row>
    <row r="1148" customFormat="false" ht="34" hidden="false" customHeight="true" outlineLevel="0" collapsed="false">
      <c r="A1148" s="15" t="s">
        <v>4801</v>
      </c>
      <c r="B1148" s="15" t="s">
        <v>1299</v>
      </c>
      <c r="C1148" s="15" t="s">
        <v>4802</v>
      </c>
      <c r="D1148" s="15" t="s">
        <v>4803</v>
      </c>
      <c r="E1148" s="16" t="str">
        <f aca="false">HYPERLINK("#'Forrásszöveg'!A"&amp;(MATCH("TV-S1133",Forrásszöveg!$A$6:$A$2497,0)+5),"81. § (1) eleje")</f>
        <v>81. § (1) eleje</v>
      </c>
      <c r="F1148" s="16" t="str">
        <f aca="false">HYPERLINK("https://net.jogtar.hu/jogszabaly?docid=a2400069.tv#pr1143id","Jogtár megnyitása")</f>
        <v>Jogtár megnyitása</v>
      </c>
    </row>
    <row r="1149" customFormat="false" ht="34" hidden="false" customHeight="true" outlineLevel="0" collapsed="false">
      <c r="A1149" s="15" t="s">
        <v>4804</v>
      </c>
      <c r="B1149" s="15" t="s">
        <v>1299</v>
      </c>
      <c r="C1149" s="15" t="s">
        <v>4805</v>
      </c>
      <c r="D1149" s="15" t="s">
        <v>4806</v>
      </c>
      <c r="E1149" s="16" t="str">
        <f aca="false">HYPERLINK("#'Forrásszöveg'!A"&amp;(MATCH("TV-S1144",Forrásszöveg!$A$6:$A$2497,0)+5),"81. § (2) eleje")</f>
        <v>81. § (2) eleje</v>
      </c>
      <c r="F1149" s="16" t="str">
        <f aca="false">HYPERLINK("https://net.jogtar.hu/jogszabaly?docid=a2400069.tv#pr1144id","Jogtár megnyitása")</f>
        <v>Jogtár megnyitása</v>
      </c>
    </row>
    <row r="1150" customFormat="false" ht="38" hidden="false" customHeight="true" outlineLevel="0" collapsed="false">
      <c r="A1150" s="15" t="s">
        <v>4807</v>
      </c>
      <c r="B1150" s="15" t="s">
        <v>1299</v>
      </c>
      <c r="C1150" s="15" t="s">
        <v>4808</v>
      </c>
      <c r="D1150" s="15" t="s">
        <v>4809</v>
      </c>
      <c r="E1150" s="16" t="str">
        <f aca="false">HYPERLINK("#'Forrásszöveg'!A"&amp;(MATCH("TV-S1144",Forrásszöveg!$A$6:$A$2497,0)+5),"81. § (2) eleje")</f>
        <v>81. § (2) eleje</v>
      </c>
      <c r="F1150" s="16" t="str">
        <f aca="false">HYPERLINK("https://net.jogtar.hu/jogszabaly?docid=a2400069.tv#pr1145id","Jogtár megnyitása")</f>
        <v>Jogtár megnyitása</v>
      </c>
    </row>
    <row r="1151" customFormat="false" ht="38" hidden="false" customHeight="true" outlineLevel="0" collapsed="false">
      <c r="A1151" s="15" t="s">
        <v>4810</v>
      </c>
      <c r="B1151" s="15" t="s">
        <v>1299</v>
      </c>
      <c r="C1151" s="15" t="s">
        <v>4811</v>
      </c>
      <c r="D1151" s="15" t="s">
        <v>4812</v>
      </c>
      <c r="E1151" s="16" t="str">
        <f aca="false">HYPERLINK("#'Forrásszöveg'!A"&amp;(MATCH("TV-S1144",Forrásszöveg!$A$6:$A$2497,0)+5),"81. § (2) eleje")</f>
        <v>81. § (2) eleje</v>
      </c>
      <c r="F1151" s="16" t="str">
        <f aca="false">HYPERLINK("https://net.jogtar.hu/jogszabaly?docid=a2400069.tv#pr1146id","Jogtár megnyitása")</f>
        <v>Jogtár megnyitása</v>
      </c>
    </row>
    <row r="1152" customFormat="false" ht="34" hidden="false" customHeight="true" outlineLevel="0" collapsed="false">
      <c r="A1152" s="15" t="s">
        <v>4813</v>
      </c>
      <c r="B1152" s="15" t="s">
        <v>1299</v>
      </c>
      <c r="C1152" s="15" t="s">
        <v>4814</v>
      </c>
      <c r="D1152" s="15" t="s">
        <v>4815</v>
      </c>
      <c r="E1152" s="16" t="str">
        <f aca="false">HYPERLINK("#'Forrásszöveg'!A"&amp;(MATCH("TV-S1144",Forrásszöveg!$A$6:$A$2497,0)+5),"81. § (2) eleje")</f>
        <v>81. § (2) eleje</v>
      </c>
      <c r="F1152" s="16" t="str">
        <f aca="false">HYPERLINK("https://net.jogtar.hu/jogszabaly?docid=a2400069.tv#pr1147id","Jogtár megnyitása")</f>
        <v>Jogtár megnyitása</v>
      </c>
    </row>
    <row r="1153" customFormat="false" ht="34" hidden="false" customHeight="true" outlineLevel="0" collapsed="false">
      <c r="A1153" s="15" t="s">
        <v>4816</v>
      </c>
      <c r="B1153" s="15" t="s">
        <v>1299</v>
      </c>
      <c r="C1153" s="15" t="s">
        <v>4817</v>
      </c>
      <c r="D1153" s="15" t="s">
        <v>4818</v>
      </c>
      <c r="E1153" s="16" t="str">
        <f aca="false">HYPERLINK("#'Forrásszöveg'!A"&amp;(MATCH("TV-S1144",Forrásszöveg!$A$6:$A$2497,0)+5),"81. § (2) eleje")</f>
        <v>81. § (2) eleje</v>
      </c>
      <c r="F1153" s="16" t="str">
        <f aca="false">HYPERLINK("https://net.jogtar.hu/jogszabaly?docid=a2400069.tv#pr1148id","Jogtár megnyitása")</f>
        <v>Jogtár megnyitása</v>
      </c>
    </row>
    <row r="1154" customFormat="false" ht="52" hidden="false" customHeight="true" outlineLevel="0" collapsed="false">
      <c r="A1154" s="15" t="s">
        <v>4819</v>
      </c>
      <c r="B1154" s="15" t="s">
        <v>1299</v>
      </c>
      <c r="C1154" s="15" t="s">
        <v>4820</v>
      </c>
      <c r="D1154" s="15" t="s">
        <v>4821</v>
      </c>
      <c r="E1154" s="16" t="str">
        <f aca="false">HYPERLINK("#'Forrásszöveg'!A"&amp;(MATCH("TV-S1144",Forrásszöveg!$A$6:$A$2497,0)+5),"81. § (2) eleje")</f>
        <v>81. § (2) eleje</v>
      </c>
      <c r="F1154" s="16" t="str">
        <f aca="false">HYPERLINK("https://net.jogtar.hu/jogszabaly?docid=a2400069.tv#pr1149id","Jogtár megnyitása")</f>
        <v>Jogtár megnyitása</v>
      </c>
    </row>
    <row r="1155" customFormat="false" ht="38" hidden="false" customHeight="true" outlineLevel="0" collapsed="false">
      <c r="A1155" s="15" t="s">
        <v>4822</v>
      </c>
      <c r="B1155" s="15" t="s">
        <v>1299</v>
      </c>
      <c r="C1155" s="15" t="s">
        <v>4823</v>
      </c>
      <c r="D1155" s="15" t="s">
        <v>4824</v>
      </c>
      <c r="E1155" s="16" t="str">
        <f aca="false">HYPERLINK("#'Forrásszöveg'!A"&amp;(MATCH("TV-S1144",Forrásszöveg!$A$6:$A$2497,0)+5),"81. § (2) eleje")</f>
        <v>81. § (2) eleje</v>
      </c>
      <c r="F1155" s="16" t="str">
        <f aca="false">HYPERLINK("https://net.jogtar.hu/jogszabaly?docid=a2400069.tv#pr1150id","Jogtár megnyitása")</f>
        <v>Jogtár megnyitása</v>
      </c>
    </row>
    <row r="1156" customFormat="false" ht="52" hidden="false" customHeight="true" outlineLevel="0" collapsed="false">
      <c r="A1156" s="15" t="s">
        <v>4825</v>
      </c>
      <c r="B1156" s="15" t="s">
        <v>1299</v>
      </c>
      <c r="C1156" s="15" t="s">
        <v>4826</v>
      </c>
      <c r="D1156" s="15" t="s">
        <v>4827</v>
      </c>
      <c r="E1156" s="16" t="str">
        <f aca="false">HYPERLINK("#'Forrásszöveg'!A"&amp;(MATCH("TV-S1144",Forrásszöveg!$A$6:$A$2497,0)+5),"81. § (2) eleje")</f>
        <v>81. § (2) eleje</v>
      </c>
      <c r="F1156" s="16" t="str">
        <f aca="false">HYPERLINK("https://net.jogtar.hu/jogszabaly?docid=a2400069.tv#pr1151id","Jogtár megnyitása")</f>
        <v>Jogtár megnyitása</v>
      </c>
    </row>
    <row r="1157" customFormat="false" ht="52" hidden="false" customHeight="true" outlineLevel="0" collapsed="false">
      <c r="A1157" s="15" t="s">
        <v>4828</v>
      </c>
      <c r="B1157" s="15" t="s">
        <v>1299</v>
      </c>
      <c r="C1157" s="15" t="s">
        <v>4829</v>
      </c>
      <c r="D1157" s="15" t="s">
        <v>4830</v>
      </c>
      <c r="E1157" s="16" t="str">
        <f aca="false">HYPERLINK("#'Forrásszöveg'!A"&amp;(MATCH("TV-S1144",Forrásszöveg!$A$6:$A$2497,0)+5),"81. § (2) eleje")</f>
        <v>81. § (2) eleje</v>
      </c>
      <c r="F1157" s="16" t="str">
        <f aca="false">HYPERLINK("https://net.jogtar.hu/jogszabaly?docid=a2400069.tv#pr1152id","Jogtár megnyitása")</f>
        <v>Jogtár megnyitása</v>
      </c>
    </row>
    <row r="1158" customFormat="false" ht="38" hidden="false" customHeight="true" outlineLevel="0" collapsed="false">
      <c r="A1158" s="15" t="s">
        <v>4831</v>
      </c>
      <c r="B1158" s="15" t="s">
        <v>1299</v>
      </c>
      <c r="C1158" s="15" t="s">
        <v>4832</v>
      </c>
      <c r="D1158" s="15" t="s">
        <v>4833</v>
      </c>
      <c r="E1158" s="16" t="str">
        <f aca="false">HYPERLINK("#'Forrásszöveg'!A"&amp;(MATCH("TV-S1144",Forrásszöveg!$A$6:$A$2497,0)+5),"81. § (2) eleje")</f>
        <v>81. § (2) eleje</v>
      </c>
      <c r="F1158" s="16" t="str">
        <f aca="false">HYPERLINK("https://net.jogtar.hu/jogszabaly?docid=a2400069.tv#pr1153id","Jogtár megnyitása")</f>
        <v>Jogtár megnyitása</v>
      </c>
    </row>
    <row r="1159" customFormat="false" ht="38" hidden="false" customHeight="true" outlineLevel="0" collapsed="false">
      <c r="A1159" s="15" t="s">
        <v>4834</v>
      </c>
      <c r="B1159" s="15" t="s">
        <v>1299</v>
      </c>
      <c r="C1159" s="15" t="s">
        <v>4835</v>
      </c>
      <c r="D1159" s="15" t="s">
        <v>4836</v>
      </c>
      <c r="E1159" s="16" t="str">
        <f aca="false">HYPERLINK("#'Forrásszöveg'!A"&amp;(MATCH("TV-S1144",Forrásszöveg!$A$6:$A$2497,0)+5),"81. § (2) eleje")</f>
        <v>81. § (2) eleje</v>
      </c>
      <c r="F1159" s="16" t="str">
        <f aca="false">HYPERLINK("https://net.jogtar.hu/jogszabaly?docid=a2400069.tv#pr1154id","Jogtár megnyitása")</f>
        <v>Jogtár megnyitása</v>
      </c>
    </row>
    <row r="1160" customFormat="false" ht="38" hidden="false" customHeight="true" outlineLevel="0" collapsed="false">
      <c r="A1160" s="15" t="s">
        <v>4837</v>
      </c>
      <c r="B1160" s="15" t="s">
        <v>1299</v>
      </c>
      <c r="C1160" s="15" t="s">
        <v>4838</v>
      </c>
      <c r="D1160" s="15" t="s">
        <v>4839</v>
      </c>
      <c r="E1160" s="16" t="str">
        <f aca="false">HYPERLINK("#'Forrásszöveg'!A"&amp;(MATCH("TV-S1144",Forrásszöveg!$A$6:$A$2497,0)+5),"81. § (2) eleje")</f>
        <v>81. § (2) eleje</v>
      </c>
      <c r="F1160" s="16" t="str">
        <f aca="false">HYPERLINK("https://net.jogtar.hu/jogszabaly?docid=a2400069.tv#pr1155id","Jogtár megnyitása")</f>
        <v>Jogtár megnyitása</v>
      </c>
    </row>
    <row r="1161" customFormat="false" ht="66" hidden="false" customHeight="true" outlineLevel="0" collapsed="false">
      <c r="A1161" s="15" t="s">
        <v>4840</v>
      </c>
      <c r="B1161" s="15" t="s">
        <v>1299</v>
      </c>
      <c r="C1161" s="15" t="s">
        <v>4841</v>
      </c>
      <c r="D1161" s="15" t="s">
        <v>4842</v>
      </c>
      <c r="E1161" s="16" t="str">
        <f aca="false">HYPERLINK("#'Forrásszöveg'!A"&amp;(MATCH("TV-S1144",Forrásszöveg!$A$6:$A$2497,0)+5),"81. § (2) eleje")</f>
        <v>81. § (2) eleje</v>
      </c>
      <c r="F1161" s="16" t="str">
        <f aca="false">HYPERLINK("https://net.jogtar.hu/jogszabaly?docid=a2400069.tv#pr1156id","Jogtár megnyitása")</f>
        <v>Jogtár megnyitása</v>
      </c>
    </row>
    <row r="1162" customFormat="false" ht="80" hidden="false" customHeight="true" outlineLevel="0" collapsed="false">
      <c r="A1162" s="15" t="s">
        <v>4843</v>
      </c>
      <c r="B1162" s="15" t="s">
        <v>1299</v>
      </c>
      <c r="C1162" s="15" t="s">
        <v>4844</v>
      </c>
      <c r="D1162" s="15" t="s">
        <v>4845</v>
      </c>
      <c r="E1162" s="16" t="str">
        <f aca="false">HYPERLINK("#'Forrásszöveg'!A"&amp;(MATCH("TV-S1144",Forrásszöveg!$A$6:$A$2497,0)+5),"81. § (2) eleje")</f>
        <v>81. § (2) eleje</v>
      </c>
      <c r="F1162" s="16" t="str">
        <f aca="false">HYPERLINK("https://net.jogtar.hu/jogszabaly?docid=a2400069.tv#pr1157id","Jogtár megnyitása")</f>
        <v>Jogtár megnyitása</v>
      </c>
    </row>
    <row r="1163" customFormat="false" ht="38" hidden="false" customHeight="true" outlineLevel="0" collapsed="false">
      <c r="A1163" s="15" t="s">
        <v>4846</v>
      </c>
      <c r="B1163" s="15" t="s">
        <v>1299</v>
      </c>
      <c r="C1163" s="15" t="s">
        <v>4847</v>
      </c>
      <c r="D1163" s="15" t="s">
        <v>4848</v>
      </c>
      <c r="E1163" s="16" t="str">
        <f aca="false">HYPERLINK("#'Forrásszöveg'!A"&amp;(MATCH("TV-S1144",Forrásszöveg!$A$6:$A$2497,0)+5),"81. § (2) eleje")</f>
        <v>81. § (2) eleje</v>
      </c>
      <c r="F1163" s="16" t="str">
        <f aca="false">HYPERLINK("https://net.jogtar.hu/jogszabaly?docid=a2400069.tv#pr1158id","Jogtár megnyitása")</f>
        <v>Jogtár megnyitása</v>
      </c>
    </row>
    <row r="1164" customFormat="false" ht="38" hidden="false" customHeight="true" outlineLevel="0" collapsed="false">
      <c r="A1164" s="15" t="s">
        <v>4849</v>
      </c>
      <c r="B1164" s="15" t="s">
        <v>1299</v>
      </c>
      <c r="C1164" s="15" t="s">
        <v>4850</v>
      </c>
      <c r="D1164" s="15" t="s">
        <v>4851</v>
      </c>
      <c r="E1164" s="16" t="str">
        <f aca="false">HYPERLINK("#'Forrásszöveg'!A"&amp;(MATCH("TV-S1144",Forrásszöveg!$A$6:$A$2497,0)+5),"81. § (2) eleje")</f>
        <v>81. § (2) eleje</v>
      </c>
      <c r="F1164" s="16" t="str">
        <f aca="false">HYPERLINK("https://net.jogtar.hu/jogszabaly?docid=a2400069.tv#pr1159id","Jogtár megnyitása")</f>
        <v>Jogtár megnyitása</v>
      </c>
    </row>
    <row r="1165" customFormat="false" ht="38" hidden="false" customHeight="true" outlineLevel="0" collapsed="false">
      <c r="A1165" s="15" t="s">
        <v>4852</v>
      </c>
      <c r="B1165" s="15" t="s">
        <v>1299</v>
      </c>
      <c r="C1165" s="15" t="s">
        <v>4853</v>
      </c>
      <c r="D1165" s="15" t="s">
        <v>4854</v>
      </c>
      <c r="E1165" s="16" t="str">
        <f aca="false">HYPERLINK("#'Forrásszöveg'!A"&amp;(MATCH("TV-S1144",Forrásszöveg!$A$6:$A$2497,0)+5),"81. § (2) eleje")</f>
        <v>81. § (2) eleje</v>
      </c>
      <c r="F1165" s="16" t="str">
        <f aca="false">HYPERLINK("https://net.jogtar.hu/jogszabaly?docid=a2400069.tv#pr1160id","Jogtár megnyitása")</f>
        <v>Jogtár megnyitása</v>
      </c>
    </row>
    <row r="1166" customFormat="false" ht="34" hidden="false" customHeight="true" outlineLevel="0" collapsed="false">
      <c r="A1166" s="15" t="s">
        <v>4855</v>
      </c>
      <c r="B1166" s="15" t="s">
        <v>1299</v>
      </c>
      <c r="C1166" s="15" t="s">
        <v>4856</v>
      </c>
      <c r="D1166" s="15" t="s">
        <v>4857</v>
      </c>
      <c r="E1166" s="16" t="str">
        <f aca="false">HYPERLINK("#'Forrásszöveg'!A"&amp;(MATCH("TV-S1144",Forrásszöveg!$A$6:$A$2497,0)+5),"81. § (2) eleje")</f>
        <v>81. § (2) eleje</v>
      </c>
      <c r="F1166" s="16" t="str">
        <f aca="false">HYPERLINK("https://net.jogtar.hu/jogszabaly?docid=a2400069.tv#pr1161id","Jogtár megnyitása")</f>
        <v>Jogtár megnyitása</v>
      </c>
    </row>
    <row r="1167" customFormat="false" ht="52" hidden="false" customHeight="true" outlineLevel="0" collapsed="false">
      <c r="A1167" s="15" t="s">
        <v>4858</v>
      </c>
      <c r="B1167" s="15" t="s">
        <v>1299</v>
      </c>
      <c r="C1167" s="15" t="s">
        <v>4859</v>
      </c>
      <c r="D1167" s="15" t="s">
        <v>4860</v>
      </c>
      <c r="E1167" s="16" t="str">
        <f aca="false">HYPERLINK("#'Forrásszöveg'!A"&amp;(MATCH("TV-S1144",Forrásszöveg!$A$6:$A$2497,0)+5),"81. § (2) eleje")</f>
        <v>81. § (2) eleje</v>
      </c>
      <c r="F1167" s="16" t="str">
        <f aca="false">HYPERLINK("https://net.jogtar.hu/jogszabaly?docid=a2400069.tv#pr1162id","Jogtár megnyitása")</f>
        <v>Jogtár megnyitása</v>
      </c>
    </row>
    <row r="1168" customFormat="false" ht="38" hidden="false" customHeight="true" outlineLevel="0" collapsed="false">
      <c r="A1168" s="15" t="s">
        <v>4861</v>
      </c>
      <c r="B1168" s="15" t="s">
        <v>1299</v>
      </c>
      <c r="C1168" s="15" t="s">
        <v>4862</v>
      </c>
      <c r="D1168" s="15" t="s">
        <v>4863</v>
      </c>
      <c r="E1168" s="16" t="str">
        <f aca="false">HYPERLINK("#'Forrásszöveg'!A"&amp;(MATCH("TV-S1144",Forrásszöveg!$A$6:$A$2497,0)+5),"81. § (2) eleje")</f>
        <v>81. § (2) eleje</v>
      </c>
      <c r="F1168" s="16" t="str">
        <f aca="false">HYPERLINK("https://net.jogtar.hu/jogszabaly?docid=a2400069.tv#pr1163id","Jogtár megnyitása")</f>
        <v>Jogtár megnyitása</v>
      </c>
    </row>
    <row r="1169" customFormat="false" ht="52" hidden="false" customHeight="true" outlineLevel="0" collapsed="false">
      <c r="A1169" s="15" t="s">
        <v>4864</v>
      </c>
      <c r="B1169" s="15" t="s">
        <v>1299</v>
      </c>
      <c r="C1169" s="15" t="s">
        <v>4865</v>
      </c>
      <c r="D1169" s="15" t="s">
        <v>4866</v>
      </c>
      <c r="E1169" s="16" t="str">
        <f aca="false">HYPERLINK("#'Forrásszöveg'!A"&amp;(MATCH("TV-S1144",Forrásszöveg!$A$6:$A$2497,0)+5),"81. § (2) eleje")</f>
        <v>81. § (2) eleje</v>
      </c>
      <c r="F1169" s="16" t="str">
        <f aca="false">HYPERLINK("https://net.jogtar.hu/jogszabaly?docid=a2400069.tv#pr1164id","Jogtár megnyitása")</f>
        <v>Jogtár megnyitása</v>
      </c>
    </row>
    <row r="1170" customFormat="false" ht="52" hidden="false" customHeight="true" outlineLevel="0" collapsed="false">
      <c r="A1170" s="15" t="s">
        <v>4867</v>
      </c>
      <c r="B1170" s="15" t="s">
        <v>1299</v>
      </c>
      <c r="C1170" s="15" t="s">
        <v>4868</v>
      </c>
      <c r="D1170" s="15" t="s">
        <v>4869</v>
      </c>
      <c r="E1170" s="16" t="str">
        <f aca="false">HYPERLINK("#'Forrásszöveg'!A"&amp;(MATCH("TV-S1144",Forrásszöveg!$A$6:$A$2497,0)+5),"81. § (2) eleje")</f>
        <v>81. § (2) eleje</v>
      </c>
      <c r="F1170" s="16" t="str">
        <f aca="false">HYPERLINK("https://net.jogtar.hu/jogszabaly?docid=a2400069.tv#pr1165id","Jogtár megnyitása")</f>
        <v>Jogtár megnyitása</v>
      </c>
    </row>
    <row r="1171" customFormat="false" ht="34" hidden="false" customHeight="true" outlineLevel="0" collapsed="false">
      <c r="A1171" s="15" t="s">
        <v>4870</v>
      </c>
      <c r="B1171" s="15" t="s">
        <v>1299</v>
      </c>
      <c r="C1171" s="15" t="s">
        <v>4871</v>
      </c>
      <c r="D1171" s="15" t="s">
        <v>4872</v>
      </c>
      <c r="E1171" s="16" t="str">
        <f aca="false">HYPERLINK("#'Forrásszöveg'!A"&amp;(MATCH("TV-S1144",Forrásszöveg!$A$6:$A$2497,0)+5),"81. § (2) eleje")</f>
        <v>81. § (2) eleje</v>
      </c>
      <c r="F1171" s="16" t="str">
        <f aca="false">HYPERLINK("https://net.jogtar.hu/jogszabaly?docid=a2400069.tv#pr1166id","Jogtár megnyitása")</f>
        <v>Jogtár megnyitása</v>
      </c>
    </row>
    <row r="1172" customFormat="false" ht="38" hidden="false" customHeight="true" outlineLevel="0" collapsed="false">
      <c r="A1172" s="15" t="s">
        <v>4873</v>
      </c>
      <c r="B1172" s="15" t="s">
        <v>1299</v>
      </c>
      <c r="C1172" s="15" t="s">
        <v>4874</v>
      </c>
      <c r="D1172" s="15" t="s">
        <v>4875</v>
      </c>
      <c r="E1172" s="16" t="str">
        <f aca="false">HYPERLINK("#'Forrásszöveg'!A"&amp;(MATCH("TV-S1144",Forrásszöveg!$A$6:$A$2497,0)+5),"81. § (2) eleje")</f>
        <v>81. § (2) eleje</v>
      </c>
      <c r="F1172" s="16" t="str">
        <f aca="false">HYPERLINK("https://net.jogtar.hu/jogszabaly?docid=a2400069.tv#pr1167id","Jogtár megnyitása")</f>
        <v>Jogtár megnyitása</v>
      </c>
    </row>
    <row r="1173" customFormat="false" ht="38" hidden="false" customHeight="true" outlineLevel="0" collapsed="false">
      <c r="A1173" s="15" t="s">
        <v>4876</v>
      </c>
      <c r="B1173" s="15" t="s">
        <v>1299</v>
      </c>
      <c r="C1173" s="15" t="s">
        <v>4877</v>
      </c>
      <c r="D1173" s="15" t="s">
        <v>4878</v>
      </c>
      <c r="E1173" s="16" t="str">
        <f aca="false">HYPERLINK("#'Forrásszöveg'!A"&amp;(MATCH("TV-S1144",Forrásszöveg!$A$6:$A$2497,0)+5),"81. § (2) eleje")</f>
        <v>81. § (2) eleje</v>
      </c>
      <c r="F1173" s="16" t="str">
        <f aca="false">HYPERLINK("https://net.jogtar.hu/jogszabaly?docid=a2400069.tv#pr1168id","Jogtár megnyitása")</f>
        <v>Jogtár megnyitása</v>
      </c>
    </row>
    <row r="1174" customFormat="false" ht="52" hidden="false" customHeight="true" outlineLevel="0" collapsed="false">
      <c r="A1174" s="15" t="s">
        <v>4879</v>
      </c>
      <c r="B1174" s="15" t="s">
        <v>1299</v>
      </c>
      <c r="C1174" s="15" t="s">
        <v>4880</v>
      </c>
      <c r="D1174" s="15" t="s">
        <v>4881</v>
      </c>
      <c r="E1174" s="16" t="str">
        <f aca="false">HYPERLINK("#'Forrásszöveg'!A"&amp;(MATCH("TV-S1144",Forrásszöveg!$A$6:$A$2497,0)+5),"81. § (2) eleje")</f>
        <v>81. § (2) eleje</v>
      </c>
      <c r="F1174" s="16" t="str">
        <f aca="false">HYPERLINK("https://net.jogtar.hu/jogszabaly?docid=a2400069.tv#pr1169id","Jogtár megnyitása")</f>
        <v>Jogtár megnyitása</v>
      </c>
    </row>
    <row r="1175" customFormat="false" ht="38" hidden="false" customHeight="true" outlineLevel="0" collapsed="false">
      <c r="A1175" s="15" t="s">
        <v>4882</v>
      </c>
      <c r="B1175" s="15" t="s">
        <v>1299</v>
      </c>
      <c r="C1175" s="15" t="s">
        <v>4883</v>
      </c>
      <c r="D1175" s="15" t="s">
        <v>4884</v>
      </c>
      <c r="E1175" s="16" t="str">
        <f aca="false">HYPERLINK("#'Forrásszöveg'!A"&amp;(MATCH("TV-S1144",Forrásszöveg!$A$6:$A$2497,0)+5),"81. § (2) eleje")</f>
        <v>81. § (2) eleje</v>
      </c>
      <c r="F1175" s="16" t="str">
        <f aca="false">HYPERLINK("https://net.jogtar.hu/jogszabaly?docid=a2400069.tv#pr1170id","Jogtár megnyitása")</f>
        <v>Jogtár megnyitása</v>
      </c>
    </row>
    <row r="1176" customFormat="false" ht="34" hidden="false" customHeight="true" outlineLevel="0" collapsed="false">
      <c r="A1176" s="15" t="s">
        <v>4885</v>
      </c>
      <c r="B1176" s="15" t="s">
        <v>1299</v>
      </c>
      <c r="C1176" s="15" t="s">
        <v>4886</v>
      </c>
      <c r="D1176" s="15" t="s">
        <v>4887</v>
      </c>
      <c r="E1176" s="16" t="str">
        <f aca="false">HYPERLINK("#'Forrásszöveg'!A"&amp;(MATCH("TV-S1171",Forrásszöveg!$A$6:$A$2497,0)+5),"81. § (3) eleje")</f>
        <v>81. § (3) eleje</v>
      </c>
      <c r="F1176" s="16" t="str">
        <f aca="false">HYPERLINK("https://net.jogtar.hu/jogszabaly?docid=a2400069.tv#pr1171id","Jogtár megnyitása")</f>
        <v>Jogtár megnyitása</v>
      </c>
    </row>
    <row r="1177" customFormat="false" ht="38" hidden="false" customHeight="true" outlineLevel="0" collapsed="false">
      <c r="A1177" s="15" t="s">
        <v>4888</v>
      </c>
      <c r="B1177" s="15" t="s">
        <v>1299</v>
      </c>
      <c r="C1177" s="15" t="s">
        <v>4889</v>
      </c>
      <c r="D1177" s="15" t="s">
        <v>4890</v>
      </c>
      <c r="E1177" s="16" t="str">
        <f aca="false">HYPERLINK("#'Forrásszöveg'!A"&amp;(MATCH("TV-S1171",Forrásszöveg!$A$6:$A$2497,0)+5),"81. § (3) eleje")</f>
        <v>81. § (3) eleje</v>
      </c>
      <c r="F1177" s="16" t="str">
        <f aca="false">HYPERLINK("https://net.jogtar.hu/jogszabaly?docid=a2400069.tv#pr1172id","Jogtár megnyitása")</f>
        <v>Jogtár megnyitása</v>
      </c>
    </row>
    <row r="1178" customFormat="false" ht="38" hidden="false" customHeight="true" outlineLevel="0" collapsed="false">
      <c r="A1178" s="15" t="s">
        <v>4891</v>
      </c>
      <c r="B1178" s="15" t="s">
        <v>1299</v>
      </c>
      <c r="C1178" s="15" t="s">
        <v>4892</v>
      </c>
      <c r="D1178" s="15" t="s">
        <v>4893</v>
      </c>
      <c r="E1178" s="16" t="str">
        <f aca="false">HYPERLINK("#'Forrásszöveg'!A"&amp;(MATCH("TV-S1171",Forrásszöveg!$A$6:$A$2497,0)+5),"81. § (3) eleje")</f>
        <v>81. § (3) eleje</v>
      </c>
      <c r="F1178" s="16" t="str">
        <f aca="false">HYPERLINK("https://net.jogtar.hu/jogszabaly?docid=a2400069.tv#pr1173id","Jogtár megnyitása")</f>
        <v>Jogtár megnyitása</v>
      </c>
    </row>
    <row r="1179" customFormat="false" ht="94" hidden="false" customHeight="true" outlineLevel="0" collapsed="false">
      <c r="A1179" s="15" t="s">
        <v>4894</v>
      </c>
      <c r="B1179" s="15" t="s">
        <v>1299</v>
      </c>
      <c r="C1179" s="15" t="s">
        <v>4895</v>
      </c>
      <c r="D1179" s="15" t="s">
        <v>4896</v>
      </c>
      <c r="E1179" s="16" t="str">
        <f aca="false">HYPERLINK("#'Forrásszöveg'!A"&amp;(MATCH("TV-S1171",Forrásszöveg!$A$6:$A$2497,0)+5),"81. § (3) eleje")</f>
        <v>81. § (3) eleje</v>
      </c>
      <c r="F1179" s="16" t="str">
        <f aca="false">HYPERLINK("https://net.jogtar.hu/jogszabaly?docid=a2400069.tv#pr1174id","Jogtár megnyitása")</f>
        <v>Jogtár megnyitása</v>
      </c>
    </row>
    <row r="1180" customFormat="false" ht="52" hidden="false" customHeight="true" outlineLevel="0" collapsed="false">
      <c r="A1180" s="15" t="s">
        <v>4897</v>
      </c>
      <c r="B1180" s="15" t="s">
        <v>1299</v>
      </c>
      <c r="C1180" s="15" t="s">
        <v>4898</v>
      </c>
      <c r="D1180" s="15" t="s">
        <v>4899</v>
      </c>
      <c r="E1180" s="16" t="str">
        <f aca="false">HYPERLINK("#'Forrásszöveg'!A"&amp;(MATCH("TV-S1171",Forrásszöveg!$A$6:$A$2497,0)+5),"81. § (3) eleje")</f>
        <v>81. § (3) eleje</v>
      </c>
      <c r="F1180" s="16" t="str">
        <f aca="false">HYPERLINK("https://net.jogtar.hu/jogszabaly?docid=a2400069.tv#pr1175id","Jogtár megnyitása")</f>
        <v>Jogtár megnyitása</v>
      </c>
    </row>
    <row r="1181" customFormat="false" ht="38" hidden="false" customHeight="true" outlineLevel="0" collapsed="false">
      <c r="A1181" s="15" t="s">
        <v>4900</v>
      </c>
      <c r="B1181" s="15" t="s">
        <v>1299</v>
      </c>
      <c r="C1181" s="15" t="s">
        <v>4901</v>
      </c>
      <c r="D1181" s="15" t="s">
        <v>4902</v>
      </c>
      <c r="E1181" s="16" t="str">
        <f aca="false">HYPERLINK("#'Forrásszöveg'!A"&amp;(MATCH("TV-S1176",Forrásszöveg!$A$6:$A$2497,0)+5),"81. § (4) eleje")</f>
        <v>81. § (4) eleje</v>
      </c>
      <c r="F1181" s="16" t="str">
        <f aca="false">HYPERLINK("https://net.jogtar.hu/jogszabaly?docid=a2400069.tv#pr1176id","Jogtár megnyitása")</f>
        <v>Jogtár megnyitása</v>
      </c>
    </row>
    <row r="1182" customFormat="false" ht="66" hidden="false" customHeight="true" outlineLevel="0" collapsed="false">
      <c r="A1182" s="15" t="s">
        <v>4903</v>
      </c>
      <c r="B1182" s="15" t="s">
        <v>1299</v>
      </c>
      <c r="C1182" s="15" t="s">
        <v>4904</v>
      </c>
      <c r="D1182" s="15" t="s">
        <v>4905</v>
      </c>
      <c r="E1182" s="16" t="str">
        <f aca="false">HYPERLINK("#'Forrásszöveg'!A"&amp;(MATCH("TV-S1177",Forrásszöveg!$A$6:$A$2497,0)+5),"81. § (5) eleje")</f>
        <v>81. § (5) eleje</v>
      </c>
      <c r="F1182" s="16" t="str">
        <f aca="false">HYPERLINK("https://net.jogtar.hu/jogszabaly?docid=a2400069.tv#pr1177id","Jogtár megnyitása")</f>
        <v>Jogtár megnyitása</v>
      </c>
    </row>
    <row r="1183" customFormat="false" ht="34" hidden="false" customHeight="true" outlineLevel="0" collapsed="false">
      <c r="A1183" s="15" t="s">
        <v>4906</v>
      </c>
      <c r="B1183" s="15" t="s">
        <v>1299</v>
      </c>
      <c r="C1183" s="15" t="s">
        <v>4907</v>
      </c>
      <c r="D1183" s="15" t="s">
        <v>4908</v>
      </c>
      <c r="E1183" s="16" t="str">
        <f aca="false">HYPERLINK("#'Forrásszöveg'!A"&amp;(MATCH("TV-S1178",Forrásszöveg!$A$6:$A$2497,0)+5),"81. § (6) eleje")</f>
        <v>81. § (6) eleje</v>
      </c>
      <c r="F1183" s="16" t="str">
        <f aca="false">HYPERLINK("https://net.jogtar.hu/jogszabaly?docid=a2400069.tv#pr1178id","Jogtár megnyitása")</f>
        <v>Jogtár megnyitása</v>
      </c>
    </row>
    <row r="1184" customFormat="false" ht="34" hidden="false" customHeight="true" outlineLevel="0" collapsed="false">
      <c r="A1184" s="15" t="s">
        <v>4909</v>
      </c>
      <c r="B1184" s="15" t="s">
        <v>1299</v>
      </c>
      <c r="C1184" s="15" t="s">
        <v>4910</v>
      </c>
      <c r="D1184" s="15" t="s">
        <v>4911</v>
      </c>
      <c r="E1184" s="16" t="str">
        <f aca="false">HYPERLINK("#'Forrásszöveg'!A"&amp;(MATCH("TV-S1178",Forrásszöveg!$A$6:$A$2497,0)+5),"81. § (6) eleje")</f>
        <v>81. § (6) eleje</v>
      </c>
      <c r="F1184" s="16" t="str">
        <f aca="false">HYPERLINK("https://net.jogtar.hu/jogszabaly?docid=a2400069.tv#pr1179id","Jogtár megnyitása")</f>
        <v>Jogtár megnyitása</v>
      </c>
    </row>
    <row r="1185" customFormat="false" ht="34" hidden="false" customHeight="true" outlineLevel="0" collapsed="false">
      <c r="A1185" s="15" t="s">
        <v>4912</v>
      </c>
      <c r="B1185" s="15" t="s">
        <v>1299</v>
      </c>
      <c r="C1185" s="15" t="s">
        <v>4913</v>
      </c>
      <c r="D1185" s="15" t="s">
        <v>4914</v>
      </c>
      <c r="E1185" s="16" t="str">
        <f aca="false">HYPERLINK("#'Forrásszöveg'!A"&amp;(MATCH("TV-S1178",Forrásszöveg!$A$6:$A$2497,0)+5),"81. § (6) eleje")</f>
        <v>81. § (6) eleje</v>
      </c>
      <c r="F1185" s="16" t="str">
        <f aca="false">HYPERLINK("https://net.jogtar.hu/jogszabaly?docid=a2400069.tv#pr1180id","Jogtár megnyitása")</f>
        <v>Jogtár megnyitása</v>
      </c>
    </row>
    <row r="1186" customFormat="false" ht="38" hidden="false" customHeight="true" outlineLevel="0" collapsed="false">
      <c r="A1186" s="15" t="s">
        <v>4915</v>
      </c>
      <c r="B1186" s="15" t="s">
        <v>1299</v>
      </c>
      <c r="C1186" s="15" t="s">
        <v>4916</v>
      </c>
      <c r="D1186" s="15" t="s">
        <v>4917</v>
      </c>
      <c r="E1186" s="16" t="str">
        <f aca="false">HYPERLINK("#'Forrásszöveg'!A"&amp;(MATCH("TV-S1178",Forrásszöveg!$A$6:$A$2497,0)+5),"81. § (6) eleje")</f>
        <v>81. § (6) eleje</v>
      </c>
      <c r="F1186" s="16" t="str">
        <f aca="false">HYPERLINK("https://net.jogtar.hu/jogszabaly?docid=a2400069.tv#pr1181id","Jogtár megnyitása")</f>
        <v>Jogtár megnyitása</v>
      </c>
    </row>
    <row r="1187" customFormat="false" ht="38" hidden="false" customHeight="true" outlineLevel="0" collapsed="false">
      <c r="A1187" s="15" t="s">
        <v>4918</v>
      </c>
      <c r="B1187" s="15" t="s">
        <v>1299</v>
      </c>
      <c r="C1187" s="15" t="s">
        <v>4919</v>
      </c>
      <c r="D1187" s="15" t="s">
        <v>4920</v>
      </c>
      <c r="E1187" s="16" t="str">
        <f aca="false">HYPERLINK("#'Forrásszöveg'!A"&amp;(MATCH("TV-S1178",Forrásszöveg!$A$6:$A$2497,0)+5),"81. § (6) eleje")</f>
        <v>81. § (6) eleje</v>
      </c>
      <c r="F1187" s="16" t="str">
        <f aca="false">HYPERLINK("https://net.jogtar.hu/jogszabaly?docid=a2400069.tv#pr1182id","Jogtár megnyitása")</f>
        <v>Jogtár megnyitása</v>
      </c>
    </row>
    <row r="1188" customFormat="false" ht="52" hidden="false" customHeight="true" outlineLevel="0" collapsed="false">
      <c r="A1188" s="15" t="s">
        <v>4921</v>
      </c>
      <c r="B1188" s="15" t="s">
        <v>1299</v>
      </c>
      <c r="C1188" s="15" t="s">
        <v>4922</v>
      </c>
      <c r="D1188" s="15" t="s">
        <v>4923</v>
      </c>
      <c r="E1188" s="16" t="str">
        <f aca="false">HYPERLINK("#'Forrásszöveg'!A"&amp;(MATCH("TV-S1178",Forrásszöveg!$A$6:$A$2497,0)+5),"81. § (6) eleje")</f>
        <v>81. § (6) eleje</v>
      </c>
      <c r="F1188" s="16" t="str">
        <f aca="false">HYPERLINK("https://net.jogtar.hu/jogszabaly?docid=a2400069.tv#pr1183id","Jogtár megnyitása")</f>
        <v>Jogtár megnyitása</v>
      </c>
    </row>
    <row r="1189" customFormat="false" ht="38" hidden="false" customHeight="true" outlineLevel="0" collapsed="false">
      <c r="A1189" s="15" t="s">
        <v>4924</v>
      </c>
      <c r="B1189" s="15" t="s">
        <v>1299</v>
      </c>
      <c r="C1189" s="15" t="s">
        <v>4925</v>
      </c>
      <c r="D1189" s="15" t="s">
        <v>4926</v>
      </c>
      <c r="E1189" s="16" t="str">
        <f aca="false">HYPERLINK("#'Forrásszöveg'!A"&amp;(MATCH("TV-S1178",Forrásszöveg!$A$6:$A$2497,0)+5),"81. § (6) eleje")</f>
        <v>81. § (6) eleje</v>
      </c>
      <c r="F1189" s="16" t="str">
        <f aca="false">HYPERLINK("https://net.jogtar.hu/jogszabaly?docid=a2400069.tv#pr1184id","Jogtár megnyitása")</f>
        <v>Jogtár megnyitása</v>
      </c>
    </row>
    <row r="1190" customFormat="false" ht="34" hidden="false" customHeight="true" outlineLevel="0" collapsed="false">
      <c r="A1190" s="15" t="s">
        <v>4927</v>
      </c>
      <c r="B1190" s="15" t="s">
        <v>1299</v>
      </c>
      <c r="C1190" s="15" t="s">
        <v>4928</v>
      </c>
      <c r="D1190" s="15" t="s">
        <v>4929</v>
      </c>
      <c r="E1190" s="16" t="str">
        <f aca="false">HYPERLINK("#'Forrásszöveg'!A"&amp;(MATCH("TV-S1178",Forrásszöveg!$A$6:$A$2497,0)+5),"81. § (6) eleje")</f>
        <v>81. § (6) eleje</v>
      </c>
      <c r="F1190" s="16" t="str">
        <f aca="false">HYPERLINK("https://net.jogtar.hu/jogszabaly?docid=a2400069.tv#pr1185id","Jogtár megnyitása")</f>
        <v>Jogtár megnyitása</v>
      </c>
    </row>
    <row r="1191" customFormat="false" ht="52" hidden="false" customHeight="true" outlineLevel="0" collapsed="false">
      <c r="A1191" s="15" t="s">
        <v>4930</v>
      </c>
      <c r="B1191" s="15" t="s">
        <v>1299</v>
      </c>
      <c r="C1191" s="15" t="s">
        <v>4931</v>
      </c>
      <c r="D1191" s="15" t="s">
        <v>4932</v>
      </c>
      <c r="E1191" s="16" t="str">
        <f aca="false">HYPERLINK("#'Forrásszöveg'!A"&amp;(MATCH("TV-S1178",Forrásszöveg!$A$6:$A$2497,0)+5),"81. § (6) eleje")</f>
        <v>81. § (6) eleje</v>
      </c>
      <c r="F1191" s="16" t="str">
        <f aca="false">HYPERLINK("https://net.jogtar.hu/jogszabaly?docid=a2400069.tv#pr1186id","Jogtár megnyitása")</f>
        <v>Jogtár megnyitása</v>
      </c>
    </row>
    <row r="1192" customFormat="false" ht="38" hidden="false" customHeight="true" outlineLevel="0" collapsed="false">
      <c r="A1192" s="15" t="s">
        <v>4933</v>
      </c>
      <c r="B1192" s="15" t="s">
        <v>1299</v>
      </c>
      <c r="C1192" s="15" t="s">
        <v>4934</v>
      </c>
      <c r="D1192" s="15" t="s">
        <v>4935</v>
      </c>
      <c r="E1192" s="16" t="str">
        <f aca="false">HYPERLINK("#'Forrásszöveg'!A"&amp;(MATCH("TV-S1178",Forrásszöveg!$A$6:$A$2497,0)+5),"81. § (6) eleje")</f>
        <v>81. § (6) eleje</v>
      </c>
      <c r="F1192" s="16" t="str">
        <f aca="false">HYPERLINK("https://net.jogtar.hu/jogszabaly?docid=a2400069.tv#pr1187id","Jogtár megnyitása")</f>
        <v>Jogtár megnyitása</v>
      </c>
    </row>
    <row r="1193" customFormat="false" ht="38" hidden="false" customHeight="true" outlineLevel="0" collapsed="false">
      <c r="A1193" s="15" t="s">
        <v>4936</v>
      </c>
      <c r="B1193" s="15" t="s">
        <v>1299</v>
      </c>
      <c r="C1193" s="15" t="s">
        <v>4937</v>
      </c>
      <c r="D1193" s="15" t="s">
        <v>4938</v>
      </c>
      <c r="E1193" s="16" t="str">
        <f aca="false">HYPERLINK("#'Forrásszöveg'!A"&amp;(MATCH("TV-S1178",Forrásszöveg!$A$6:$A$2497,0)+5),"81. § (6) eleje")</f>
        <v>81. § (6) eleje</v>
      </c>
      <c r="F1193" s="16" t="str">
        <f aca="false">HYPERLINK("https://net.jogtar.hu/jogszabaly?docid=a2400069.tv#pr1188id","Jogtár megnyitása")</f>
        <v>Jogtár megnyitása</v>
      </c>
    </row>
    <row r="1194" customFormat="false" ht="66" hidden="false" customHeight="true" outlineLevel="0" collapsed="false">
      <c r="A1194" s="15" t="s">
        <v>4939</v>
      </c>
      <c r="B1194" s="15" t="s">
        <v>1299</v>
      </c>
      <c r="C1194" s="15" t="s">
        <v>4940</v>
      </c>
      <c r="D1194" s="15" t="s">
        <v>4941</v>
      </c>
      <c r="E1194" s="16" t="str">
        <f aca="false">HYPERLINK("#'Forrásszöveg'!A"&amp;(MATCH("TV-S1178",Forrásszöveg!$A$6:$A$2497,0)+5),"81. § (6) eleje")</f>
        <v>81. § (6) eleje</v>
      </c>
      <c r="F1194" s="16" t="str">
        <f aca="false">HYPERLINK("https://net.jogtar.hu/jogszabaly?docid=a2400069.tv#pr1189id","Jogtár megnyitása")</f>
        <v>Jogtár megnyitása</v>
      </c>
    </row>
    <row r="1195" customFormat="false" ht="80" hidden="false" customHeight="true" outlineLevel="0" collapsed="false">
      <c r="A1195" s="15" t="s">
        <v>4942</v>
      </c>
      <c r="B1195" s="15" t="s">
        <v>1299</v>
      </c>
      <c r="C1195" s="15" t="s">
        <v>4943</v>
      </c>
      <c r="D1195" s="15" t="s">
        <v>4944</v>
      </c>
      <c r="E1195" s="16" t="str">
        <f aca="false">HYPERLINK("#'Forrásszöveg'!A"&amp;(MATCH("TV-S1178",Forrásszöveg!$A$6:$A$2497,0)+5),"81. § (6) eleje")</f>
        <v>81. § (6) eleje</v>
      </c>
      <c r="F1195" s="16" t="str">
        <f aca="false">HYPERLINK("https://net.jogtar.hu/jogszabaly?docid=a2400069.tv#pr1190id","Jogtár megnyitása")</f>
        <v>Jogtár megnyitása</v>
      </c>
    </row>
    <row r="1196" customFormat="false" ht="38" hidden="false" customHeight="true" outlineLevel="0" collapsed="false">
      <c r="A1196" s="15" t="s">
        <v>4945</v>
      </c>
      <c r="B1196" s="15" t="s">
        <v>1299</v>
      </c>
      <c r="C1196" s="15" t="s">
        <v>4946</v>
      </c>
      <c r="D1196" s="15" t="s">
        <v>4947</v>
      </c>
      <c r="E1196" s="16" t="str">
        <f aca="false">HYPERLINK("#'Forrásszöveg'!A"&amp;(MATCH("TV-S1178",Forrásszöveg!$A$6:$A$2497,0)+5),"81. § (6) eleje")</f>
        <v>81. § (6) eleje</v>
      </c>
      <c r="F1196" s="16" t="str">
        <f aca="false">HYPERLINK("https://net.jogtar.hu/jogszabaly?docid=a2400069.tv#pr1191id","Jogtár megnyitása")</f>
        <v>Jogtár megnyitása</v>
      </c>
    </row>
    <row r="1197" customFormat="false" ht="52" hidden="false" customHeight="true" outlineLevel="0" collapsed="false">
      <c r="A1197" s="15" t="s">
        <v>4948</v>
      </c>
      <c r="B1197" s="15" t="s">
        <v>1299</v>
      </c>
      <c r="C1197" s="15" t="s">
        <v>4949</v>
      </c>
      <c r="D1197" s="15" t="s">
        <v>4950</v>
      </c>
      <c r="E1197" s="16" t="str">
        <f aca="false">HYPERLINK("#'Forrásszöveg'!A"&amp;(MATCH("TV-S1178",Forrásszöveg!$A$6:$A$2497,0)+5),"81. § (6) eleje")</f>
        <v>81. § (6) eleje</v>
      </c>
      <c r="F1197" s="16" t="str">
        <f aca="false">HYPERLINK("https://net.jogtar.hu/jogszabaly?docid=a2400069.tv#pr1192id","Jogtár megnyitása")</f>
        <v>Jogtár megnyitása</v>
      </c>
    </row>
    <row r="1198" customFormat="false" ht="66" hidden="false" customHeight="true" outlineLevel="0" collapsed="false">
      <c r="A1198" s="15" t="s">
        <v>4951</v>
      </c>
      <c r="B1198" s="15" t="s">
        <v>1299</v>
      </c>
      <c r="C1198" s="15" t="s">
        <v>4952</v>
      </c>
      <c r="D1198" s="15" t="s">
        <v>4953</v>
      </c>
      <c r="E1198" s="16" t="str">
        <f aca="false">HYPERLINK("#'Forrásszöveg'!A"&amp;(MATCH("TV-S1178",Forrásszöveg!$A$6:$A$2497,0)+5),"81. § (6) eleje")</f>
        <v>81. § (6) eleje</v>
      </c>
      <c r="F1198" s="16" t="str">
        <f aca="false">HYPERLINK("https://net.jogtar.hu/jogszabaly?docid=a2400069.tv#pr1193id","Jogtár megnyitása")</f>
        <v>Jogtár megnyitása</v>
      </c>
    </row>
    <row r="1199" customFormat="false" ht="34" hidden="false" customHeight="true" outlineLevel="0" collapsed="false">
      <c r="A1199" s="15" t="s">
        <v>4954</v>
      </c>
      <c r="B1199" s="15" t="s">
        <v>1299</v>
      </c>
      <c r="C1199" s="15" t="s">
        <v>4955</v>
      </c>
      <c r="D1199" s="15" t="s">
        <v>4956</v>
      </c>
      <c r="E1199" s="16" t="str">
        <f aca="false">HYPERLINK("#'Forrásszöveg'!A"&amp;(MATCH("TV-S1178",Forrásszöveg!$A$6:$A$2497,0)+5),"81. § (6) eleje")</f>
        <v>81. § (6) eleje</v>
      </c>
      <c r="F1199" s="16" t="str">
        <f aca="false">HYPERLINK("https://net.jogtar.hu/jogszabaly?docid=a2400069.tv#pr1194id","Jogtár megnyitása")</f>
        <v>Jogtár megnyitása</v>
      </c>
    </row>
    <row r="1200" customFormat="false" ht="34" hidden="false" customHeight="true" outlineLevel="0" collapsed="false">
      <c r="A1200" s="15" t="s">
        <v>4957</v>
      </c>
      <c r="B1200" s="15" t="s">
        <v>1299</v>
      </c>
      <c r="C1200" s="15" t="s">
        <v>4958</v>
      </c>
      <c r="D1200" s="15" t="s">
        <v>4959</v>
      </c>
      <c r="E1200" s="16" t="str">
        <f aca="false">HYPERLINK("#'Forrásszöveg'!A"&amp;(MATCH("TV-S1195",Forrásszöveg!$A$6:$A$2497,0)+5),"81. § (7) eleje")</f>
        <v>81. § (7) eleje</v>
      </c>
      <c r="F1200" s="16" t="str">
        <f aca="false">HYPERLINK("https://net.jogtar.hu/jogszabaly?docid=a2400069.tv#pr1195id","Jogtár megnyitása")</f>
        <v>Jogtár megnyitása</v>
      </c>
    </row>
    <row r="1201" customFormat="false" ht="38" hidden="false" customHeight="true" outlineLevel="0" collapsed="false">
      <c r="A1201" s="15" t="s">
        <v>4960</v>
      </c>
      <c r="B1201" s="15" t="s">
        <v>1299</v>
      </c>
      <c r="C1201" s="15" t="s">
        <v>4961</v>
      </c>
      <c r="D1201" s="15" t="s">
        <v>4962</v>
      </c>
      <c r="E1201" s="16" t="str">
        <f aca="false">HYPERLINK("#'Forrásszöveg'!A"&amp;(MATCH("TV-S1195",Forrásszöveg!$A$6:$A$2497,0)+5),"81. § (7) eleje")</f>
        <v>81. § (7) eleje</v>
      </c>
      <c r="F1201" s="16" t="str">
        <f aca="false">HYPERLINK("https://net.jogtar.hu/jogszabaly?docid=a2400069.tv#pr1196id","Jogtár megnyitása")</f>
        <v>Jogtár megnyitása</v>
      </c>
    </row>
    <row r="1202" customFormat="false" ht="52" hidden="false" customHeight="true" outlineLevel="0" collapsed="false">
      <c r="A1202" s="15" t="s">
        <v>4963</v>
      </c>
      <c r="B1202" s="15" t="s">
        <v>1299</v>
      </c>
      <c r="C1202" s="15" t="s">
        <v>4964</v>
      </c>
      <c r="D1202" s="15" t="s">
        <v>4965</v>
      </c>
      <c r="E1202" s="16" t="str">
        <f aca="false">HYPERLINK("#'Forrásszöveg'!A"&amp;(MATCH("TV-S1195",Forrásszöveg!$A$6:$A$2497,0)+5),"81. § (7) eleje")</f>
        <v>81. § (7) eleje</v>
      </c>
      <c r="F1202" s="16" t="str">
        <f aca="false">HYPERLINK("https://net.jogtar.hu/jogszabaly?docid=a2400069.tv#pr1197id","Jogtár megnyitása")</f>
        <v>Jogtár megnyitása</v>
      </c>
    </row>
    <row r="1203" customFormat="false" ht="38" hidden="false" customHeight="true" outlineLevel="0" collapsed="false">
      <c r="A1203" s="15" t="s">
        <v>4966</v>
      </c>
      <c r="B1203" s="15" t="s">
        <v>1299</v>
      </c>
      <c r="C1203" s="15" t="s">
        <v>4967</v>
      </c>
      <c r="D1203" s="15" t="s">
        <v>4968</v>
      </c>
      <c r="E1203" s="16" t="str">
        <f aca="false">HYPERLINK("#'Forrásszöveg'!A"&amp;(MATCH("TV-S1198",Forrásszöveg!$A$6:$A$2497,0)+5),"81. § (8) eleje")</f>
        <v>81. § (8) eleje</v>
      </c>
      <c r="F1203" s="16" t="str">
        <f aca="false">HYPERLINK("https://net.jogtar.hu/jogszabaly?docid=a2400069.tv#pr1198id","Jogtár megnyitása")</f>
        <v>Jogtár megnyitása</v>
      </c>
    </row>
    <row r="1204" customFormat="false" ht="38" hidden="false" customHeight="true" outlineLevel="0" collapsed="false">
      <c r="A1204" s="15" t="s">
        <v>4969</v>
      </c>
      <c r="B1204" s="15" t="s">
        <v>1299</v>
      </c>
      <c r="C1204" s="15" t="s">
        <v>1446</v>
      </c>
      <c r="D1204" s="15" t="s">
        <v>1446</v>
      </c>
      <c r="E1204" s="16" t="str">
        <f aca="false">HYPERLINK("#'Forrásszöveg'!A"&amp;(MATCH("TV-S1133",Forrásszöveg!$A$6:$A$2497,0)+5),"81. § eleje")</f>
        <v>81. § eleje</v>
      </c>
      <c r="F1204" s="16" t="str">
        <f aca="false">HYPERLINK("https://net.jogtar.hu/jogszabaly?docid=a2400069.tv#pr1199id","Jogtár megnyitása")</f>
        <v>Jogtár megnyitása</v>
      </c>
    </row>
    <row r="1205" customFormat="false" ht="34" hidden="false" customHeight="true" outlineLevel="0" collapsed="false">
      <c r="A1205" s="15" t="s">
        <v>4970</v>
      </c>
      <c r="B1205" s="15" t="s">
        <v>1299</v>
      </c>
      <c r="C1205" s="15" t="s">
        <v>4971</v>
      </c>
      <c r="D1205" s="15" t="s">
        <v>4972</v>
      </c>
      <c r="E1205" s="16" t="str">
        <f aca="false">HYPERLINK("#'Forrásszöveg'!A"&amp;(MATCH("TV-S1200",Forrásszöveg!$A$6:$A$2497,0)+5),"82. § (1) eleje")</f>
        <v>82. § (1) eleje</v>
      </c>
      <c r="F1205" s="16" t="str">
        <f aca="false">HYPERLINK("https://net.jogtar.hu/jogszabaly?docid=a2400069.tv#pr1200id","Jogtár megnyitása")</f>
        <v>Jogtár megnyitása</v>
      </c>
    </row>
    <row r="1206" customFormat="false" ht="34" hidden="false" customHeight="true" outlineLevel="0" collapsed="false">
      <c r="A1206" s="15" t="s">
        <v>4973</v>
      </c>
      <c r="B1206" s="15" t="s">
        <v>1299</v>
      </c>
      <c r="C1206" s="15" t="s">
        <v>4974</v>
      </c>
      <c r="D1206" s="15" t="s">
        <v>4975</v>
      </c>
      <c r="E1206" s="16" t="str">
        <f aca="false">HYPERLINK("#'Forrásszöveg'!A"&amp;(MATCH("TV-S1201",Forrásszöveg!$A$6:$A$2497,0)+5),"82. § (2) eleje")</f>
        <v>82. § (2) eleje</v>
      </c>
      <c r="F1206" s="16" t="str">
        <f aca="false">HYPERLINK("https://net.jogtar.hu/jogszabaly?docid=a2400069.tv#pr1201id","Jogtár megnyitása")</f>
        <v>Jogtár megnyitása</v>
      </c>
    </row>
    <row r="1207" customFormat="false" ht="34" hidden="false" customHeight="true" outlineLevel="0" collapsed="false">
      <c r="A1207" s="15" t="s">
        <v>4976</v>
      </c>
      <c r="B1207" s="15" t="s">
        <v>1299</v>
      </c>
      <c r="C1207" s="15" t="s">
        <v>1448</v>
      </c>
      <c r="D1207" s="15" t="s">
        <v>1448</v>
      </c>
      <c r="E1207" s="16" t="str">
        <f aca="false">HYPERLINK("#'Forrásszöveg'!A"&amp;(MATCH("TV-S1200",Forrásszöveg!$A$6:$A$2497,0)+5),"82. § eleje")</f>
        <v>82. § eleje</v>
      </c>
      <c r="F1207" s="16" t="str">
        <f aca="false">HYPERLINK("https://net.jogtar.hu/jogszabaly?docid=a2400069.tv#pr1202id","Jogtár megnyitása")</f>
        <v>Jogtár megnyitása</v>
      </c>
    </row>
    <row r="1208" customFormat="false" ht="66" hidden="false" customHeight="true" outlineLevel="0" collapsed="false">
      <c r="A1208" s="15" t="s">
        <v>4977</v>
      </c>
      <c r="B1208" s="15" t="s">
        <v>1299</v>
      </c>
      <c r="C1208" s="15" t="s">
        <v>4978</v>
      </c>
      <c r="D1208" s="15" t="s">
        <v>121</v>
      </c>
      <c r="E1208" s="16" t="str">
        <f aca="false">HYPERLINK("#'Forrásszöveg'!A"&amp;(MATCH("TV-S1203",Forrásszöveg!$A$6:$A$2497,0)+5),"83. § (1) eleje")</f>
        <v>83. § (1) eleje</v>
      </c>
      <c r="F1208" s="16" t="str">
        <f aca="false">HYPERLINK("https://net.jogtar.hu/jogszabaly?docid=a2400069.tv#pr1203id","Jogtár megnyitása")</f>
        <v>Jogtár megnyitása</v>
      </c>
    </row>
    <row r="1209" customFormat="false" ht="38" hidden="false" customHeight="true" outlineLevel="0" collapsed="false">
      <c r="A1209" s="15" t="s">
        <v>4979</v>
      </c>
      <c r="B1209" s="15" t="s">
        <v>1299</v>
      </c>
      <c r="C1209" s="15" t="s">
        <v>4980</v>
      </c>
      <c r="D1209" s="15" t="s">
        <v>4981</v>
      </c>
      <c r="E1209" s="16" t="str">
        <f aca="false">HYPERLINK("#'Forrásszöveg'!A"&amp;(MATCH("TV-S1204",Forrásszöveg!$A$6:$A$2497,0)+5),"83. § (2) eleje")</f>
        <v>83. § (2) eleje</v>
      </c>
      <c r="F1209" s="16" t="str">
        <f aca="false">HYPERLINK("https://net.jogtar.hu/jogszabaly?docid=a2400069.tv#pr1204id","Jogtár megnyitása")</f>
        <v>Jogtár megnyitása</v>
      </c>
    </row>
    <row r="1210" customFormat="false" ht="38" hidden="false" customHeight="true" outlineLevel="0" collapsed="false">
      <c r="A1210" s="15" t="s">
        <v>4982</v>
      </c>
      <c r="B1210" s="15" t="s">
        <v>1299</v>
      </c>
      <c r="C1210" s="15" t="s">
        <v>4983</v>
      </c>
      <c r="D1210" s="15" t="s">
        <v>4984</v>
      </c>
      <c r="E1210" s="16" t="str">
        <f aca="false">HYPERLINK("#'Forrásszöveg'!A"&amp;(MATCH("TV-S1204",Forrásszöveg!$A$6:$A$2497,0)+5),"83. § (2) eleje")</f>
        <v>83. § (2) eleje</v>
      </c>
      <c r="F1210" s="16" t="str">
        <f aca="false">HYPERLINK("https://net.jogtar.hu/jogszabaly?docid=a2400069.tv#pr1205id","Jogtár megnyitása")</f>
        <v>Jogtár megnyitása</v>
      </c>
    </row>
    <row r="1211" customFormat="false" ht="34" hidden="false" customHeight="true" outlineLevel="0" collapsed="false">
      <c r="A1211" s="15" t="s">
        <v>4985</v>
      </c>
      <c r="B1211" s="15" t="s">
        <v>1299</v>
      </c>
      <c r="C1211" s="15" t="s">
        <v>4986</v>
      </c>
      <c r="D1211" s="15" t="s">
        <v>4987</v>
      </c>
      <c r="E1211" s="16" t="str">
        <f aca="false">HYPERLINK("#'Forrásszöveg'!A"&amp;(MATCH("TV-S1204",Forrásszöveg!$A$6:$A$2497,0)+5),"83. § (2) eleje")</f>
        <v>83. § (2) eleje</v>
      </c>
      <c r="F1211" s="16" t="str">
        <f aca="false">HYPERLINK("https://net.jogtar.hu/jogszabaly?docid=a2400069.tv#pr1206id","Jogtár megnyitása")</f>
        <v>Jogtár megnyitása</v>
      </c>
    </row>
    <row r="1212" customFormat="false" ht="52" hidden="false" customHeight="true" outlineLevel="0" collapsed="false">
      <c r="A1212" s="15" t="s">
        <v>4988</v>
      </c>
      <c r="B1212" s="15" t="s">
        <v>1299</v>
      </c>
      <c r="C1212" s="15" t="s">
        <v>4989</v>
      </c>
      <c r="D1212" s="15" t="s">
        <v>124</v>
      </c>
      <c r="E1212" s="16" t="str">
        <f aca="false">HYPERLINK("#'Forrásszöveg'!A"&amp;(MATCH("TV-S1207",Forrásszöveg!$A$6:$A$2497,0)+5),"83. § (3) eleje")</f>
        <v>83. § (3) eleje</v>
      </c>
      <c r="F1212" s="16" t="str">
        <f aca="false">HYPERLINK("https://net.jogtar.hu/jogszabaly?docid=a2400069.tv#pr1207id","Jogtár megnyitása")</f>
        <v>Jogtár megnyitása</v>
      </c>
    </row>
    <row r="1213" customFormat="false" ht="52" hidden="false" customHeight="true" outlineLevel="0" collapsed="false">
      <c r="A1213" s="15" t="s">
        <v>4990</v>
      </c>
      <c r="B1213" s="15" t="s">
        <v>1299</v>
      </c>
      <c r="C1213" s="15" t="s">
        <v>4991</v>
      </c>
      <c r="D1213" s="15" t="s">
        <v>4992</v>
      </c>
      <c r="E1213" s="16" t="str">
        <f aca="false">HYPERLINK("#'Forrásszöveg'!A"&amp;(MATCH("TV-S1208",Forrásszöveg!$A$6:$A$2497,0)+5),"83. § (4) eleje")</f>
        <v>83. § (4) eleje</v>
      </c>
      <c r="F1213" s="16" t="str">
        <f aca="false">HYPERLINK("https://net.jogtar.hu/jogszabaly?docid=a2400069.tv#pr1208id","Jogtár megnyitása")</f>
        <v>Jogtár megnyitása</v>
      </c>
    </row>
    <row r="1214" customFormat="false" ht="66" hidden="false" customHeight="true" outlineLevel="0" collapsed="false">
      <c r="A1214" s="15" t="s">
        <v>4993</v>
      </c>
      <c r="B1214" s="15" t="s">
        <v>1299</v>
      </c>
      <c r="C1214" s="15" t="s">
        <v>4994</v>
      </c>
      <c r="D1214" s="15" t="s">
        <v>4995</v>
      </c>
      <c r="E1214" s="16" t="str">
        <f aca="false">HYPERLINK("#'Forrásszöveg'!A"&amp;(MATCH("TV-S1209",Forrásszöveg!$A$6:$A$2497,0)+5),"83. § (5) eleje")</f>
        <v>83. § (5) eleje</v>
      </c>
      <c r="F1214" s="16" t="str">
        <f aca="false">HYPERLINK("https://net.jogtar.hu/jogszabaly?docid=a2400069.tv#pr1209id","Jogtár megnyitása")</f>
        <v>Jogtár megnyitása</v>
      </c>
    </row>
    <row r="1215" customFormat="false" ht="108" hidden="false" customHeight="true" outlineLevel="0" collapsed="false">
      <c r="A1215" s="15" t="s">
        <v>4996</v>
      </c>
      <c r="B1215" s="15" t="s">
        <v>1299</v>
      </c>
      <c r="C1215" s="15" t="s">
        <v>4997</v>
      </c>
      <c r="D1215" s="15" t="s">
        <v>4998</v>
      </c>
      <c r="E1215" s="16" t="str">
        <f aca="false">HYPERLINK("#'Forrásszöveg'!A"&amp;(MATCH("TV-S1210",Forrásszöveg!$A$6:$A$2497,0)+5),"83. § (6) eleje")</f>
        <v>83. § (6) eleje</v>
      </c>
      <c r="F1215" s="16" t="str">
        <f aca="false">HYPERLINK("https://net.jogtar.hu/jogszabaly?docid=a2400069.tv#pr1210id","Jogtár megnyitása")</f>
        <v>Jogtár megnyitása</v>
      </c>
    </row>
    <row r="1216" customFormat="false" ht="38" hidden="false" customHeight="true" outlineLevel="0" collapsed="false">
      <c r="A1216" s="15" t="s">
        <v>4999</v>
      </c>
      <c r="B1216" s="15" t="s">
        <v>1299</v>
      </c>
      <c r="C1216" s="15" t="s">
        <v>1449</v>
      </c>
      <c r="D1216" s="15" t="s">
        <v>5000</v>
      </c>
      <c r="E1216" s="16" t="str">
        <f aca="false">HYPERLINK("#'Forrásszöveg'!A"&amp;(MATCH("TV-S1211",Forrásszöveg!$A$6:$A$2497,0)+5),"84. § eleje")</f>
        <v>84. § eleje</v>
      </c>
      <c r="F1216" s="16" t="str">
        <f aca="false">HYPERLINK("https://net.jogtar.hu/jogszabaly?docid=a2400069.tv#pr1211id","Jogtár megnyitása")</f>
        <v>Jogtár megnyitása</v>
      </c>
    </row>
    <row r="1217" customFormat="false" ht="80" hidden="false" customHeight="true" outlineLevel="0" collapsed="false">
      <c r="A1217" s="15" t="s">
        <v>5001</v>
      </c>
      <c r="B1217" s="15" t="s">
        <v>1299</v>
      </c>
      <c r="C1217" s="15" t="s">
        <v>5002</v>
      </c>
      <c r="D1217" s="15" t="s">
        <v>5003</v>
      </c>
      <c r="E1217" s="16" t="str">
        <f aca="false">HYPERLINK("#'Forrásszöveg'!A"&amp;(MATCH("TV-S1212",Forrásszöveg!$A$6:$A$2497,0)+5),"85. § (1) eleje")</f>
        <v>85. § (1) eleje</v>
      </c>
      <c r="F1217" s="16" t="str">
        <f aca="false">HYPERLINK("https://net.jogtar.hu/jogszabaly?docid=a2400069.tv#pr1212id","Jogtár megnyitása")</f>
        <v>Jogtár megnyitása</v>
      </c>
    </row>
    <row r="1218" customFormat="false" ht="122" hidden="false" customHeight="true" outlineLevel="0" collapsed="false">
      <c r="A1218" s="15" t="s">
        <v>5004</v>
      </c>
      <c r="B1218" s="15" t="s">
        <v>1299</v>
      </c>
      <c r="C1218" s="15" t="s">
        <v>5005</v>
      </c>
      <c r="D1218" s="15" t="s">
        <v>5006</v>
      </c>
      <c r="E1218" s="16" t="str">
        <f aca="false">HYPERLINK("#'Forrásszöveg'!A"&amp;(MATCH("TV-S1213",Forrásszöveg!$A$6:$A$2497,0)+5),"85. § (2) eleje")</f>
        <v>85. § (2) eleje</v>
      </c>
      <c r="F1218" s="16" t="str">
        <f aca="false">HYPERLINK("https://net.jogtar.hu/jogszabaly?docid=a2400069.tv#pr1213id","Jogtár megnyitása")</f>
        <v>Jogtár megnyitása</v>
      </c>
    </row>
    <row r="1219" customFormat="false" ht="52" hidden="false" customHeight="true" outlineLevel="0" collapsed="false">
      <c r="A1219" s="15" t="s">
        <v>5007</v>
      </c>
      <c r="B1219" s="15" t="s">
        <v>1299</v>
      </c>
      <c r="C1219" s="15" t="s">
        <v>5008</v>
      </c>
      <c r="D1219" s="15" t="s">
        <v>5009</v>
      </c>
      <c r="E1219" s="16" t="str">
        <f aca="false">HYPERLINK("#'Forrásszöveg'!A"&amp;(MATCH("TV-S1214",Forrásszöveg!$A$6:$A$2497,0)+5),"86. § (1) eleje")</f>
        <v>86. § (1) eleje</v>
      </c>
      <c r="F1219" s="16" t="str">
        <f aca="false">HYPERLINK("https://net.jogtar.hu/jogszabaly?docid=a2400069.tv#pr1214id","Jogtár megnyitása")</f>
        <v>Jogtár megnyitása</v>
      </c>
    </row>
    <row r="1220" customFormat="false" ht="34" hidden="false" customHeight="true" outlineLevel="0" collapsed="false">
      <c r="A1220" s="15" t="s">
        <v>5010</v>
      </c>
      <c r="B1220" s="15" t="s">
        <v>1299</v>
      </c>
      <c r="C1220" s="15" t="s">
        <v>5011</v>
      </c>
      <c r="D1220" s="15" t="s">
        <v>5012</v>
      </c>
      <c r="E1220" s="16" t="str">
        <f aca="false">HYPERLINK("#'Forrásszöveg'!A"&amp;(MATCH("TV-S1214",Forrásszöveg!$A$6:$A$2497,0)+5),"86. § (1) eleje")</f>
        <v>86. § (1) eleje</v>
      </c>
      <c r="F1220" s="16" t="str">
        <f aca="false">HYPERLINK("https://net.jogtar.hu/jogszabaly?docid=a2400069.tv#pr1215id","Jogtár megnyitása")</f>
        <v>Jogtár megnyitása</v>
      </c>
    </row>
    <row r="1221" customFormat="false" ht="38" hidden="false" customHeight="true" outlineLevel="0" collapsed="false">
      <c r="A1221" s="15" t="s">
        <v>5013</v>
      </c>
      <c r="B1221" s="15" t="s">
        <v>1299</v>
      </c>
      <c r="C1221" s="15" t="s">
        <v>5014</v>
      </c>
      <c r="D1221" s="15" t="s">
        <v>5015</v>
      </c>
      <c r="E1221" s="16" t="str">
        <f aca="false">HYPERLINK("#'Forrásszöveg'!A"&amp;(MATCH("TV-S1214",Forrásszöveg!$A$6:$A$2497,0)+5),"86. § (1) eleje")</f>
        <v>86. § (1) eleje</v>
      </c>
      <c r="F1221" s="16" t="str">
        <f aca="false">HYPERLINK("https://net.jogtar.hu/jogszabaly?docid=a2400069.tv#pr1216id","Jogtár megnyitása")</f>
        <v>Jogtár megnyitása</v>
      </c>
    </row>
    <row r="1222" customFormat="false" ht="52" hidden="false" customHeight="true" outlineLevel="0" collapsed="false">
      <c r="A1222" s="15" t="s">
        <v>5016</v>
      </c>
      <c r="B1222" s="15" t="s">
        <v>1299</v>
      </c>
      <c r="C1222" s="15" t="s">
        <v>5017</v>
      </c>
      <c r="D1222" s="15" t="s">
        <v>5018</v>
      </c>
      <c r="E1222" s="16" t="str">
        <f aca="false">HYPERLINK("#'Forrásszöveg'!A"&amp;(MATCH("TV-S1217",Forrásszöveg!$A$6:$A$2497,0)+5),"86. § (2) eleje")</f>
        <v>86. § (2) eleje</v>
      </c>
      <c r="F1222" s="16" t="str">
        <f aca="false">HYPERLINK("https://net.jogtar.hu/jogszabaly?docid=a2400069.tv#pr1217id","Jogtár megnyitása")</f>
        <v>Jogtár megnyitása</v>
      </c>
    </row>
    <row r="1223" customFormat="false" ht="38" hidden="false" customHeight="true" outlineLevel="0" collapsed="false">
      <c r="A1223" s="15" t="s">
        <v>5019</v>
      </c>
      <c r="B1223" s="15" t="s">
        <v>1299</v>
      </c>
      <c r="C1223" s="15" t="s">
        <v>5020</v>
      </c>
      <c r="D1223" s="15" t="s">
        <v>5021</v>
      </c>
      <c r="E1223" s="16" t="str">
        <f aca="false">HYPERLINK("#'Forrásszöveg'!A"&amp;(MATCH("TV-S1217",Forrásszöveg!$A$6:$A$2497,0)+5),"86. § (2) eleje")</f>
        <v>86. § (2) eleje</v>
      </c>
      <c r="F1223" s="16" t="str">
        <f aca="false">HYPERLINK("https://net.jogtar.hu/jogszabaly?docid=a2400069.tv#pr1218id","Jogtár megnyitása")</f>
        <v>Jogtár megnyitása</v>
      </c>
    </row>
    <row r="1224" customFormat="false" ht="52" hidden="false" customHeight="true" outlineLevel="0" collapsed="false">
      <c r="A1224" s="15" t="s">
        <v>5022</v>
      </c>
      <c r="B1224" s="15" t="s">
        <v>1299</v>
      </c>
      <c r="C1224" s="15" t="s">
        <v>5023</v>
      </c>
      <c r="D1224" s="15" t="s">
        <v>5024</v>
      </c>
      <c r="E1224" s="16" t="str">
        <f aca="false">HYPERLINK("#'Forrásszöveg'!A"&amp;(MATCH("TV-S1217",Forrásszöveg!$A$6:$A$2497,0)+5),"86. § (2) eleje")</f>
        <v>86. § (2) eleje</v>
      </c>
      <c r="F1224" s="16" t="str">
        <f aca="false">HYPERLINK("https://net.jogtar.hu/jogszabaly?docid=a2400069.tv#pr1219id","Jogtár megnyitása")</f>
        <v>Jogtár megnyitása</v>
      </c>
    </row>
    <row r="1225" customFormat="false" ht="122" hidden="false" customHeight="true" outlineLevel="0" collapsed="false">
      <c r="A1225" s="15" t="s">
        <v>5025</v>
      </c>
      <c r="B1225" s="15" t="s">
        <v>1299</v>
      </c>
      <c r="C1225" s="15" t="s">
        <v>1452</v>
      </c>
      <c r="D1225" s="15" t="s">
        <v>5026</v>
      </c>
      <c r="E1225" s="16" t="str">
        <f aca="false">HYPERLINK("#'Forrásszöveg'!A"&amp;(MATCH("TV-S1220",Forrásszöveg!$A$6:$A$2497,0)+5),"87. § eleje")</f>
        <v>87. § eleje</v>
      </c>
      <c r="F1225" s="16" t="str">
        <f aca="false">HYPERLINK("https://net.jogtar.hu/jogszabaly?docid=a2400069.tv#pr1220id","Jogtár megnyitása")</f>
        <v>Jogtár megnyitása</v>
      </c>
    </row>
    <row r="1226" customFormat="false" ht="38" hidden="false" customHeight="true" outlineLevel="0" collapsed="false">
      <c r="A1226" s="15" t="s">
        <v>5027</v>
      </c>
      <c r="B1226" s="15" t="s">
        <v>1299</v>
      </c>
      <c r="C1226" s="15" t="s">
        <v>5028</v>
      </c>
      <c r="D1226" s="15" t="s">
        <v>5029</v>
      </c>
      <c r="E1226" s="16" t="str">
        <f aca="false">HYPERLINK("#'Forrásszöveg'!A"&amp;(MATCH("TV-S1221",Forrásszöveg!$A$6:$A$2497,0)+5),"88. § (1) eleje")</f>
        <v>88. § (1) eleje</v>
      </c>
      <c r="F1226" s="16" t="str">
        <f aca="false">HYPERLINK("https://net.jogtar.hu/jogszabaly?docid=a2400069.tv#pr1221id","Jogtár megnyitása")</f>
        <v>Jogtár megnyitása</v>
      </c>
    </row>
    <row r="1227" customFormat="false" ht="52" hidden="false" customHeight="true" outlineLevel="0" collapsed="false">
      <c r="A1227" s="15" t="s">
        <v>5030</v>
      </c>
      <c r="B1227" s="15" t="s">
        <v>1299</v>
      </c>
      <c r="C1227" s="15" t="s">
        <v>5031</v>
      </c>
      <c r="D1227" s="15" t="s">
        <v>5032</v>
      </c>
      <c r="E1227" s="16" t="str">
        <f aca="false">HYPERLINK("#'Forrásszöveg'!A"&amp;(MATCH("TV-S1222",Forrásszöveg!$A$6:$A$2497,0)+5),"88. § (2) eleje")</f>
        <v>88. § (2) eleje</v>
      </c>
      <c r="F1227" s="16" t="str">
        <f aca="false">HYPERLINK("https://net.jogtar.hu/jogszabaly?docid=a2400069.tv#pr1222id","Jogtár megnyitása")</f>
        <v>Jogtár megnyitása</v>
      </c>
    </row>
    <row r="1228" customFormat="false" ht="108" hidden="false" customHeight="true" outlineLevel="0" collapsed="false">
      <c r="A1228" s="15" t="s">
        <v>5033</v>
      </c>
      <c r="B1228" s="15" t="s">
        <v>1299</v>
      </c>
      <c r="C1228" s="15" t="s">
        <v>5034</v>
      </c>
      <c r="D1228" s="15" t="s">
        <v>5035</v>
      </c>
      <c r="E1228" s="16" t="str">
        <f aca="false">HYPERLINK("#'Forrásszöveg'!A"&amp;(MATCH("TV-S1223",Forrásszöveg!$A$6:$A$2497,0)+5),"89. § (1) eleje")</f>
        <v>89. § (1) eleje</v>
      </c>
      <c r="F1228" s="16" t="str">
        <f aca="false">HYPERLINK("https://net.jogtar.hu/jogszabaly?docid=a2400069.tv#pr1223id","Jogtár megnyitása")</f>
        <v>Jogtár megnyitása</v>
      </c>
    </row>
    <row r="1229" customFormat="false" ht="80" hidden="false" customHeight="true" outlineLevel="0" collapsed="false">
      <c r="A1229" s="15" t="s">
        <v>5036</v>
      </c>
      <c r="B1229" s="15" t="s">
        <v>1299</v>
      </c>
      <c r="C1229" s="15" t="s">
        <v>5037</v>
      </c>
      <c r="D1229" s="15" t="s">
        <v>5038</v>
      </c>
      <c r="E1229" s="16" t="str">
        <f aca="false">HYPERLINK("#'Forrásszöveg'!A"&amp;(MATCH("TV-S1224",Forrásszöveg!$A$6:$A$2497,0)+5),"89. § (1a) eleje")</f>
        <v>89. § (1a) eleje</v>
      </c>
      <c r="F1229" s="16" t="str">
        <f aca="false">HYPERLINK("https://net.jogtar.hu/jogszabaly?docid=a2400069.tv#pr1224id","Jogtár megnyitása")</f>
        <v>Jogtár megnyitása</v>
      </c>
    </row>
    <row r="1230" customFormat="false" ht="38" hidden="false" customHeight="true" outlineLevel="0" collapsed="false">
      <c r="A1230" s="15" t="s">
        <v>5039</v>
      </c>
      <c r="B1230" s="15" t="s">
        <v>1299</v>
      </c>
      <c r="C1230" s="15" t="s">
        <v>5040</v>
      </c>
      <c r="D1230" s="15" t="s">
        <v>5041</v>
      </c>
      <c r="E1230" s="16" t="str">
        <f aca="false">HYPERLINK("#'Forrásszöveg'!A"&amp;(MATCH("TV-S1225",Forrásszöveg!$A$6:$A$2497,0)+5),"89. § (2) eleje")</f>
        <v>89. § (2) eleje</v>
      </c>
      <c r="F1230" s="16" t="str">
        <f aca="false">HYPERLINK("https://net.jogtar.hu/jogszabaly?docid=a2400069.tv#pr1225id","Jogtár megnyitása")</f>
        <v>Jogtár megnyitása</v>
      </c>
    </row>
    <row r="1231" customFormat="false" ht="94" hidden="false" customHeight="true" outlineLevel="0" collapsed="false">
      <c r="A1231" s="15" t="s">
        <v>5042</v>
      </c>
      <c r="B1231" s="15" t="s">
        <v>1299</v>
      </c>
      <c r="C1231" s="15" t="s">
        <v>5043</v>
      </c>
      <c r="D1231" s="15" t="s">
        <v>127</v>
      </c>
      <c r="E1231" s="16" t="str">
        <f aca="false">HYPERLINK("#'Forrásszöveg'!A"&amp;(MATCH("TV-S1226",Forrásszöveg!$A$6:$A$2497,0)+5),"89. § (3) eleje")</f>
        <v>89. § (3) eleje</v>
      </c>
      <c r="F1231" s="16" t="str">
        <f aca="false">HYPERLINK("https://net.jogtar.hu/jogszabaly?docid=a2400069.tv#pr1226id","Jogtár megnyitása")</f>
        <v>Jogtár megnyitása</v>
      </c>
    </row>
    <row r="1232" customFormat="false" ht="80" hidden="false" customHeight="true" outlineLevel="0" collapsed="false">
      <c r="A1232" s="15" t="s">
        <v>5044</v>
      </c>
      <c r="B1232" s="15" t="s">
        <v>1299</v>
      </c>
      <c r="C1232" s="15" t="s">
        <v>5045</v>
      </c>
      <c r="D1232" s="15" t="s">
        <v>5046</v>
      </c>
      <c r="E1232" s="16" t="str">
        <f aca="false">HYPERLINK("#'Forrásszöveg'!A"&amp;(MATCH("TV-S1227",Forrásszöveg!$A$6:$A$2497,0)+5),"89. § (4) eleje")</f>
        <v>89. § (4) eleje</v>
      </c>
      <c r="F1232" s="16" t="str">
        <f aca="false">HYPERLINK("https://net.jogtar.hu/jogszabaly?docid=a2400069.tv#pr1227id","Jogtár megnyitása")</f>
        <v>Jogtár megnyitása</v>
      </c>
    </row>
    <row r="1233" customFormat="false" ht="80" hidden="false" customHeight="true" outlineLevel="0" collapsed="false">
      <c r="A1233" s="15" t="s">
        <v>5047</v>
      </c>
      <c r="B1233" s="15" t="s">
        <v>1299</v>
      </c>
      <c r="C1233" s="15" t="s">
        <v>5048</v>
      </c>
      <c r="D1233" s="15" t="s">
        <v>5049</v>
      </c>
      <c r="E1233" s="16" t="str">
        <f aca="false">HYPERLINK("#'Forrásszöveg'!A"&amp;(MATCH("TV-S1228",Forrásszöveg!$A$6:$A$2497,0)+5),"89. § (5) eleje")</f>
        <v>89. § (5) eleje</v>
      </c>
      <c r="F1233" s="16" t="str">
        <f aca="false">HYPERLINK("https://net.jogtar.hu/jogszabaly?docid=a2400069.tv#pr1228id","Jogtár megnyitása")</f>
        <v>Jogtár megnyitása</v>
      </c>
    </row>
    <row r="1234" customFormat="false" ht="66" hidden="false" customHeight="true" outlineLevel="0" collapsed="false">
      <c r="A1234" s="15" t="s">
        <v>5050</v>
      </c>
      <c r="B1234" s="15" t="s">
        <v>1299</v>
      </c>
      <c r="C1234" s="15" t="s">
        <v>5051</v>
      </c>
      <c r="D1234" s="15" t="s">
        <v>5052</v>
      </c>
      <c r="E1234" s="16" t="str">
        <f aca="false">HYPERLINK("#'Forrásszöveg'!A"&amp;(MATCH("TV-S1229",Forrásszöveg!$A$6:$A$2497,0)+5),"89. § (6) eleje")</f>
        <v>89. § (6) eleje</v>
      </c>
      <c r="F1234" s="16" t="str">
        <f aca="false">HYPERLINK("https://net.jogtar.hu/jogszabaly?docid=a2400069.tv#pr1229id","Jogtár megnyitása")</f>
        <v>Jogtár megnyitása</v>
      </c>
    </row>
    <row r="1235" customFormat="false" ht="80" hidden="false" customHeight="true" outlineLevel="0" collapsed="false">
      <c r="A1235" s="15" t="s">
        <v>5053</v>
      </c>
      <c r="B1235" s="15" t="s">
        <v>1299</v>
      </c>
      <c r="C1235" s="15" t="s">
        <v>5054</v>
      </c>
      <c r="D1235" s="15" t="s">
        <v>5055</v>
      </c>
      <c r="E1235" s="16" t="str">
        <f aca="false">HYPERLINK("#'Forrásszöveg'!A"&amp;(MATCH("TV-S1230",Forrásszöveg!$A$6:$A$2497,0)+5),"89. § (7) eleje")</f>
        <v>89. § (7) eleje</v>
      </c>
      <c r="F1235" s="16" t="str">
        <f aca="false">HYPERLINK("https://net.jogtar.hu/jogszabaly?docid=a2400069.tv#pr1230id","Jogtár megnyitása")</f>
        <v>Jogtár megnyitása</v>
      </c>
    </row>
    <row r="1236" customFormat="false" ht="80" hidden="false" customHeight="true" outlineLevel="0" collapsed="false">
      <c r="A1236" s="15" t="s">
        <v>5056</v>
      </c>
      <c r="B1236" s="15" t="s">
        <v>1299</v>
      </c>
      <c r="C1236" s="15" t="s">
        <v>5057</v>
      </c>
      <c r="D1236" s="15" t="s">
        <v>5058</v>
      </c>
      <c r="E1236" s="16" t="str">
        <f aca="false">HYPERLINK("#'Forrásszöveg'!A"&amp;(MATCH("TV-S1231",Forrásszöveg!$A$6:$A$2497,0)+5),"89. § (8) eleje")</f>
        <v>89. § (8) eleje</v>
      </c>
      <c r="F1236" s="16" t="str">
        <f aca="false">HYPERLINK("https://net.jogtar.hu/jogszabaly?docid=a2400069.tv#pr1231id","Jogtár megnyitása")</f>
        <v>Jogtár megnyitása</v>
      </c>
    </row>
    <row r="1237" customFormat="false" ht="66" hidden="false" customHeight="true" outlineLevel="0" collapsed="false">
      <c r="A1237" s="15" t="s">
        <v>5059</v>
      </c>
      <c r="B1237" s="15" t="s">
        <v>1299</v>
      </c>
      <c r="C1237" s="15" t="s">
        <v>5060</v>
      </c>
      <c r="D1237" s="15" t="s">
        <v>5061</v>
      </c>
      <c r="E1237" s="16" t="str">
        <f aca="false">HYPERLINK("#'Forrásszöveg'!A"&amp;(MATCH("TV-S1232",Forrásszöveg!$A$6:$A$2497,0)+5),"89. § (9) eleje")</f>
        <v>89. § (9) eleje</v>
      </c>
      <c r="F1237" s="16" t="str">
        <f aca="false">HYPERLINK("https://net.jogtar.hu/jogszabaly?docid=a2400069.tv#pr1232id","Jogtár megnyitása")</f>
        <v>Jogtár megnyitása</v>
      </c>
    </row>
    <row r="1238" customFormat="false" ht="52" hidden="false" customHeight="true" outlineLevel="0" collapsed="false">
      <c r="A1238" s="15" t="s">
        <v>5062</v>
      </c>
      <c r="B1238" s="15" t="s">
        <v>1299</v>
      </c>
      <c r="C1238" s="15" t="s">
        <v>1456</v>
      </c>
      <c r="D1238" s="15" t="s">
        <v>1456</v>
      </c>
      <c r="E1238" s="16" t="str">
        <f aca="false">HYPERLINK("#'Forrásszöveg'!A"&amp;(MATCH("TV-S1223",Forrásszöveg!$A$6:$A$2497,0)+5),"89. § eleje")</f>
        <v>89. § eleje</v>
      </c>
      <c r="F1238" s="16" t="str">
        <f aca="false">HYPERLINK("https://net.jogtar.hu/jogszabaly?docid=a2400069.tv#pr1233id","Jogtár megnyitása")</f>
        <v>Jogtár megnyitása</v>
      </c>
    </row>
    <row r="1239" customFormat="false" ht="34" hidden="false" customHeight="true" outlineLevel="0" collapsed="false">
      <c r="A1239" s="15" t="s">
        <v>5063</v>
      </c>
      <c r="B1239" s="15" t="s">
        <v>1299</v>
      </c>
      <c r="C1239" s="15" t="s">
        <v>5064</v>
      </c>
      <c r="D1239" s="15" t="s">
        <v>5065</v>
      </c>
      <c r="E1239" s="16" t="str">
        <f aca="false">HYPERLINK("#'Forrásszöveg'!A"&amp;(MATCH("TV-S1234",Forrásszöveg!$A$6:$A$2497,0)+5),"90. § (1) eleje")</f>
        <v>90. § (1) eleje</v>
      </c>
      <c r="F1239" s="16" t="str">
        <f aca="false">HYPERLINK("https://net.jogtar.hu/jogszabaly?docid=a2400069.tv#pr1234id","Jogtár megnyitása")</f>
        <v>Jogtár megnyitása</v>
      </c>
    </row>
    <row r="1240" customFormat="false" ht="34" hidden="false" customHeight="true" outlineLevel="0" collapsed="false">
      <c r="A1240" s="15" t="s">
        <v>5066</v>
      </c>
      <c r="B1240" s="15" t="s">
        <v>1299</v>
      </c>
      <c r="C1240" s="15" t="s">
        <v>5067</v>
      </c>
      <c r="D1240" s="15" t="s">
        <v>5068</v>
      </c>
      <c r="E1240" s="16" t="str">
        <f aca="false">HYPERLINK("#'Forrásszöveg'!A"&amp;(MATCH("TV-S1235",Forrásszöveg!$A$6:$A$2497,0)+5),"90. § (2) eleje")</f>
        <v>90. § (2) eleje</v>
      </c>
      <c r="F1240" s="16" t="str">
        <f aca="false">HYPERLINK("https://net.jogtar.hu/jogszabaly?docid=a2400069.tv#pr1235id","Jogtár megnyitása")</f>
        <v>Jogtár megnyitása</v>
      </c>
    </row>
    <row r="1241" customFormat="false" ht="34" hidden="false" customHeight="true" outlineLevel="0" collapsed="false">
      <c r="A1241" s="15" t="s">
        <v>5069</v>
      </c>
      <c r="B1241" s="15" t="s">
        <v>1299</v>
      </c>
      <c r="C1241" s="15" t="s">
        <v>5070</v>
      </c>
      <c r="D1241" s="15" t="s">
        <v>5071</v>
      </c>
      <c r="E1241" s="16" t="str">
        <f aca="false">HYPERLINK("#'Forrásszöveg'!A"&amp;(MATCH("TV-S1236",Forrásszöveg!$A$6:$A$2497,0)+5),"90. § (3) eleje")</f>
        <v>90. § (3) eleje</v>
      </c>
      <c r="F1241" s="16" t="str">
        <f aca="false">HYPERLINK("https://net.jogtar.hu/jogszabaly?docid=a2400069.tv#pr1236id","Jogtár megnyitása")</f>
        <v>Jogtár megnyitása</v>
      </c>
    </row>
    <row r="1242" customFormat="false" ht="38" hidden="false" customHeight="true" outlineLevel="0" collapsed="false">
      <c r="A1242" s="15" t="s">
        <v>5072</v>
      </c>
      <c r="B1242" s="15" t="s">
        <v>1299</v>
      </c>
      <c r="C1242" s="15" t="s">
        <v>1458</v>
      </c>
      <c r="D1242" s="15" t="s">
        <v>1458</v>
      </c>
      <c r="E1242" s="16" t="str">
        <f aca="false">HYPERLINK("#'Forrásszöveg'!A"&amp;(MATCH("TV-S1234",Forrásszöveg!$A$6:$A$2497,0)+5),"90. § eleje")</f>
        <v>90. § eleje</v>
      </c>
      <c r="F1242" s="16" t="str">
        <f aca="false">HYPERLINK("https://net.jogtar.hu/jogszabaly?docid=a2400069.tv#pr1237id","Jogtár megnyitása")</f>
        <v>Jogtár megnyitása</v>
      </c>
    </row>
    <row r="1243" customFormat="false" ht="34" hidden="false" customHeight="true" outlineLevel="0" collapsed="false">
      <c r="A1243" s="15" t="s">
        <v>5073</v>
      </c>
      <c r="B1243" s="15" t="s">
        <v>1299</v>
      </c>
      <c r="C1243" s="15" t="s">
        <v>1457</v>
      </c>
      <c r="D1243" s="15" t="s">
        <v>5074</v>
      </c>
      <c r="E1243" s="16" t="str">
        <f aca="false">HYPERLINK("#'Forrásszöveg'!A"&amp;(MATCH("TV-S1238",Forrásszöveg!$A$6:$A$2497,0)+5),"90/A. § eleje")</f>
        <v>90/A. § eleje</v>
      </c>
      <c r="F1243" s="16" t="str">
        <f aca="false">HYPERLINK("https://net.jogtar.hu/jogszabaly?docid=a2400069.tv#pr1238id","Jogtár megnyitása")</f>
        <v>Jogtár megnyitása</v>
      </c>
    </row>
    <row r="1244" customFormat="false" ht="38" hidden="false" customHeight="true" outlineLevel="0" collapsed="false">
      <c r="A1244" s="15" t="s">
        <v>5075</v>
      </c>
      <c r="B1244" s="15" t="s">
        <v>1299</v>
      </c>
      <c r="C1244" s="15" t="s">
        <v>1460</v>
      </c>
      <c r="D1244" s="15" t="s">
        <v>1460</v>
      </c>
      <c r="E1244" s="16" t="str">
        <f aca="false">HYPERLINK("#'Forrásszöveg'!A"&amp;(MATCH("TV-S1238",Forrásszöveg!$A$6:$A$2497,0)+5),"90/A. § eleje")</f>
        <v>90/A. § eleje</v>
      </c>
      <c r="F1244" s="16" t="str">
        <f aca="false">HYPERLINK("https://net.jogtar.hu/jogszabaly?docid=a2400069.tv#pr1239id","Jogtár megnyitása")</f>
        <v>Jogtár megnyitása</v>
      </c>
    </row>
    <row r="1245" customFormat="false" ht="34" hidden="false" customHeight="true" outlineLevel="0" collapsed="false">
      <c r="A1245" s="15" t="s">
        <v>5076</v>
      </c>
      <c r="B1245" s="15" t="s">
        <v>1299</v>
      </c>
      <c r="C1245" s="15" t="s">
        <v>5077</v>
      </c>
      <c r="D1245" s="15" t="s">
        <v>5078</v>
      </c>
      <c r="E1245" s="16" t="str">
        <f aca="false">HYPERLINK("#'Forrásszöveg'!A"&amp;(MATCH("TV-S1240",Forrásszöveg!$A$6:$A$2497,0)+5),"91. § (1) eleje")</f>
        <v>91. § (1) eleje</v>
      </c>
      <c r="F1245" s="16" t="str">
        <f aca="false">HYPERLINK("https://net.jogtar.hu/jogszabaly?docid=a2400069.tv#pr1240id","Jogtár megnyitása")</f>
        <v>Jogtár megnyitása</v>
      </c>
    </row>
    <row r="1246" customFormat="false" ht="52" hidden="false" customHeight="true" outlineLevel="0" collapsed="false">
      <c r="A1246" s="15" t="s">
        <v>5079</v>
      </c>
      <c r="B1246" s="15" t="s">
        <v>1299</v>
      </c>
      <c r="C1246" s="15" t="s">
        <v>5080</v>
      </c>
      <c r="D1246" s="15" t="s">
        <v>5081</v>
      </c>
      <c r="E1246" s="16" t="str">
        <f aca="false">HYPERLINK("#'Forrásszöveg'!A"&amp;(MATCH("TV-S1240",Forrásszöveg!$A$6:$A$2497,0)+5),"91. § (1) eleje")</f>
        <v>91. § (1) eleje</v>
      </c>
      <c r="F1246" s="16" t="str">
        <f aca="false">HYPERLINK("https://net.jogtar.hu/jogszabaly?docid=a2400069.tv#pr1241id","Jogtár megnyitása")</f>
        <v>Jogtár megnyitása</v>
      </c>
    </row>
    <row r="1247" customFormat="false" ht="38" hidden="false" customHeight="true" outlineLevel="0" collapsed="false">
      <c r="A1247" s="15" t="s">
        <v>5082</v>
      </c>
      <c r="B1247" s="15" t="s">
        <v>1299</v>
      </c>
      <c r="C1247" s="15" t="s">
        <v>5083</v>
      </c>
      <c r="D1247" s="15" t="s">
        <v>5084</v>
      </c>
      <c r="E1247" s="16" t="str">
        <f aca="false">HYPERLINK("#'Forrásszöveg'!A"&amp;(MATCH("TV-S1240",Forrásszöveg!$A$6:$A$2497,0)+5),"91. § (1) eleje")</f>
        <v>91. § (1) eleje</v>
      </c>
      <c r="F1247" s="16" t="str">
        <f aca="false">HYPERLINK("https://net.jogtar.hu/jogszabaly?docid=a2400069.tv#pr1242id","Jogtár megnyitása")</f>
        <v>Jogtár megnyitása</v>
      </c>
    </row>
    <row r="1248" customFormat="false" ht="34" hidden="false" customHeight="true" outlineLevel="0" collapsed="false">
      <c r="A1248" s="15" t="s">
        <v>5085</v>
      </c>
      <c r="B1248" s="15" t="s">
        <v>1299</v>
      </c>
      <c r="C1248" s="15" t="s">
        <v>5086</v>
      </c>
      <c r="D1248" s="15" t="s">
        <v>5087</v>
      </c>
      <c r="E1248" s="16" t="str">
        <f aca="false">HYPERLINK("#'Forrásszöveg'!A"&amp;(MATCH("TV-S1240",Forrásszöveg!$A$6:$A$2497,0)+5),"91. § (1) eleje")</f>
        <v>91. § (1) eleje</v>
      </c>
      <c r="F1248" s="16" t="str">
        <f aca="false">HYPERLINK("https://net.jogtar.hu/jogszabaly?docid=a2400069.tv#pr1243id","Jogtár megnyitása")</f>
        <v>Jogtár megnyitása</v>
      </c>
    </row>
    <row r="1249" customFormat="false" ht="34" hidden="false" customHeight="true" outlineLevel="0" collapsed="false">
      <c r="A1249" s="15" t="s">
        <v>5088</v>
      </c>
      <c r="B1249" s="15" t="s">
        <v>1299</v>
      </c>
      <c r="C1249" s="15" t="s">
        <v>5077</v>
      </c>
      <c r="D1249" s="15" t="s">
        <v>5089</v>
      </c>
      <c r="E1249" s="16" t="str">
        <f aca="false">HYPERLINK("#'Forrásszöveg'!A"&amp;(MATCH("TV-S1240",Forrásszöveg!$A$6:$A$2497,0)+5),"91. § (1) eleje")</f>
        <v>91. § (1) eleje</v>
      </c>
      <c r="F1249" s="16" t="str">
        <f aca="false">HYPERLINK("https://net.jogtar.hu/jogszabaly?docid=a2400069.tv#pr1244id","Jogtár megnyitása")</f>
        <v>Jogtár megnyitása</v>
      </c>
    </row>
    <row r="1250" customFormat="false" ht="34" hidden="false" customHeight="true" outlineLevel="0" collapsed="false">
      <c r="A1250" s="15" t="s">
        <v>5090</v>
      </c>
      <c r="B1250" s="15" t="s">
        <v>1299</v>
      </c>
      <c r="C1250" s="15" t="s">
        <v>5091</v>
      </c>
      <c r="D1250" s="15" t="s">
        <v>5092</v>
      </c>
      <c r="E1250" s="16" t="str">
        <f aca="false">HYPERLINK("#'Forrásszöveg'!A"&amp;(MATCH("TV-S1245",Forrásszöveg!$A$6:$A$2497,0)+5),"91. § (2) eleje")</f>
        <v>91. § (2) eleje</v>
      </c>
      <c r="F1250" s="16" t="str">
        <f aca="false">HYPERLINK("https://net.jogtar.hu/jogszabaly?docid=a2400069.tv#pr1245id","Jogtár megnyitása")</f>
        <v>Jogtár megnyitása</v>
      </c>
    </row>
    <row r="1251" customFormat="false" ht="52" hidden="false" customHeight="true" outlineLevel="0" collapsed="false">
      <c r="A1251" s="15" t="s">
        <v>5093</v>
      </c>
      <c r="B1251" s="15" t="s">
        <v>1299</v>
      </c>
      <c r="C1251" s="15" t="s">
        <v>5094</v>
      </c>
      <c r="D1251" s="15" t="s">
        <v>5095</v>
      </c>
      <c r="E1251" s="16" t="str">
        <f aca="false">HYPERLINK("#'Forrásszöveg'!A"&amp;(MATCH("TV-S1245",Forrásszöveg!$A$6:$A$2497,0)+5),"91. § (2) eleje")</f>
        <v>91. § (2) eleje</v>
      </c>
      <c r="F1251" s="16" t="str">
        <f aca="false">HYPERLINK("https://net.jogtar.hu/jogszabaly?docid=a2400069.tv#pr1246id","Jogtár megnyitása")</f>
        <v>Jogtár megnyitása</v>
      </c>
    </row>
    <row r="1252" customFormat="false" ht="38" hidden="false" customHeight="true" outlineLevel="0" collapsed="false">
      <c r="A1252" s="15" t="s">
        <v>5096</v>
      </c>
      <c r="B1252" s="15" t="s">
        <v>1299</v>
      </c>
      <c r="C1252" s="15" t="s">
        <v>5097</v>
      </c>
      <c r="D1252" s="15" t="s">
        <v>5098</v>
      </c>
      <c r="E1252" s="16" t="str">
        <f aca="false">HYPERLINK("#'Forrásszöveg'!A"&amp;(MATCH("TV-S1245",Forrásszöveg!$A$6:$A$2497,0)+5),"91. § (2) eleje")</f>
        <v>91. § (2) eleje</v>
      </c>
      <c r="F1252" s="16" t="str">
        <f aca="false">HYPERLINK("https://net.jogtar.hu/jogszabaly?docid=a2400069.tv#pr1247id","Jogtár megnyitása")</f>
        <v>Jogtár megnyitása</v>
      </c>
    </row>
    <row r="1253" customFormat="false" ht="52" hidden="false" customHeight="true" outlineLevel="0" collapsed="false">
      <c r="A1253" s="15" t="s">
        <v>5099</v>
      </c>
      <c r="B1253" s="15" t="s">
        <v>1299</v>
      </c>
      <c r="C1253" s="15" t="s">
        <v>5100</v>
      </c>
      <c r="D1253" s="15" t="s">
        <v>5101</v>
      </c>
      <c r="E1253" s="16" t="str">
        <f aca="false">HYPERLINK("#'Forrásszöveg'!A"&amp;(MATCH("TV-S1245",Forrásszöveg!$A$6:$A$2497,0)+5),"91. § (2) eleje")</f>
        <v>91. § (2) eleje</v>
      </c>
      <c r="F1253" s="16" t="str">
        <f aca="false">HYPERLINK("https://net.jogtar.hu/jogszabaly?docid=a2400069.tv#pr1248id","Jogtár megnyitása")</f>
        <v>Jogtár megnyitása</v>
      </c>
    </row>
    <row r="1254" customFormat="false" ht="52" hidden="false" customHeight="true" outlineLevel="0" collapsed="false">
      <c r="A1254" s="15" t="s">
        <v>5102</v>
      </c>
      <c r="B1254" s="15" t="s">
        <v>1299</v>
      </c>
      <c r="C1254" s="15" t="s">
        <v>5103</v>
      </c>
      <c r="D1254" s="15" t="s">
        <v>5104</v>
      </c>
      <c r="E1254" s="16" t="str">
        <f aca="false">HYPERLINK("#'Forrásszöveg'!A"&amp;(MATCH("TV-S1245",Forrásszöveg!$A$6:$A$2497,0)+5),"91. § (2) eleje")</f>
        <v>91. § (2) eleje</v>
      </c>
      <c r="F1254" s="16" t="str">
        <f aca="false">HYPERLINK("https://net.jogtar.hu/jogszabaly?docid=a2400069.tv#pr1249id","Jogtár megnyitása")</f>
        <v>Jogtár megnyitása</v>
      </c>
    </row>
    <row r="1255" customFormat="false" ht="38" hidden="false" customHeight="true" outlineLevel="0" collapsed="false">
      <c r="A1255" s="15" t="s">
        <v>5105</v>
      </c>
      <c r="B1255" s="15" t="s">
        <v>1299</v>
      </c>
      <c r="C1255" s="15" t="s">
        <v>5106</v>
      </c>
      <c r="D1255" s="15" t="s">
        <v>5107</v>
      </c>
      <c r="E1255" s="16" t="str">
        <f aca="false">HYPERLINK("#'Forrásszöveg'!A"&amp;(MATCH("TV-S1245",Forrásszöveg!$A$6:$A$2497,0)+5),"91. § (2) eleje")</f>
        <v>91. § (2) eleje</v>
      </c>
      <c r="F1255" s="16" t="str">
        <f aca="false">HYPERLINK("https://net.jogtar.hu/jogszabaly?docid=a2400069.tv#pr1250id","Jogtár megnyitása")</f>
        <v>Jogtár megnyitása</v>
      </c>
    </row>
    <row r="1256" customFormat="false" ht="34" hidden="false" customHeight="true" outlineLevel="0" collapsed="false">
      <c r="A1256" s="15" t="s">
        <v>5108</v>
      </c>
      <c r="B1256" s="15" t="s">
        <v>1299</v>
      </c>
      <c r="C1256" s="15" t="s">
        <v>5091</v>
      </c>
      <c r="D1256" s="15" t="s">
        <v>5109</v>
      </c>
      <c r="E1256" s="16" t="str">
        <f aca="false">HYPERLINK("#'Forrásszöveg'!A"&amp;(MATCH("TV-S1245",Forrásszöveg!$A$6:$A$2497,0)+5),"91. § (2) eleje")</f>
        <v>91. § (2) eleje</v>
      </c>
      <c r="F1256" s="16" t="str">
        <f aca="false">HYPERLINK("https://net.jogtar.hu/jogszabaly?docid=a2400069.tv#pr1251id","Jogtár megnyitása")</f>
        <v>Jogtár megnyitása</v>
      </c>
    </row>
    <row r="1257" customFormat="false" ht="38" hidden="false" customHeight="true" outlineLevel="0" collapsed="false">
      <c r="A1257" s="15" t="s">
        <v>5110</v>
      </c>
      <c r="B1257" s="15" t="s">
        <v>1299</v>
      </c>
      <c r="C1257" s="15" t="s">
        <v>1461</v>
      </c>
      <c r="D1257" s="15" t="s">
        <v>5111</v>
      </c>
      <c r="E1257" s="16" t="str">
        <f aca="false">HYPERLINK("#'Forrásszöveg'!A"&amp;(MATCH("TV-S1252",Forrásszöveg!$A$6:$A$2497,0)+5),"92. § eleje")</f>
        <v>92. § eleje</v>
      </c>
      <c r="F1257" s="16" t="str">
        <f aca="false">HYPERLINK("https://net.jogtar.hu/jogszabaly?docid=a2400069.tv#pr1252id","Jogtár megnyitása")</f>
        <v>Jogtár megnyitása</v>
      </c>
    </row>
    <row r="1258" customFormat="false" ht="38" hidden="false" customHeight="true" outlineLevel="0" collapsed="false">
      <c r="A1258" s="15" t="s">
        <v>5112</v>
      </c>
      <c r="B1258" s="15" t="s">
        <v>1299</v>
      </c>
      <c r="C1258" s="15" t="s">
        <v>1463</v>
      </c>
      <c r="D1258" s="15" t="s">
        <v>1463</v>
      </c>
      <c r="E1258" s="16" t="str">
        <f aca="false">HYPERLINK("#'Forrásszöveg'!A"&amp;(MATCH("TV-S1252",Forrásszöveg!$A$6:$A$2497,0)+5),"92. § eleje")</f>
        <v>92. § eleje</v>
      </c>
      <c r="F1258" s="16" t="str">
        <f aca="false">HYPERLINK("https://net.jogtar.hu/jogszabaly?docid=a2400069.tv#pr1253id","Jogtár megnyitása")</f>
        <v>Jogtár megnyitása</v>
      </c>
    </row>
    <row r="1259" customFormat="false" ht="34" hidden="false" customHeight="true" outlineLevel="0" collapsed="false">
      <c r="A1259" s="15" t="s">
        <v>5113</v>
      </c>
      <c r="B1259" s="15" t="s">
        <v>1299</v>
      </c>
      <c r="C1259" s="15" t="s">
        <v>1462</v>
      </c>
      <c r="D1259" s="15" t="s">
        <v>1462</v>
      </c>
      <c r="E1259" s="16" t="str">
        <f aca="false">HYPERLINK("#'Forrásszöveg'!A"&amp;(MATCH("TV-S1254",Forrásszöveg!$A$6:$A$2497,0)+5),"93–119. § eleje")</f>
        <v>93–119. § eleje</v>
      </c>
      <c r="F1259" s="16" t="str">
        <f aca="false">HYPERLINK("https://net.jogtar.hu/jogszabaly?docid=a2400069.tv#pr1254id","Jogtár megnyitása")</f>
        <v>Jogtár megnyitása</v>
      </c>
    </row>
    <row r="1260" customFormat="false" ht="34" hidden="false" customHeight="true" outlineLevel="0" collapsed="false">
      <c r="A1260" s="15" t="s">
        <v>5114</v>
      </c>
      <c r="B1260" s="15" t="s">
        <v>1299</v>
      </c>
      <c r="C1260" s="15" t="s">
        <v>5115</v>
      </c>
      <c r="D1260" s="15" t="s">
        <v>5115</v>
      </c>
      <c r="E1260" s="16" t="str">
        <f aca="false">HYPERLINK("#'Forrásszöveg'!A"&amp;(MATCH("TV-S1255",Forrásszöveg!$A$6:$A$2497,0)+5),"120. § (1) eleje")</f>
        <v>120. § (1) eleje</v>
      </c>
      <c r="F1260" s="16" t="str">
        <f aca="false">HYPERLINK("https://net.jogtar.hu/jogszabaly?docid=a2400069.tv#pr1255id","Jogtár megnyitása")</f>
        <v>Jogtár megnyitása</v>
      </c>
    </row>
    <row r="1261" customFormat="false" ht="34" hidden="false" customHeight="true" outlineLevel="0" collapsed="false">
      <c r="A1261" s="15" t="s">
        <v>5116</v>
      </c>
      <c r="B1261" s="15" t="s">
        <v>1299</v>
      </c>
      <c r="C1261" s="15" t="s">
        <v>5117</v>
      </c>
      <c r="D1261" s="15" t="s">
        <v>5118</v>
      </c>
      <c r="E1261" s="16" t="str">
        <f aca="false">HYPERLINK("#'Forrásszöveg'!A"&amp;(MATCH("TV-S1256",Forrásszöveg!$A$6:$A$2497,0)+5),"120. § (2) eleje")</f>
        <v>120. § (2) eleje</v>
      </c>
      <c r="F1261" s="16" t="str">
        <f aca="false">HYPERLINK("https://net.jogtar.hu/jogszabaly?docid=a2400069.tv#pr1256id","Jogtár megnyitása")</f>
        <v>Jogtár megnyitása</v>
      </c>
    </row>
    <row r="1262" customFormat="false" ht="34" hidden="false" customHeight="true" outlineLevel="0" collapsed="false">
      <c r="A1262" s="15" t="s">
        <v>5119</v>
      </c>
      <c r="B1262" s="15" t="s">
        <v>1299</v>
      </c>
      <c r="C1262" s="15" t="s">
        <v>1466</v>
      </c>
      <c r="D1262" s="15" t="s">
        <v>1466</v>
      </c>
      <c r="E1262" s="16" t="str">
        <f aca="false">HYPERLINK("#'Forrásszöveg'!A"&amp;(MATCH("TV-S1257",Forrásszöveg!$A$6:$A$2497,0)+5),"121–131. § eleje")</f>
        <v>121–131. § eleje</v>
      </c>
      <c r="F1262" s="16" t="str">
        <f aca="false">HYPERLINK("https://net.jogtar.hu/jogszabaly?docid=a2400069.tv#pr1257id","Jogtár megnyitása")</f>
        <v>Jogtár megnyitása</v>
      </c>
    </row>
    <row r="1263" customFormat="false" ht="38" hidden="false" customHeight="true" outlineLevel="0" collapsed="false">
      <c r="A1263" s="15" t="s">
        <v>5120</v>
      </c>
      <c r="B1263" s="15" t="s">
        <v>1299</v>
      </c>
      <c r="C1263" s="15" t="s">
        <v>1467</v>
      </c>
      <c r="D1263" s="15" t="s">
        <v>1467</v>
      </c>
      <c r="E1263" s="16" t="str">
        <f aca="false">HYPERLINK("#'Forrásszöveg'!A"&amp;(MATCH("TV-S1258",Forrásszöveg!$A$6:$A$2497,0)+5),"Ez a forráshely")</f>
        <v>Ez a forráshely</v>
      </c>
      <c r="F1263" s="16" t="str">
        <f aca="false">HYPERLINK("https://net.jogtar.hu/jogszabaly?docid=a2400069.tv#pr1258id","Jogtár megnyitása")</f>
        <v>Jogtár megnyitása</v>
      </c>
    </row>
    <row r="1264" customFormat="false" ht="38" hidden="false" customHeight="true" outlineLevel="0" collapsed="false">
      <c r="A1264" s="15" t="s">
        <v>5121</v>
      </c>
      <c r="B1264" s="15" t="s">
        <v>1299</v>
      </c>
      <c r="C1264" s="15" t="s">
        <v>5122</v>
      </c>
      <c r="D1264" s="15" t="s">
        <v>5122</v>
      </c>
      <c r="E1264" s="16" t="str">
        <f aca="false">HYPERLINK("#'Forrásszöveg'!A"&amp;(MATCH("TV-S1259",Forrásszöveg!$A$6:$A$2497,0)+5),"Ez a forráshely")</f>
        <v>Ez a forráshely</v>
      </c>
      <c r="F1264" s="16" t="str">
        <f aca="false">HYPERLINK("https://net.jogtar.hu/jogszabaly?docid=a2400069.tv#pr1259id","Jogtár megnyitása")</f>
        <v>Jogtár megnyitása</v>
      </c>
    </row>
    <row r="1265" customFormat="false" ht="38" hidden="false" customHeight="true" outlineLevel="0" collapsed="false">
      <c r="A1265" s="15" t="s">
        <v>5123</v>
      </c>
      <c r="B1265" s="15" t="s">
        <v>1299</v>
      </c>
      <c r="C1265" s="15" t="s">
        <v>1467</v>
      </c>
      <c r="D1265" s="15" t="s">
        <v>5124</v>
      </c>
      <c r="E1265" s="16" t="str">
        <f aca="false">HYPERLINK("#'Forrásszöveg'!A"&amp;(MATCH("TV-S1260",Forrásszöveg!$A$6:$A$2497,0)+5),"Ez a forráshely")</f>
        <v>Ez a forráshely</v>
      </c>
      <c r="F1265" s="16" t="str">
        <f aca="false">HYPERLINK("https://net.jogtar.hu/jogszabaly?docid=a2400069.tv#pr1260id","Jogtár megnyitása")</f>
        <v>Jogtár megnyitása</v>
      </c>
    </row>
    <row r="1266" customFormat="false" ht="38" hidden="false" customHeight="true" outlineLevel="0" collapsed="false">
      <c r="A1266" s="15" t="s">
        <v>5125</v>
      </c>
      <c r="B1266" s="15" t="s">
        <v>1299</v>
      </c>
      <c r="C1266" s="15" t="s">
        <v>1467</v>
      </c>
      <c r="D1266" s="15" t="s">
        <v>5126</v>
      </c>
      <c r="E1266" s="16" t="str">
        <f aca="false">HYPERLINK("#'Forrásszöveg'!A"&amp;(MATCH("TV-S1261",Forrásszöveg!$A$6:$A$2497,0)+5),"Ez a forráshely")</f>
        <v>Ez a forráshely</v>
      </c>
      <c r="F1266" s="16" t="str">
        <f aca="false">HYPERLINK("https://net.jogtar.hu/jogszabaly?docid=a2400069.tv#pr1261id","Jogtár megnyitása")</f>
        <v>Jogtár megnyitása</v>
      </c>
    </row>
    <row r="1267" customFormat="false" ht="38" hidden="false" customHeight="true" outlineLevel="0" collapsed="false">
      <c r="A1267" s="15" t="s">
        <v>5127</v>
      </c>
      <c r="B1267" s="15" t="s">
        <v>1299</v>
      </c>
      <c r="C1267" s="15" t="s">
        <v>1467</v>
      </c>
      <c r="D1267" s="15" t="s">
        <v>5128</v>
      </c>
      <c r="E1267" s="16" t="str">
        <f aca="false">HYPERLINK("#'Forrásszöveg'!A"&amp;(MATCH("TV-S1262",Forrásszöveg!$A$6:$A$2497,0)+5),"Ez a forráshely")</f>
        <v>Ez a forráshely</v>
      </c>
      <c r="F1267" s="16" t="str">
        <f aca="false">HYPERLINK("https://net.jogtar.hu/jogszabaly?docid=a2400069.tv#pr1262id","Jogtár megnyitása")</f>
        <v>Jogtár megnyitása</v>
      </c>
    </row>
    <row r="1268" customFormat="false" ht="38" hidden="false" customHeight="true" outlineLevel="0" collapsed="false">
      <c r="A1268" s="15" t="s">
        <v>5129</v>
      </c>
      <c r="B1268" s="15" t="s">
        <v>1299</v>
      </c>
      <c r="C1268" s="15" t="s">
        <v>1467</v>
      </c>
      <c r="D1268" s="15" t="s">
        <v>5130</v>
      </c>
      <c r="E1268" s="16" t="str">
        <f aca="false">HYPERLINK("#'Forrásszöveg'!A"&amp;(MATCH("TV-S1263",Forrásszöveg!$A$6:$A$2497,0)+5),"Ez a forráshely")</f>
        <v>Ez a forráshely</v>
      </c>
      <c r="F1268" s="16" t="str">
        <f aca="false">HYPERLINK("https://net.jogtar.hu/jogszabaly?docid=a2400069.tv#pr1263id","Jogtár megnyitása")</f>
        <v>Jogtár megnyitása</v>
      </c>
    </row>
    <row r="1269" customFormat="false" ht="38" hidden="false" customHeight="true" outlineLevel="0" collapsed="false">
      <c r="A1269" s="15" t="s">
        <v>5131</v>
      </c>
      <c r="B1269" s="15" t="s">
        <v>1299</v>
      </c>
      <c r="C1269" s="15" t="s">
        <v>1467</v>
      </c>
      <c r="D1269" s="15" t="s">
        <v>5132</v>
      </c>
      <c r="E1269" s="16" t="str">
        <f aca="false">HYPERLINK("#'Forrásszöveg'!A"&amp;(MATCH("TV-S1264",Forrásszöveg!$A$6:$A$2497,0)+5),"Ez a forráshely")</f>
        <v>Ez a forráshely</v>
      </c>
      <c r="F1269" s="16" t="str">
        <f aca="false">HYPERLINK("https://net.jogtar.hu/jogszabaly?docid=a2400069.tv#pr1264id","Jogtár megnyitása")</f>
        <v>Jogtár megnyitása</v>
      </c>
    </row>
    <row r="1270" customFormat="false" ht="38" hidden="false" customHeight="true" outlineLevel="0" collapsed="false">
      <c r="A1270" s="15" t="s">
        <v>5133</v>
      </c>
      <c r="B1270" s="15" t="s">
        <v>1299</v>
      </c>
      <c r="C1270" s="15" t="s">
        <v>1467</v>
      </c>
      <c r="D1270" s="15" t="s">
        <v>5134</v>
      </c>
      <c r="E1270" s="16" t="str">
        <f aca="false">HYPERLINK("#'Forrásszöveg'!A"&amp;(MATCH("TV-S1265",Forrásszöveg!$A$6:$A$2497,0)+5),"Ez a forráshely")</f>
        <v>Ez a forráshely</v>
      </c>
      <c r="F1270" s="16" t="str">
        <f aca="false">HYPERLINK("https://net.jogtar.hu/jogszabaly?docid=a2400069.tv#pr1265id","Jogtár megnyitása")</f>
        <v>Jogtár megnyitása</v>
      </c>
    </row>
    <row r="1271" customFormat="false" ht="38" hidden="false" customHeight="true" outlineLevel="0" collapsed="false">
      <c r="A1271" s="15" t="s">
        <v>5135</v>
      </c>
      <c r="B1271" s="15" t="s">
        <v>1299</v>
      </c>
      <c r="C1271" s="15" t="s">
        <v>1467</v>
      </c>
      <c r="D1271" s="15" t="s">
        <v>5136</v>
      </c>
      <c r="E1271" s="16" t="str">
        <f aca="false">HYPERLINK("#'Forrásszöveg'!A"&amp;(MATCH("TV-S1266",Forrásszöveg!$A$6:$A$2497,0)+5),"Ez a forráshely")</f>
        <v>Ez a forráshely</v>
      </c>
      <c r="F1271" s="16" t="str">
        <f aca="false">HYPERLINK("https://net.jogtar.hu/jogszabaly?docid=a2400069.tv#pr1266id","Jogtár megnyitása")</f>
        <v>Jogtár megnyitása</v>
      </c>
    </row>
    <row r="1272" customFormat="false" ht="38" hidden="false" customHeight="true" outlineLevel="0" collapsed="false">
      <c r="A1272" s="15" t="s">
        <v>5137</v>
      </c>
      <c r="B1272" s="15" t="s">
        <v>1299</v>
      </c>
      <c r="C1272" s="15" t="s">
        <v>1467</v>
      </c>
      <c r="D1272" s="15" t="s">
        <v>5138</v>
      </c>
      <c r="E1272" s="16" t="str">
        <f aca="false">HYPERLINK("#'Forrásszöveg'!A"&amp;(MATCH("TV-S1267",Forrásszöveg!$A$6:$A$2497,0)+5),"Ez a forráshely")</f>
        <v>Ez a forráshely</v>
      </c>
      <c r="F1272" s="16" t="str">
        <f aca="false">HYPERLINK("https://net.jogtar.hu/jogszabaly?docid=a2400069.tv#pr1267id","Jogtár megnyitása")</f>
        <v>Jogtár megnyitása</v>
      </c>
    </row>
    <row r="1273" customFormat="false" ht="38" hidden="false" customHeight="true" outlineLevel="0" collapsed="false">
      <c r="A1273" s="15" t="s">
        <v>5139</v>
      </c>
      <c r="B1273" s="15" t="s">
        <v>1299</v>
      </c>
      <c r="C1273" s="15" t="s">
        <v>1467</v>
      </c>
      <c r="D1273" s="15" t="s">
        <v>5140</v>
      </c>
      <c r="E1273" s="16" t="str">
        <f aca="false">HYPERLINK("#'Forrásszöveg'!A"&amp;(MATCH("TV-S1268",Forrásszöveg!$A$6:$A$2497,0)+5),"Ez a forráshely")</f>
        <v>Ez a forráshely</v>
      </c>
      <c r="F1273" s="16" t="str">
        <f aca="false">HYPERLINK("https://net.jogtar.hu/jogszabaly?docid=a2400069.tv#pr1268id","Jogtár megnyitása")</f>
        <v>Jogtár megnyitása</v>
      </c>
    </row>
    <row r="1274" customFormat="false" ht="38" hidden="false" customHeight="true" outlineLevel="0" collapsed="false">
      <c r="A1274" s="15" t="s">
        <v>5141</v>
      </c>
      <c r="B1274" s="15" t="s">
        <v>1299</v>
      </c>
      <c r="C1274" s="15" t="s">
        <v>1467</v>
      </c>
      <c r="D1274" s="15" t="s">
        <v>5142</v>
      </c>
      <c r="E1274" s="16" t="str">
        <f aca="false">HYPERLINK("#'Forrásszöveg'!A"&amp;(MATCH("TV-S1269",Forrásszöveg!$A$6:$A$2497,0)+5),"Ez a forráshely")</f>
        <v>Ez a forráshely</v>
      </c>
      <c r="F1274" s="16" t="str">
        <f aca="false">HYPERLINK("https://net.jogtar.hu/jogszabaly?docid=a2400069.tv#pr1269id","Jogtár megnyitása")</f>
        <v>Jogtár megnyitása</v>
      </c>
    </row>
    <row r="1275" customFormat="false" ht="38" hidden="false" customHeight="true" outlineLevel="0" collapsed="false">
      <c r="A1275" s="15" t="s">
        <v>5143</v>
      </c>
      <c r="B1275" s="15" t="s">
        <v>1299</v>
      </c>
      <c r="C1275" s="15" t="s">
        <v>1467</v>
      </c>
      <c r="D1275" s="15" t="s">
        <v>5144</v>
      </c>
      <c r="E1275" s="16" t="str">
        <f aca="false">HYPERLINK("#'Forrásszöveg'!A"&amp;(MATCH("TV-S1270",Forrásszöveg!$A$6:$A$2497,0)+5),"Ez a forráshely")</f>
        <v>Ez a forráshely</v>
      </c>
      <c r="F1275" s="16" t="str">
        <f aca="false">HYPERLINK("https://net.jogtar.hu/jogszabaly?docid=a2400069.tv#pr1270id","Jogtár megnyitása")</f>
        <v>Jogtár megnyitása</v>
      </c>
    </row>
    <row r="1276" customFormat="false" ht="38" hidden="false" customHeight="true" outlineLevel="0" collapsed="false">
      <c r="A1276" s="15" t="s">
        <v>5145</v>
      </c>
      <c r="B1276" s="15" t="s">
        <v>1299</v>
      </c>
      <c r="C1276" s="15" t="s">
        <v>1467</v>
      </c>
      <c r="D1276" s="15" t="s">
        <v>5146</v>
      </c>
      <c r="E1276" s="16" t="str">
        <f aca="false">HYPERLINK("#'Forrásszöveg'!A"&amp;(MATCH("TV-S1271",Forrásszöveg!$A$6:$A$2497,0)+5),"Ez a forráshely")</f>
        <v>Ez a forráshely</v>
      </c>
      <c r="F1276" s="16" t="str">
        <f aca="false">HYPERLINK("https://net.jogtar.hu/jogszabaly?docid=a2400069.tv#pr1271id","Jogtár megnyitása")</f>
        <v>Jogtár megnyitása</v>
      </c>
    </row>
    <row r="1277" customFormat="false" ht="38" hidden="false" customHeight="true" outlineLevel="0" collapsed="false">
      <c r="A1277" s="15" t="s">
        <v>5147</v>
      </c>
      <c r="B1277" s="15" t="s">
        <v>1299</v>
      </c>
      <c r="C1277" s="15" t="s">
        <v>1467</v>
      </c>
      <c r="D1277" s="15" t="s">
        <v>5148</v>
      </c>
      <c r="E1277" s="16" t="str">
        <f aca="false">HYPERLINK("#'Forrásszöveg'!A"&amp;(MATCH("TV-S1272",Forrásszöveg!$A$6:$A$2497,0)+5),"Ez a forráshely")</f>
        <v>Ez a forráshely</v>
      </c>
      <c r="F1277" s="16" t="str">
        <f aca="false">HYPERLINK("https://net.jogtar.hu/jogszabaly?docid=a2400069.tv#pr1272id","Jogtár megnyitása")</f>
        <v>Jogtár megnyitása</v>
      </c>
    </row>
    <row r="1278" customFormat="false" ht="38" hidden="false" customHeight="true" outlineLevel="0" collapsed="false">
      <c r="A1278" s="15" t="s">
        <v>5149</v>
      </c>
      <c r="B1278" s="15" t="s">
        <v>1299</v>
      </c>
      <c r="C1278" s="15" t="s">
        <v>1467</v>
      </c>
      <c r="D1278" s="15" t="s">
        <v>5150</v>
      </c>
      <c r="E1278" s="16" t="str">
        <f aca="false">HYPERLINK("#'Forrásszöveg'!A"&amp;(MATCH("TV-S1273",Forrásszöveg!$A$6:$A$2497,0)+5),"Ez a forráshely")</f>
        <v>Ez a forráshely</v>
      </c>
      <c r="F1278" s="16" t="str">
        <f aca="false">HYPERLINK("https://net.jogtar.hu/jogszabaly?docid=a2400069.tv#pr1273id","Jogtár megnyitása")</f>
        <v>Jogtár megnyitása</v>
      </c>
    </row>
    <row r="1279" customFormat="false" ht="38" hidden="false" customHeight="true" outlineLevel="0" collapsed="false">
      <c r="A1279" s="15" t="s">
        <v>5151</v>
      </c>
      <c r="B1279" s="15" t="s">
        <v>1299</v>
      </c>
      <c r="C1279" s="15" t="s">
        <v>1467</v>
      </c>
      <c r="D1279" s="15" t="s">
        <v>5152</v>
      </c>
      <c r="E1279" s="16" t="str">
        <f aca="false">HYPERLINK("#'Forrásszöveg'!A"&amp;(MATCH("TV-S1274",Forrásszöveg!$A$6:$A$2497,0)+5),"Ez a forráshely")</f>
        <v>Ez a forráshely</v>
      </c>
      <c r="F1279" s="16" t="str">
        <f aca="false">HYPERLINK("https://net.jogtar.hu/jogszabaly?docid=a2400069.tv#pr1274id","Jogtár megnyitása")</f>
        <v>Jogtár megnyitása</v>
      </c>
    </row>
    <row r="1280" customFormat="false" ht="38" hidden="false" customHeight="true" outlineLevel="0" collapsed="false">
      <c r="A1280" s="15" t="s">
        <v>5153</v>
      </c>
      <c r="B1280" s="15" t="s">
        <v>1299</v>
      </c>
      <c r="C1280" s="15" t="s">
        <v>1467</v>
      </c>
      <c r="D1280" s="15" t="s">
        <v>5154</v>
      </c>
      <c r="E1280" s="16" t="str">
        <f aca="false">HYPERLINK("#'Forrásszöveg'!A"&amp;(MATCH("TV-S1275",Forrásszöveg!$A$6:$A$2497,0)+5),"Ez a forráshely")</f>
        <v>Ez a forráshely</v>
      </c>
      <c r="F1280" s="16" t="str">
        <f aca="false">HYPERLINK("https://net.jogtar.hu/jogszabaly?docid=a2400069.tv#pr1275id","Jogtár megnyitása")</f>
        <v>Jogtár megnyitása</v>
      </c>
    </row>
    <row r="1281" customFormat="false" ht="38" hidden="false" customHeight="true" outlineLevel="0" collapsed="false">
      <c r="A1281" s="15" t="s">
        <v>5155</v>
      </c>
      <c r="B1281" s="15" t="s">
        <v>1299</v>
      </c>
      <c r="C1281" s="15" t="s">
        <v>1467</v>
      </c>
      <c r="D1281" s="15" t="s">
        <v>5156</v>
      </c>
      <c r="E1281" s="16" t="str">
        <f aca="false">HYPERLINK("#'Forrásszöveg'!A"&amp;(MATCH("TV-S1276",Forrásszöveg!$A$6:$A$2497,0)+5),"Ez a forráshely")</f>
        <v>Ez a forráshely</v>
      </c>
      <c r="F1281" s="16" t="str">
        <f aca="false">HYPERLINK("https://net.jogtar.hu/jogszabaly?docid=a2400069.tv#pr1276id","Jogtár megnyitása")</f>
        <v>Jogtár megnyitása</v>
      </c>
    </row>
    <row r="1282" customFormat="false" ht="38" hidden="false" customHeight="true" outlineLevel="0" collapsed="false">
      <c r="A1282" s="15" t="s">
        <v>5157</v>
      </c>
      <c r="B1282" s="15" t="s">
        <v>1299</v>
      </c>
      <c r="C1282" s="15" t="s">
        <v>1469</v>
      </c>
      <c r="D1282" s="15" t="s">
        <v>1469</v>
      </c>
      <c r="E1282" s="16" t="str">
        <f aca="false">HYPERLINK("#'Forrásszöveg'!A"&amp;(MATCH("TV-S1277",Forrásszöveg!$A$6:$A$2497,0)+5),"Ez a forráshely")</f>
        <v>Ez a forráshely</v>
      </c>
      <c r="F1282" s="16" t="str">
        <f aca="false">HYPERLINK("https://net.jogtar.hu/jogszabaly?docid=a2400069.tv#pr1277id","Jogtár megnyitása")</f>
        <v>Jogtár megnyitása</v>
      </c>
    </row>
    <row r="1283" customFormat="false" ht="52" hidden="false" customHeight="true" outlineLevel="0" collapsed="false">
      <c r="A1283" s="15" t="s">
        <v>5158</v>
      </c>
      <c r="B1283" s="15" t="s">
        <v>1299</v>
      </c>
      <c r="C1283" s="15" t="s">
        <v>5159</v>
      </c>
      <c r="D1283" s="15" t="s">
        <v>5159</v>
      </c>
      <c r="E1283" s="16" t="str">
        <f aca="false">HYPERLINK("#'Forrásszöveg'!A"&amp;(MATCH("TV-S1278",Forrásszöveg!$A$6:$A$2497,0)+5),"Ez a forráshely")</f>
        <v>Ez a forráshely</v>
      </c>
      <c r="F1283" s="16" t="str">
        <f aca="false">HYPERLINK("https://net.jogtar.hu/jogszabaly?docid=a2400069.tv#pr1278id","Jogtár megnyitása")</f>
        <v>Jogtár megnyitása</v>
      </c>
    </row>
    <row r="1284" customFormat="false" ht="52" hidden="false" customHeight="true" outlineLevel="0" collapsed="false">
      <c r="A1284" s="15" t="s">
        <v>5160</v>
      </c>
      <c r="B1284" s="15" t="s">
        <v>1299</v>
      </c>
      <c r="C1284" s="15" t="s">
        <v>5161</v>
      </c>
      <c r="D1284" s="15" t="s">
        <v>5162</v>
      </c>
      <c r="E1284" s="16" t="str">
        <f aca="false">HYPERLINK("#'Forrásszöveg'!A"&amp;(MATCH("TV-S1279",Forrásszöveg!$A$6:$A$2497,0)+5),"Ez a forráshely")</f>
        <v>Ez a forráshely</v>
      </c>
      <c r="F1284" s="16" t="str">
        <f aca="false">HYPERLINK("https://net.jogtar.hu/jogszabaly?docid=a2400069.tv#pr1279id","Jogtár megnyitása")</f>
        <v>Jogtár megnyitása</v>
      </c>
    </row>
    <row r="1285" customFormat="false" ht="38" hidden="false" customHeight="true" outlineLevel="0" collapsed="false">
      <c r="A1285" s="15" t="s">
        <v>5163</v>
      </c>
      <c r="B1285" s="15" t="s">
        <v>1299</v>
      </c>
      <c r="C1285" s="15" t="s">
        <v>5164</v>
      </c>
      <c r="D1285" s="15" t="s">
        <v>5165</v>
      </c>
      <c r="E1285" s="16" t="str">
        <f aca="false">HYPERLINK("#'Forrásszöveg'!A"&amp;(MATCH("TV-S1280",Forrásszöveg!$A$6:$A$2497,0)+5),"Ez a forráshely")</f>
        <v>Ez a forráshely</v>
      </c>
      <c r="F1285" s="16" t="str">
        <f aca="false">HYPERLINK("https://net.jogtar.hu/jogszabaly?docid=a2400069.tv#pr1280id","Jogtár megnyitása")</f>
        <v>Jogtár megnyitása</v>
      </c>
    </row>
    <row r="1286" customFormat="false" ht="38" hidden="false" customHeight="true" outlineLevel="0" collapsed="false">
      <c r="A1286" s="15" t="s">
        <v>5166</v>
      </c>
      <c r="B1286" s="15" t="s">
        <v>1299</v>
      </c>
      <c r="C1286" s="15" t="s">
        <v>5167</v>
      </c>
      <c r="D1286" s="15" t="s">
        <v>5168</v>
      </c>
      <c r="E1286" s="16" t="str">
        <f aca="false">HYPERLINK("#'Forrásszöveg'!A"&amp;(MATCH("TV-S1281",Forrásszöveg!$A$6:$A$2497,0)+5),"Ez a forráshely")</f>
        <v>Ez a forráshely</v>
      </c>
      <c r="F1286" s="16" t="str">
        <f aca="false">HYPERLINK("https://net.jogtar.hu/jogszabaly?docid=a2400069.tv#pr1281id","Jogtár megnyitása")</f>
        <v>Jogtár megnyitása</v>
      </c>
    </row>
    <row r="1287" customFormat="false" ht="38" hidden="false" customHeight="true" outlineLevel="0" collapsed="false">
      <c r="A1287" s="15" t="s">
        <v>5169</v>
      </c>
      <c r="B1287" s="15" t="s">
        <v>1299</v>
      </c>
      <c r="C1287" s="15" t="s">
        <v>5170</v>
      </c>
      <c r="D1287" s="15" t="s">
        <v>5171</v>
      </c>
      <c r="E1287" s="16" t="str">
        <f aca="false">HYPERLINK("#'Forrásszöveg'!A"&amp;(MATCH("TV-S1282",Forrásszöveg!$A$6:$A$2497,0)+5),"Ez a forráshely")</f>
        <v>Ez a forráshely</v>
      </c>
      <c r="F1287" s="16" t="str">
        <f aca="false">HYPERLINK("https://net.jogtar.hu/jogszabaly?docid=a2400069.tv#pr1282id","Jogtár megnyitása")</f>
        <v>Jogtár megnyitása</v>
      </c>
    </row>
    <row r="1288" customFormat="false" ht="38" hidden="false" customHeight="true" outlineLevel="0" collapsed="false">
      <c r="A1288" s="15" t="s">
        <v>5172</v>
      </c>
      <c r="B1288" s="15" t="s">
        <v>1299</v>
      </c>
      <c r="C1288" s="15" t="s">
        <v>5173</v>
      </c>
      <c r="D1288" s="15" t="s">
        <v>5174</v>
      </c>
      <c r="E1288" s="16" t="str">
        <f aca="false">HYPERLINK("#'Forrásszöveg'!A"&amp;(MATCH("TV-S1283",Forrásszöveg!$A$6:$A$2497,0)+5),"Ez a forráshely")</f>
        <v>Ez a forráshely</v>
      </c>
      <c r="F1288" s="16" t="str">
        <f aca="false">HYPERLINK("https://net.jogtar.hu/jogszabaly?docid=a2400069.tv#pr1283id","Jogtár megnyitása")</f>
        <v>Jogtár megnyitása</v>
      </c>
    </row>
    <row r="1289" customFormat="false" ht="38" hidden="false" customHeight="true" outlineLevel="0" collapsed="false">
      <c r="A1289" s="15" t="s">
        <v>5175</v>
      </c>
      <c r="B1289" s="15" t="s">
        <v>1299</v>
      </c>
      <c r="C1289" s="15" t="s">
        <v>5176</v>
      </c>
      <c r="D1289" s="15" t="s">
        <v>5177</v>
      </c>
      <c r="E1289" s="16" t="str">
        <f aca="false">HYPERLINK("#'Forrásszöveg'!A"&amp;(MATCH("TV-S1284",Forrásszöveg!$A$6:$A$2497,0)+5),"Ez a forráshely")</f>
        <v>Ez a forráshely</v>
      </c>
      <c r="F1289" s="16" t="str">
        <f aca="false">HYPERLINK("https://net.jogtar.hu/jogszabaly?docid=a2400069.tv#pr1284id","Jogtár megnyitása")</f>
        <v>Jogtár megnyitása</v>
      </c>
    </row>
    <row r="1290" customFormat="false" ht="52" hidden="false" customHeight="true" outlineLevel="0" collapsed="false">
      <c r="A1290" s="15" t="s">
        <v>5178</v>
      </c>
      <c r="B1290" s="15" t="s">
        <v>1299</v>
      </c>
      <c r="C1290" s="15" t="s">
        <v>5179</v>
      </c>
      <c r="D1290" s="15" t="s">
        <v>5180</v>
      </c>
      <c r="E1290" s="16" t="str">
        <f aca="false">HYPERLINK("#'Forrásszöveg'!A"&amp;(MATCH("TV-S1285",Forrásszöveg!$A$6:$A$2497,0)+5),"Ez a forráshely")</f>
        <v>Ez a forráshely</v>
      </c>
      <c r="F1290" s="16" t="str">
        <f aca="false">HYPERLINK("https://net.jogtar.hu/jogszabaly?docid=a2400069.tv#pr1285id","Jogtár megnyitása")</f>
        <v>Jogtár megnyitása</v>
      </c>
    </row>
    <row r="1291" customFormat="false" ht="38" hidden="false" customHeight="true" outlineLevel="0" collapsed="false">
      <c r="A1291" s="15" t="s">
        <v>5181</v>
      </c>
      <c r="B1291" s="15" t="s">
        <v>1299</v>
      </c>
      <c r="C1291" s="15" t="s">
        <v>5182</v>
      </c>
      <c r="D1291" s="15" t="s">
        <v>5183</v>
      </c>
      <c r="E1291" s="16" t="str">
        <f aca="false">HYPERLINK("#'Forrásszöveg'!A"&amp;(MATCH("TV-S1286",Forrásszöveg!$A$6:$A$2497,0)+5),"Ez a forráshely")</f>
        <v>Ez a forráshely</v>
      </c>
      <c r="F1291" s="16" t="str">
        <f aca="false">HYPERLINK("https://net.jogtar.hu/jogszabaly?docid=a2400069.tv#pr1286id","Jogtár megnyitása")</f>
        <v>Jogtár megnyitása</v>
      </c>
    </row>
    <row r="1292" customFormat="false" ht="52" hidden="false" customHeight="true" outlineLevel="0" collapsed="false">
      <c r="A1292" s="15" t="s">
        <v>5184</v>
      </c>
      <c r="B1292" s="15" t="s">
        <v>1299</v>
      </c>
      <c r="C1292" s="15" t="s">
        <v>5185</v>
      </c>
      <c r="D1292" s="15" t="s">
        <v>5186</v>
      </c>
      <c r="E1292" s="16" t="str">
        <f aca="false">HYPERLINK("#'Forrásszöveg'!A"&amp;(MATCH("TV-S1287",Forrásszöveg!$A$6:$A$2497,0)+5),"Ez a forráshely")</f>
        <v>Ez a forráshely</v>
      </c>
      <c r="F1292" s="16" t="str">
        <f aca="false">HYPERLINK("https://net.jogtar.hu/jogszabaly?docid=a2400069.tv#pr1287id","Jogtár megnyitása")</f>
        <v>Jogtár megnyitása</v>
      </c>
    </row>
    <row r="1293" customFormat="false" ht="66" hidden="false" customHeight="true" outlineLevel="0" collapsed="false">
      <c r="A1293" s="15" t="s">
        <v>5187</v>
      </c>
      <c r="B1293" s="15" t="s">
        <v>1299</v>
      </c>
      <c r="C1293" s="15" t="s">
        <v>5188</v>
      </c>
      <c r="D1293" s="15" t="s">
        <v>5189</v>
      </c>
      <c r="E1293" s="16" t="str">
        <f aca="false">HYPERLINK("#'Forrásszöveg'!A"&amp;(MATCH("TV-S1288",Forrásszöveg!$A$6:$A$2497,0)+5),"Ez a forráshely")</f>
        <v>Ez a forráshely</v>
      </c>
      <c r="F1293" s="16" t="str">
        <f aca="false">HYPERLINK("https://net.jogtar.hu/jogszabaly?docid=a2400069.tv#pr1288id","Jogtár megnyitása")</f>
        <v>Jogtár megnyitása</v>
      </c>
    </row>
    <row r="1294" customFormat="false" ht="52" hidden="false" customHeight="true" outlineLevel="0" collapsed="false">
      <c r="A1294" s="15" t="s">
        <v>5190</v>
      </c>
      <c r="B1294" s="15" t="s">
        <v>1299</v>
      </c>
      <c r="C1294" s="15" t="s">
        <v>5191</v>
      </c>
      <c r="D1294" s="15" t="s">
        <v>5192</v>
      </c>
      <c r="E1294" s="16" t="str">
        <f aca="false">HYPERLINK("#'Forrásszöveg'!A"&amp;(MATCH("TV-S1289",Forrásszöveg!$A$6:$A$2497,0)+5),"Ez a forráshely")</f>
        <v>Ez a forráshely</v>
      </c>
      <c r="F1294" s="16" t="str">
        <f aca="false">HYPERLINK("https://net.jogtar.hu/jogszabaly?docid=a2400069.tv#pr1289id","Jogtár megnyitása")</f>
        <v>Jogtár megnyitása</v>
      </c>
    </row>
    <row r="1295" customFormat="false" ht="38" hidden="false" customHeight="true" outlineLevel="0" collapsed="false">
      <c r="A1295" s="15" t="s">
        <v>5193</v>
      </c>
      <c r="B1295" s="15" t="s">
        <v>1299</v>
      </c>
      <c r="C1295" s="15" t="s">
        <v>5194</v>
      </c>
      <c r="D1295" s="15" t="s">
        <v>5195</v>
      </c>
      <c r="E1295" s="16" t="str">
        <f aca="false">HYPERLINK("#'Forrásszöveg'!A"&amp;(MATCH("TV-S1290",Forrásszöveg!$A$6:$A$2497,0)+5),"Ez a forráshely")</f>
        <v>Ez a forráshely</v>
      </c>
      <c r="F1295" s="16" t="str">
        <f aca="false">HYPERLINK("https://net.jogtar.hu/jogszabaly?docid=a2400069.tv#pr1290id","Jogtár megnyitása")</f>
        <v>Jogtár megnyitása</v>
      </c>
    </row>
    <row r="1296" customFormat="false" ht="52" hidden="false" customHeight="true" outlineLevel="0" collapsed="false">
      <c r="A1296" s="15" t="s">
        <v>5196</v>
      </c>
      <c r="B1296" s="15" t="s">
        <v>1299</v>
      </c>
      <c r="C1296" s="15" t="s">
        <v>5197</v>
      </c>
      <c r="D1296" s="15" t="s">
        <v>5198</v>
      </c>
      <c r="E1296" s="16" t="str">
        <f aca="false">HYPERLINK("#'Forrásszöveg'!A"&amp;(MATCH("TV-S1291",Forrásszöveg!$A$6:$A$2497,0)+5),"Ez a forráshely")</f>
        <v>Ez a forráshely</v>
      </c>
      <c r="F1296" s="16" t="str">
        <f aca="false">HYPERLINK("https://net.jogtar.hu/jogszabaly?docid=a2400069.tv#pr1291id","Jogtár megnyitása")</f>
        <v>Jogtár megnyitása</v>
      </c>
    </row>
    <row r="1297" customFormat="false" ht="80" hidden="false" customHeight="true" outlineLevel="0" collapsed="false">
      <c r="A1297" s="15" t="s">
        <v>5199</v>
      </c>
      <c r="B1297" s="15" t="s">
        <v>1299</v>
      </c>
      <c r="C1297" s="15" t="s">
        <v>5200</v>
      </c>
      <c r="D1297" s="15" t="s">
        <v>5201</v>
      </c>
      <c r="E1297" s="16" t="str">
        <f aca="false">HYPERLINK("#'Forrásszöveg'!A"&amp;(MATCH("TV-S1292",Forrásszöveg!$A$6:$A$2497,0)+5),"Ez a forráshely")</f>
        <v>Ez a forráshely</v>
      </c>
      <c r="F1297" s="16" t="str">
        <f aca="false">HYPERLINK("https://net.jogtar.hu/jogszabaly?docid=a2400069.tv#pr1292id","Jogtár megnyitása")</f>
        <v>Jogtár megnyitása</v>
      </c>
    </row>
    <row r="1298" customFormat="false" ht="38" hidden="false" customHeight="true" outlineLevel="0" collapsed="false">
      <c r="A1298" s="15" t="s">
        <v>5202</v>
      </c>
      <c r="B1298" s="15" t="s">
        <v>1299</v>
      </c>
      <c r="C1298" s="15" t="s">
        <v>5203</v>
      </c>
      <c r="D1298" s="15" t="s">
        <v>5204</v>
      </c>
      <c r="E1298" s="16" t="str">
        <f aca="false">HYPERLINK("#'Forrásszöveg'!A"&amp;(MATCH("TV-S1293",Forrásszöveg!$A$6:$A$2497,0)+5),"Ez a forráshely")</f>
        <v>Ez a forráshely</v>
      </c>
      <c r="F1298" s="16" t="str">
        <f aca="false">HYPERLINK("https://net.jogtar.hu/jogszabaly?docid=a2400069.tv#pr1293id","Jogtár megnyitása")</f>
        <v>Jogtár megnyitása</v>
      </c>
    </row>
    <row r="1299" customFormat="false" ht="38" hidden="false" customHeight="true" outlineLevel="0" collapsed="false">
      <c r="A1299" s="15" t="s">
        <v>5205</v>
      </c>
      <c r="B1299" s="15" t="s">
        <v>1299</v>
      </c>
      <c r="C1299" s="15" t="s">
        <v>5206</v>
      </c>
      <c r="D1299" s="15" t="s">
        <v>5207</v>
      </c>
      <c r="E1299" s="16" t="str">
        <f aca="false">HYPERLINK("#'Forrásszöveg'!A"&amp;(MATCH("TV-S1294",Forrásszöveg!$A$6:$A$2497,0)+5),"Ez a forráshely")</f>
        <v>Ez a forráshely</v>
      </c>
      <c r="F1299" s="16" t="str">
        <f aca="false">HYPERLINK("https://net.jogtar.hu/jogszabaly?docid=a2400069.tv#pr1294id","Jogtár megnyitása")</f>
        <v>Jogtár megnyitása</v>
      </c>
    </row>
    <row r="1300" customFormat="false" ht="38" hidden="false" customHeight="true" outlineLevel="0" collapsed="false">
      <c r="A1300" s="15" t="s">
        <v>5208</v>
      </c>
      <c r="B1300" s="15" t="s">
        <v>1299</v>
      </c>
      <c r="C1300" s="15" t="s">
        <v>5209</v>
      </c>
      <c r="D1300" s="15" t="s">
        <v>5210</v>
      </c>
      <c r="E1300" s="16" t="str">
        <f aca="false">HYPERLINK("#'Forrásszöveg'!A"&amp;(MATCH("TV-S1295",Forrásszöveg!$A$6:$A$2497,0)+5),"Ez a forráshely")</f>
        <v>Ez a forráshely</v>
      </c>
      <c r="F1300" s="16" t="str">
        <f aca="false">HYPERLINK("https://net.jogtar.hu/jogszabaly?docid=a2400069.tv#pr1295id","Jogtár megnyitása")</f>
        <v>Jogtár megnyitása</v>
      </c>
    </row>
    <row r="1301" customFormat="false" ht="38" hidden="false" customHeight="true" outlineLevel="0" collapsed="false">
      <c r="A1301" s="15" t="s">
        <v>5211</v>
      </c>
      <c r="B1301" s="15" t="s">
        <v>1299</v>
      </c>
      <c r="C1301" s="15" t="s">
        <v>5212</v>
      </c>
      <c r="D1301" s="15" t="s">
        <v>5213</v>
      </c>
      <c r="E1301" s="16" t="str">
        <f aca="false">HYPERLINK("#'Forrásszöveg'!A"&amp;(MATCH("TV-S1296",Forrásszöveg!$A$6:$A$2497,0)+5),"Ez a forráshely")</f>
        <v>Ez a forráshely</v>
      </c>
      <c r="F1301" s="16" t="str">
        <f aca="false">HYPERLINK("https://net.jogtar.hu/jogszabaly?docid=a2400069.tv#pr1296id","Jogtár megnyitása")</f>
        <v>Jogtár megnyitása</v>
      </c>
    </row>
    <row r="1302" customFormat="false" ht="38" hidden="false" customHeight="true" outlineLevel="0" collapsed="false">
      <c r="A1302" s="15" t="s">
        <v>5214</v>
      </c>
      <c r="B1302" s="15" t="s">
        <v>1299</v>
      </c>
      <c r="C1302" s="15" t="s">
        <v>5215</v>
      </c>
      <c r="D1302" s="15" t="s">
        <v>5216</v>
      </c>
      <c r="E1302" s="16" t="str">
        <f aca="false">HYPERLINK("#'Forrásszöveg'!A"&amp;(MATCH("TV-S1297",Forrásszöveg!$A$6:$A$2497,0)+5),"Ez a forráshely")</f>
        <v>Ez a forráshely</v>
      </c>
      <c r="F1302" s="16" t="str">
        <f aca="false">HYPERLINK("https://net.jogtar.hu/jogszabaly?docid=a2400069.tv#pr1297id","Jogtár megnyitása")</f>
        <v>Jogtár megnyitása</v>
      </c>
    </row>
    <row r="1303" customFormat="false" ht="38" hidden="false" customHeight="true" outlineLevel="0" collapsed="false">
      <c r="A1303" s="15" t="s">
        <v>5217</v>
      </c>
      <c r="B1303" s="15" t="s">
        <v>1299</v>
      </c>
      <c r="C1303" s="15" t="s">
        <v>5218</v>
      </c>
      <c r="D1303" s="15" t="s">
        <v>5219</v>
      </c>
      <c r="E1303" s="16" t="str">
        <f aca="false">HYPERLINK("#'Forrásszöveg'!A"&amp;(MATCH("TV-S1298",Forrásszöveg!$A$6:$A$2497,0)+5),"Ez a forráshely")</f>
        <v>Ez a forráshely</v>
      </c>
      <c r="F1303" s="16" t="str">
        <f aca="false">HYPERLINK("https://net.jogtar.hu/jogszabaly?docid=a2400069.tv#pr1298id","Jogtár megnyitása")</f>
        <v>Jogtár megnyitása</v>
      </c>
    </row>
    <row r="1304" customFormat="false" ht="38" hidden="false" customHeight="true" outlineLevel="0" collapsed="false">
      <c r="A1304" s="15" t="s">
        <v>5220</v>
      </c>
      <c r="B1304" s="15" t="s">
        <v>1299</v>
      </c>
      <c r="C1304" s="15" t="s">
        <v>5221</v>
      </c>
      <c r="D1304" s="15" t="s">
        <v>5222</v>
      </c>
      <c r="E1304" s="16" t="str">
        <f aca="false">HYPERLINK("#'Forrásszöveg'!A"&amp;(MATCH("TV-S1299",Forrásszöveg!$A$6:$A$2497,0)+5),"Ez a forráshely")</f>
        <v>Ez a forráshely</v>
      </c>
      <c r="F1304" s="16" t="str">
        <f aca="false">HYPERLINK("https://net.jogtar.hu/jogszabaly?docid=a2400069.tv#pr1299id","Jogtár megnyitása")</f>
        <v>Jogtár megnyitása</v>
      </c>
    </row>
    <row r="1305" customFormat="false" ht="38" hidden="false" customHeight="true" outlineLevel="0" collapsed="false">
      <c r="A1305" s="15" t="s">
        <v>5223</v>
      </c>
      <c r="B1305" s="15" t="s">
        <v>1299</v>
      </c>
      <c r="C1305" s="15" t="s">
        <v>5224</v>
      </c>
      <c r="D1305" s="15" t="s">
        <v>5225</v>
      </c>
      <c r="E1305" s="16" t="str">
        <f aca="false">HYPERLINK("#'Forrásszöveg'!A"&amp;(MATCH("TV-S1300",Forrásszöveg!$A$6:$A$2497,0)+5),"Ez a forráshely")</f>
        <v>Ez a forráshely</v>
      </c>
      <c r="F1305" s="16" t="str">
        <f aca="false">HYPERLINK("https://net.jogtar.hu/jogszabaly?docid=a2400069.tv#pr1300id","Jogtár megnyitása")</f>
        <v>Jogtár megnyitása</v>
      </c>
    </row>
    <row r="1306" customFormat="false" ht="38" hidden="false" customHeight="true" outlineLevel="0" collapsed="false">
      <c r="A1306" s="15" t="s">
        <v>5226</v>
      </c>
      <c r="B1306" s="15" t="s">
        <v>1299</v>
      </c>
      <c r="C1306" s="15" t="s">
        <v>5227</v>
      </c>
      <c r="D1306" s="15" t="s">
        <v>5228</v>
      </c>
      <c r="E1306" s="16" t="str">
        <f aca="false">HYPERLINK("#'Forrásszöveg'!A"&amp;(MATCH("TV-S1301",Forrásszöveg!$A$6:$A$2497,0)+5),"Ez a forráshely")</f>
        <v>Ez a forráshely</v>
      </c>
      <c r="F1306" s="16" t="str">
        <f aca="false">HYPERLINK("https://net.jogtar.hu/jogszabaly?docid=a2400069.tv#pr1301id","Jogtár megnyitása")</f>
        <v>Jogtár megnyitása</v>
      </c>
    </row>
    <row r="1307" customFormat="false" ht="38" hidden="false" customHeight="true" outlineLevel="0" collapsed="false">
      <c r="A1307" s="15" t="s">
        <v>5229</v>
      </c>
      <c r="B1307" s="15" t="s">
        <v>1299</v>
      </c>
      <c r="C1307" s="15" t="s">
        <v>5230</v>
      </c>
      <c r="D1307" s="15" t="s">
        <v>5231</v>
      </c>
      <c r="E1307" s="16" t="str">
        <f aca="false">HYPERLINK("#'Forrásszöveg'!A"&amp;(MATCH("TV-S1302",Forrásszöveg!$A$6:$A$2497,0)+5),"Ez a forráshely")</f>
        <v>Ez a forráshely</v>
      </c>
      <c r="F1307" s="16" t="str">
        <f aca="false">HYPERLINK("https://net.jogtar.hu/jogszabaly?docid=a2400069.tv#pr1302id","Jogtár megnyitása")</f>
        <v>Jogtár megnyitása</v>
      </c>
    </row>
    <row r="1308" customFormat="false" ht="38" hidden="false" customHeight="true" outlineLevel="0" collapsed="false">
      <c r="A1308" s="15" t="s">
        <v>5232</v>
      </c>
      <c r="B1308" s="15" t="s">
        <v>1299</v>
      </c>
      <c r="C1308" s="15" t="s">
        <v>1470</v>
      </c>
      <c r="D1308" s="15" t="s">
        <v>1470</v>
      </c>
      <c r="E1308" s="16" t="str">
        <f aca="false">HYPERLINK("#'Forrásszöveg'!A"&amp;(MATCH("TV-S1303",Forrásszöveg!$A$6:$A$2497,0)+5),"Ez a forráshely")</f>
        <v>Ez a forráshely</v>
      </c>
      <c r="F1308" s="16" t="str">
        <f aca="false">HYPERLINK("https://net.jogtar.hu/jogszabaly?docid=a2400069.tv#pr1303id","Jogtár megnyitása")</f>
        <v>Jogtár megnyitása</v>
      </c>
    </row>
    <row r="1309" customFormat="false" ht="38" hidden="false" customHeight="true" outlineLevel="0" collapsed="false">
      <c r="A1309" s="15" t="s">
        <v>5233</v>
      </c>
      <c r="B1309" s="15" t="s">
        <v>1299</v>
      </c>
      <c r="C1309" s="15" t="s">
        <v>5234</v>
      </c>
      <c r="D1309" s="15" t="s">
        <v>5234</v>
      </c>
      <c r="E1309" s="16" t="str">
        <f aca="false">HYPERLINK("#'Forrásszöveg'!A"&amp;(MATCH("TV-S1304",Forrásszöveg!$A$6:$A$2497,0)+5),"Ez a forráshely")</f>
        <v>Ez a forráshely</v>
      </c>
      <c r="F1309" s="16" t="str">
        <f aca="false">HYPERLINK("https://net.jogtar.hu/jogszabaly?docid=a2400069.tv#pr1304id","Jogtár megnyitása")</f>
        <v>Jogtár megnyitása</v>
      </c>
    </row>
    <row r="1310" customFormat="false" ht="52" hidden="false" customHeight="true" outlineLevel="0" collapsed="false">
      <c r="A1310" s="15" t="s">
        <v>5235</v>
      </c>
      <c r="B1310" s="15" t="s">
        <v>1299</v>
      </c>
      <c r="C1310" s="15" t="s">
        <v>5236</v>
      </c>
      <c r="D1310" s="15" t="s">
        <v>5162</v>
      </c>
      <c r="E1310" s="16" t="str">
        <f aca="false">HYPERLINK("#'Forrásszöveg'!A"&amp;(MATCH("TV-S1305",Forrásszöveg!$A$6:$A$2497,0)+5),"Ez a forráshely")</f>
        <v>Ez a forráshely</v>
      </c>
      <c r="F1310" s="16" t="str">
        <f aca="false">HYPERLINK("https://net.jogtar.hu/jogszabaly?docid=a2400069.tv#pr1305id","Jogtár megnyitása")</f>
        <v>Jogtár megnyitása</v>
      </c>
    </row>
    <row r="1311" customFormat="false" ht="38" hidden="false" customHeight="true" outlineLevel="0" collapsed="false">
      <c r="A1311" s="15" t="s">
        <v>5237</v>
      </c>
      <c r="B1311" s="15" t="s">
        <v>1299</v>
      </c>
      <c r="C1311" s="15" t="s">
        <v>5238</v>
      </c>
      <c r="D1311" s="15" t="s">
        <v>5165</v>
      </c>
      <c r="E1311" s="16" t="str">
        <f aca="false">HYPERLINK("#'Forrásszöveg'!A"&amp;(MATCH("TV-S1306",Forrásszöveg!$A$6:$A$2497,0)+5),"Ez a forráshely")</f>
        <v>Ez a forráshely</v>
      </c>
      <c r="F1311" s="16" t="str">
        <f aca="false">HYPERLINK("https://net.jogtar.hu/jogszabaly?docid=a2400069.tv#pr1306id","Jogtár megnyitása")</f>
        <v>Jogtár megnyitása</v>
      </c>
    </row>
    <row r="1312" customFormat="false" ht="38" hidden="false" customHeight="true" outlineLevel="0" collapsed="false">
      <c r="A1312" s="15" t="s">
        <v>5239</v>
      </c>
      <c r="B1312" s="15" t="s">
        <v>1299</v>
      </c>
      <c r="C1312" s="15" t="s">
        <v>5240</v>
      </c>
      <c r="D1312" s="15" t="s">
        <v>5241</v>
      </c>
      <c r="E1312" s="16" t="str">
        <f aca="false">HYPERLINK("#'Forrásszöveg'!A"&amp;(MATCH("TV-S1307",Forrásszöveg!$A$6:$A$2497,0)+5),"Ez a forráshely")</f>
        <v>Ez a forráshely</v>
      </c>
      <c r="F1312" s="16" t="str">
        <f aca="false">HYPERLINK("https://net.jogtar.hu/jogszabaly?docid=a2400069.tv#pr1307id","Jogtár megnyitása")</f>
        <v>Jogtár megnyitása</v>
      </c>
    </row>
    <row r="1313" customFormat="false" ht="80" hidden="false" customHeight="true" outlineLevel="0" collapsed="false">
      <c r="A1313" s="15" t="s">
        <v>5242</v>
      </c>
      <c r="B1313" s="15" t="s">
        <v>1299</v>
      </c>
      <c r="C1313" s="15" t="s">
        <v>5243</v>
      </c>
      <c r="D1313" s="15" t="s">
        <v>5244</v>
      </c>
      <c r="E1313" s="16" t="str">
        <f aca="false">HYPERLINK("#'Forrásszöveg'!A"&amp;(MATCH("TV-S1308",Forrásszöveg!$A$6:$A$2497,0)+5),"Ez a forráshely")</f>
        <v>Ez a forráshely</v>
      </c>
      <c r="F1313" s="16" t="str">
        <f aca="false">HYPERLINK("https://net.jogtar.hu/jogszabaly?docid=a2400069.tv#pr1308id","Jogtár megnyitása")</f>
        <v>Jogtár megnyitása</v>
      </c>
    </row>
    <row r="1314" customFormat="false" ht="52" hidden="false" customHeight="true" outlineLevel="0" collapsed="false">
      <c r="A1314" s="15" t="s">
        <v>5245</v>
      </c>
      <c r="B1314" s="15" t="s">
        <v>1299</v>
      </c>
      <c r="C1314" s="15" t="s">
        <v>5246</v>
      </c>
      <c r="D1314" s="15" t="s">
        <v>5247</v>
      </c>
      <c r="E1314" s="16" t="str">
        <f aca="false">HYPERLINK("#'Forrásszöveg'!A"&amp;(MATCH("TV-S1309",Forrásszöveg!$A$6:$A$2497,0)+5),"Ez a forráshely")</f>
        <v>Ez a forráshely</v>
      </c>
      <c r="F1314" s="16" t="str">
        <f aca="false">HYPERLINK("https://net.jogtar.hu/jogszabaly?docid=a2400069.tv#pr1309id","Jogtár megnyitása")</f>
        <v>Jogtár megnyitása</v>
      </c>
    </row>
    <row r="1315" customFormat="false" ht="80" hidden="false" customHeight="true" outlineLevel="0" collapsed="false">
      <c r="A1315" s="15" t="s">
        <v>5248</v>
      </c>
      <c r="B1315" s="15" t="s">
        <v>1299</v>
      </c>
      <c r="C1315" s="15" t="s">
        <v>5249</v>
      </c>
      <c r="D1315" s="15" t="s">
        <v>5250</v>
      </c>
      <c r="E1315" s="16" t="str">
        <f aca="false">HYPERLINK("#'Forrásszöveg'!A"&amp;(MATCH("TV-S1310",Forrásszöveg!$A$6:$A$2497,0)+5),"Ez a forráshely")</f>
        <v>Ez a forráshely</v>
      </c>
      <c r="F1315" s="16" t="str">
        <f aca="false">HYPERLINK("https://net.jogtar.hu/jogszabaly?docid=a2400069.tv#pr1310id","Jogtár megnyitása")</f>
        <v>Jogtár megnyitása</v>
      </c>
    </row>
    <row r="1316" customFormat="false" ht="136" hidden="false" customHeight="true" outlineLevel="0" collapsed="false">
      <c r="A1316" s="15" t="s">
        <v>5251</v>
      </c>
      <c r="B1316" s="15" t="s">
        <v>1299</v>
      </c>
      <c r="C1316" s="15" t="s">
        <v>5252</v>
      </c>
      <c r="D1316" s="15" t="s">
        <v>5253</v>
      </c>
      <c r="E1316" s="16" t="str">
        <f aca="false">HYPERLINK("#'Forrásszöveg'!A"&amp;(MATCH("TV-S1311",Forrásszöveg!$A$6:$A$2497,0)+5),"Ez a forráshely")</f>
        <v>Ez a forráshely</v>
      </c>
      <c r="F1316" s="16" t="str">
        <f aca="false">HYPERLINK("https://net.jogtar.hu/jogszabaly?docid=a2400069.tv#pr1311id","Jogtár megnyitása")</f>
        <v>Jogtár megnyitása</v>
      </c>
    </row>
    <row r="1317" customFormat="false" ht="66" hidden="false" customHeight="true" outlineLevel="0" collapsed="false">
      <c r="A1317" s="15" t="s">
        <v>5254</v>
      </c>
      <c r="B1317" s="15" t="s">
        <v>1299</v>
      </c>
      <c r="C1317" s="15" t="s">
        <v>5255</v>
      </c>
      <c r="D1317" s="15" t="s">
        <v>5256</v>
      </c>
      <c r="E1317" s="16" t="str">
        <f aca="false">HYPERLINK("#'Forrásszöveg'!A"&amp;(MATCH("TV-S1312",Forrásszöveg!$A$6:$A$2497,0)+5),"Ez a forráshely")</f>
        <v>Ez a forráshely</v>
      </c>
      <c r="F1317" s="16" t="str">
        <f aca="false">HYPERLINK("https://net.jogtar.hu/jogszabaly?docid=a2400069.tv#pr1312id","Jogtár megnyitása")</f>
        <v>Jogtár megnyitása</v>
      </c>
    </row>
    <row r="1318" customFormat="false" ht="66" hidden="false" customHeight="true" outlineLevel="0" collapsed="false">
      <c r="A1318" s="15" t="s">
        <v>5257</v>
      </c>
      <c r="B1318" s="15" t="s">
        <v>1299</v>
      </c>
      <c r="C1318" s="15" t="s">
        <v>5258</v>
      </c>
      <c r="D1318" s="15" t="s">
        <v>5259</v>
      </c>
      <c r="E1318" s="16" t="str">
        <f aca="false">HYPERLINK("#'Forrásszöveg'!A"&amp;(MATCH("TV-S1313",Forrásszöveg!$A$6:$A$2497,0)+5),"Ez a forráshely")</f>
        <v>Ez a forráshely</v>
      </c>
      <c r="F1318" s="16" t="str">
        <f aca="false">HYPERLINK("https://net.jogtar.hu/jogszabaly?docid=a2400069.tv#pr1313id","Jogtár megnyitása")</f>
        <v>Jogtár megnyitása</v>
      </c>
    </row>
    <row r="1319" customFormat="false" ht="66" hidden="false" customHeight="true" outlineLevel="0" collapsed="false">
      <c r="A1319" s="15" t="s">
        <v>5260</v>
      </c>
      <c r="B1319" s="15" t="s">
        <v>1299</v>
      </c>
      <c r="C1319" s="15" t="s">
        <v>5261</v>
      </c>
      <c r="D1319" s="15" t="s">
        <v>5262</v>
      </c>
      <c r="E1319" s="16" t="str">
        <f aca="false">HYPERLINK("#'Forrásszöveg'!A"&amp;(MATCH("TV-S1314",Forrásszöveg!$A$6:$A$2497,0)+5),"Ez a forráshely")</f>
        <v>Ez a forráshely</v>
      </c>
      <c r="F1319" s="16" t="str">
        <f aca="false">HYPERLINK("https://net.jogtar.hu/jogszabaly?docid=a2400069.tv#pr1314id","Jogtár megnyitása")</f>
        <v>Jogtár megnyitása</v>
      </c>
    </row>
    <row r="1320" customFormat="false" ht="66" hidden="false" customHeight="true" outlineLevel="0" collapsed="false">
      <c r="A1320" s="15" t="s">
        <v>5263</v>
      </c>
      <c r="B1320" s="15" t="s">
        <v>1299</v>
      </c>
      <c r="C1320" s="15" t="s">
        <v>5264</v>
      </c>
      <c r="D1320" s="15" t="s">
        <v>5265</v>
      </c>
      <c r="E1320" s="16" t="str">
        <f aca="false">HYPERLINK("#'Forrásszöveg'!A"&amp;(MATCH("TV-S1315",Forrásszöveg!$A$6:$A$2497,0)+5),"Ez a forráshely")</f>
        <v>Ez a forráshely</v>
      </c>
      <c r="F1320" s="16" t="str">
        <f aca="false">HYPERLINK("https://net.jogtar.hu/jogszabaly?docid=a2400069.tv#pr1315id","Jogtár megnyitása")</f>
        <v>Jogtár megnyitása</v>
      </c>
    </row>
    <row r="1321" customFormat="false" ht="66" hidden="false" customHeight="true" outlineLevel="0" collapsed="false">
      <c r="A1321" s="15" t="s">
        <v>5266</v>
      </c>
      <c r="B1321" s="15" t="s">
        <v>1299</v>
      </c>
      <c r="C1321" s="15" t="s">
        <v>5267</v>
      </c>
      <c r="D1321" s="15" t="s">
        <v>5268</v>
      </c>
      <c r="E1321" s="16" t="str">
        <f aca="false">HYPERLINK("#'Forrásszöveg'!A"&amp;(MATCH("TV-S1316",Forrásszöveg!$A$6:$A$2497,0)+5),"Ez a forráshely")</f>
        <v>Ez a forráshely</v>
      </c>
      <c r="F1321" s="16" t="str">
        <f aca="false">HYPERLINK("https://net.jogtar.hu/jogszabaly?docid=a2400069.tv#pr1316id","Jogtár megnyitása")</f>
        <v>Jogtár megnyitása</v>
      </c>
    </row>
    <row r="1322" customFormat="false" ht="66" hidden="false" customHeight="true" outlineLevel="0" collapsed="false">
      <c r="A1322" s="15" t="s">
        <v>5269</v>
      </c>
      <c r="B1322" s="15" t="s">
        <v>1299</v>
      </c>
      <c r="C1322" s="15" t="s">
        <v>5270</v>
      </c>
      <c r="D1322" s="15" t="s">
        <v>5271</v>
      </c>
      <c r="E1322" s="16" t="str">
        <f aca="false">HYPERLINK("#'Forrásszöveg'!A"&amp;(MATCH("TV-S1317",Forrásszöveg!$A$6:$A$2497,0)+5),"Ez a forráshely")</f>
        <v>Ez a forráshely</v>
      </c>
      <c r="F1322" s="16" t="str">
        <f aca="false">HYPERLINK("https://net.jogtar.hu/jogszabaly?docid=a2400069.tv#pr1317id","Jogtár megnyitása")</f>
        <v>Jogtár megnyitása</v>
      </c>
    </row>
    <row r="1323" customFormat="false" ht="66" hidden="false" customHeight="true" outlineLevel="0" collapsed="false">
      <c r="A1323" s="15" t="s">
        <v>5272</v>
      </c>
      <c r="B1323" s="15" t="s">
        <v>1299</v>
      </c>
      <c r="C1323" s="15" t="s">
        <v>5273</v>
      </c>
      <c r="D1323" s="15" t="s">
        <v>5274</v>
      </c>
      <c r="E1323" s="16" t="str">
        <f aca="false">HYPERLINK("#'Forrásszöveg'!A"&amp;(MATCH("TV-S1318",Forrásszöveg!$A$6:$A$2497,0)+5),"Ez a forráshely")</f>
        <v>Ez a forráshely</v>
      </c>
      <c r="F1323" s="16" t="str">
        <f aca="false">HYPERLINK("https://net.jogtar.hu/jogszabaly?docid=a2400069.tv#pr1318id","Jogtár megnyitása")</f>
        <v>Jogtár megnyitása</v>
      </c>
    </row>
    <row r="1324" customFormat="false" ht="38" hidden="false" customHeight="true" outlineLevel="0" collapsed="false">
      <c r="A1324" s="15" t="s">
        <v>5275</v>
      </c>
      <c r="B1324" s="15" t="s">
        <v>1299</v>
      </c>
      <c r="C1324" s="15" t="s">
        <v>5276</v>
      </c>
      <c r="D1324" s="15" t="s">
        <v>5277</v>
      </c>
      <c r="E1324" s="16" t="str">
        <f aca="false">HYPERLINK("#'Forrásszöveg'!A"&amp;(MATCH("TV-S1319",Forrásszöveg!$A$6:$A$2497,0)+5),"Ez a forráshely")</f>
        <v>Ez a forráshely</v>
      </c>
      <c r="F1324" s="16" t="str">
        <f aca="false">HYPERLINK("https://net.jogtar.hu/jogszabaly?docid=a2400069.tv#pr1319id","Jogtár megnyitása")</f>
        <v>Jogtár megnyitása</v>
      </c>
    </row>
    <row r="1325" customFormat="false" ht="38" hidden="false" customHeight="true" outlineLevel="0" collapsed="false">
      <c r="A1325" s="15" t="s">
        <v>5278</v>
      </c>
      <c r="B1325" s="15" t="s">
        <v>1471</v>
      </c>
      <c r="C1325" s="15" t="s">
        <v>5279</v>
      </c>
      <c r="D1325" s="15" t="s">
        <v>5279</v>
      </c>
      <c r="E1325" s="16" t="str">
        <f aca="false">HYPERLINK("#'Forrásszöveg'!A"&amp;(MATCH("VHR-S0001",Forrásszöveg!$A$6:$A$2497,0)+5),"Ez a forráshely")</f>
        <v>Ez a forráshely</v>
      </c>
      <c r="F1325" s="16" t="str">
        <f aca="false">HYPERLINK("https://net.jogtar.hu/jogszabaly?docid=a2400418.kor#pr1id","Jogtár megnyitása")</f>
        <v>Jogtár megnyitása</v>
      </c>
    </row>
    <row r="1326" customFormat="false" ht="38" hidden="false" customHeight="true" outlineLevel="0" collapsed="false">
      <c r="A1326" s="15" t="s">
        <v>5280</v>
      </c>
      <c r="B1326" s="15" t="s">
        <v>1471</v>
      </c>
      <c r="C1326" s="15" t="s">
        <v>5281</v>
      </c>
      <c r="D1326" s="15" t="s">
        <v>5281</v>
      </c>
      <c r="E1326" s="16" t="str">
        <f aca="false">HYPERLINK("#'Forrásszöveg'!A"&amp;(MATCH("VHR-S0002",Forrásszöveg!$A$6:$A$2497,0)+5),"Ez a forráshely")</f>
        <v>Ez a forráshely</v>
      </c>
      <c r="F1326" s="16" t="str">
        <f aca="false">HYPERLINK("https://net.jogtar.hu/jogszabaly?docid=a2400418.kor#pr2id","Jogtár megnyitása")</f>
        <v>Jogtár megnyitása</v>
      </c>
    </row>
    <row r="1327" customFormat="false" ht="34" hidden="false" customHeight="true" outlineLevel="0" collapsed="false">
      <c r="A1327" s="15" t="s">
        <v>5282</v>
      </c>
      <c r="B1327" s="15" t="s">
        <v>1471</v>
      </c>
      <c r="C1327" s="15" t="s">
        <v>1567</v>
      </c>
      <c r="D1327" s="15" t="s">
        <v>5283</v>
      </c>
      <c r="E1327" s="16" t="str">
        <f aca="false">HYPERLINK("#'Forrásszöveg'!A"&amp;(MATCH("VHR-S0003",Forrásszöveg!$A$6:$A$2497,0)+5),"Ez a forráshely")</f>
        <v>Ez a forráshely</v>
      </c>
      <c r="F1327" s="16" t="str">
        <f aca="false">HYPERLINK("https://net.jogtar.hu/jogszabaly?docid=a2400418.kor#pr3id","Jogtár megnyitása")</f>
        <v>Jogtár megnyitása</v>
      </c>
    </row>
    <row r="1328" customFormat="false" ht="38" hidden="false" customHeight="true" outlineLevel="0" collapsed="false">
      <c r="A1328" s="15" t="s">
        <v>5284</v>
      </c>
      <c r="B1328" s="15" t="s">
        <v>1471</v>
      </c>
      <c r="C1328" s="15" t="s">
        <v>1567</v>
      </c>
      <c r="D1328" s="15" t="s">
        <v>5285</v>
      </c>
      <c r="E1328" s="16" t="str">
        <f aca="false">HYPERLINK("#'Forrásszöveg'!A"&amp;(MATCH("VHR-S0004",Forrásszöveg!$A$6:$A$2497,0)+5),"Ez a forráshely")</f>
        <v>Ez a forráshely</v>
      </c>
      <c r="F1328" s="16" t="str">
        <f aca="false">HYPERLINK("https://net.jogtar.hu/jogszabaly?docid=a2400418.kor#pr4id","Jogtár megnyitása")</f>
        <v>Jogtár megnyitása</v>
      </c>
    </row>
    <row r="1329" customFormat="false" ht="38" hidden="false" customHeight="true" outlineLevel="0" collapsed="false">
      <c r="A1329" s="15" t="s">
        <v>5286</v>
      </c>
      <c r="B1329" s="15" t="s">
        <v>1471</v>
      </c>
      <c r="C1329" s="15" t="s">
        <v>1567</v>
      </c>
      <c r="D1329" s="15" t="s">
        <v>5287</v>
      </c>
      <c r="E1329" s="16" t="str">
        <f aca="false">HYPERLINK("#'Forrásszöveg'!A"&amp;(MATCH("VHR-S0005",Forrásszöveg!$A$6:$A$2497,0)+5),"Ez a forráshely")</f>
        <v>Ez a forráshely</v>
      </c>
      <c r="F1329" s="16" t="str">
        <f aca="false">HYPERLINK("https://net.jogtar.hu/jogszabaly?docid=a2400418.kor#pr5id","Jogtár megnyitása")</f>
        <v>Jogtár megnyitása</v>
      </c>
    </row>
    <row r="1330" customFormat="false" ht="38" hidden="false" customHeight="true" outlineLevel="0" collapsed="false">
      <c r="A1330" s="15" t="s">
        <v>5288</v>
      </c>
      <c r="B1330" s="15" t="s">
        <v>1471</v>
      </c>
      <c r="C1330" s="15" t="s">
        <v>1567</v>
      </c>
      <c r="D1330" s="15" t="s">
        <v>5289</v>
      </c>
      <c r="E1330" s="16" t="str">
        <f aca="false">HYPERLINK("#'Forrásszöveg'!A"&amp;(MATCH("VHR-S0006",Forrásszöveg!$A$6:$A$2497,0)+5),"Ez a forráshely")</f>
        <v>Ez a forráshely</v>
      </c>
      <c r="F1330" s="16" t="str">
        <f aca="false">HYPERLINK("https://net.jogtar.hu/jogszabaly?docid=a2400418.kor#pr6id","Jogtár megnyitása")</f>
        <v>Jogtár megnyitása</v>
      </c>
    </row>
    <row r="1331" customFormat="false" ht="38" hidden="false" customHeight="true" outlineLevel="0" collapsed="false">
      <c r="A1331" s="15" t="s">
        <v>5290</v>
      </c>
      <c r="B1331" s="15" t="s">
        <v>1471</v>
      </c>
      <c r="C1331" s="15" t="s">
        <v>1567</v>
      </c>
      <c r="D1331" s="15" t="s">
        <v>5291</v>
      </c>
      <c r="E1331" s="16" t="str">
        <f aca="false">HYPERLINK("#'Forrásszöveg'!A"&amp;(MATCH("VHR-S0007",Forrásszöveg!$A$6:$A$2497,0)+5),"Ez a forráshely")</f>
        <v>Ez a forráshely</v>
      </c>
      <c r="F1331" s="16" t="str">
        <f aca="false">HYPERLINK("https://net.jogtar.hu/jogszabaly?docid=a2400418.kor#pr7id","Jogtár megnyitása")</f>
        <v>Jogtár megnyitása</v>
      </c>
    </row>
    <row r="1332" customFormat="false" ht="38" hidden="false" customHeight="true" outlineLevel="0" collapsed="false">
      <c r="A1332" s="15" t="s">
        <v>5292</v>
      </c>
      <c r="B1332" s="15" t="s">
        <v>1471</v>
      </c>
      <c r="C1332" s="15" t="s">
        <v>1567</v>
      </c>
      <c r="D1332" s="15" t="s">
        <v>5293</v>
      </c>
      <c r="E1332" s="16" t="str">
        <f aca="false">HYPERLINK("#'Forrásszöveg'!A"&amp;(MATCH("VHR-S0008",Forrásszöveg!$A$6:$A$2497,0)+5),"Ez a forráshely")</f>
        <v>Ez a forráshely</v>
      </c>
      <c r="F1332" s="16" t="str">
        <f aca="false">HYPERLINK("https://net.jogtar.hu/jogszabaly?docid=a2400418.kor#pr8id","Jogtár megnyitása")</f>
        <v>Jogtár megnyitása</v>
      </c>
    </row>
    <row r="1333" customFormat="false" ht="38" hidden="false" customHeight="true" outlineLevel="0" collapsed="false">
      <c r="A1333" s="15" t="s">
        <v>5294</v>
      </c>
      <c r="B1333" s="15" t="s">
        <v>1471</v>
      </c>
      <c r="C1333" s="15" t="s">
        <v>1567</v>
      </c>
      <c r="D1333" s="15" t="s">
        <v>5295</v>
      </c>
      <c r="E1333" s="16" t="str">
        <f aca="false">HYPERLINK("#'Forrásszöveg'!A"&amp;(MATCH("VHR-S0009",Forrásszöveg!$A$6:$A$2497,0)+5),"Ez a forráshely")</f>
        <v>Ez a forráshely</v>
      </c>
      <c r="F1333" s="16" t="str">
        <f aca="false">HYPERLINK("https://net.jogtar.hu/jogszabaly?docid=a2400418.kor#pr9id","Jogtár megnyitása")</f>
        <v>Jogtár megnyitása</v>
      </c>
    </row>
    <row r="1334" customFormat="false" ht="38" hidden="false" customHeight="true" outlineLevel="0" collapsed="false">
      <c r="A1334" s="15" t="s">
        <v>5296</v>
      </c>
      <c r="B1334" s="15" t="s">
        <v>1471</v>
      </c>
      <c r="C1334" s="15" t="s">
        <v>1567</v>
      </c>
      <c r="D1334" s="15" t="s">
        <v>5297</v>
      </c>
      <c r="E1334" s="16" t="str">
        <f aca="false">HYPERLINK("#'Forrásszöveg'!A"&amp;(MATCH("VHR-S0010",Forrásszöveg!$A$6:$A$2497,0)+5),"Ez a forráshely")</f>
        <v>Ez a forráshely</v>
      </c>
      <c r="F1334" s="16" t="str">
        <f aca="false">HYPERLINK("https://net.jogtar.hu/jogszabaly?docid=a2400418.kor#pr10id","Jogtár megnyitása")</f>
        <v>Jogtár megnyitása</v>
      </c>
    </row>
    <row r="1335" customFormat="false" ht="80" hidden="false" customHeight="true" outlineLevel="0" collapsed="false">
      <c r="A1335" s="15" t="s">
        <v>5298</v>
      </c>
      <c r="B1335" s="15" t="s">
        <v>1471</v>
      </c>
      <c r="C1335" s="15" t="s">
        <v>1567</v>
      </c>
      <c r="D1335" s="15" t="s">
        <v>5299</v>
      </c>
      <c r="E1335" s="16" t="str">
        <f aca="false">HYPERLINK("#'Forrásszöveg'!A"&amp;(MATCH("VHR-S0011",Forrásszöveg!$A$6:$A$2497,0)+5),"Ez a forráshely")</f>
        <v>Ez a forráshely</v>
      </c>
      <c r="F1335" s="16" t="str">
        <f aca="false">HYPERLINK("https://net.jogtar.hu/jogszabaly?docid=a2400418.kor#pr11id","Jogtár megnyitása")</f>
        <v>Jogtár megnyitása</v>
      </c>
    </row>
    <row r="1336" customFormat="false" ht="38" hidden="false" customHeight="true" outlineLevel="0" collapsed="false">
      <c r="A1336" s="15" t="s">
        <v>5300</v>
      </c>
      <c r="B1336" s="15" t="s">
        <v>1471</v>
      </c>
      <c r="C1336" s="15" t="s">
        <v>1567</v>
      </c>
      <c r="D1336" s="15" t="s">
        <v>5301</v>
      </c>
      <c r="E1336" s="16" t="str">
        <f aca="false">HYPERLINK("#'Forrásszöveg'!A"&amp;(MATCH("VHR-S0012",Forrásszöveg!$A$6:$A$2497,0)+5),"Ez a forráshely")</f>
        <v>Ez a forráshely</v>
      </c>
      <c r="F1336" s="16" t="str">
        <f aca="false">HYPERLINK("https://net.jogtar.hu/jogszabaly?docid=a2400418.kor#pr12id","Jogtár megnyitása")</f>
        <v>Jogtár megnyitása</v>
      </c>
    </row>
    <row r="1337" customFormat="false" ht="38" hidden="false" customHeight="true" outlineLevel="0" collapsed="false">
      <c r="A1337" s="15" t="s">
        <v>5302</v>
      </c>
      <c r="B1337" s="15" t="s">
        <v>1471</v>
      </c>
      <c r="C1337" s="15" t="s">
        <v>1567</v>
      </c>
      <c r="D1337" s="15" t="s">
        <v>5303</v>
      </c>
      <c r="E1337" s="16" t="str">
        <f aca="false">HYPERLINK("#'Forrásszöveg'!A"&amp;(MATCH("VHR-S0013",Forrásszöveg!$A$6:$A$2497,0)+5),"Ez a forráshely")</f>
        <v>Ez a forráshely</v>
      </c>
      <c r="F1337" s="16" t="str">
        <f aca="false">HYPERLINK("https://net.jogtar.hu/jogszabaly?docid=a2400418.kor#pr13id","Jogtár megnyitása")</f>
        <v>Jogtár megnyitása</v>
      </c>
    </row>
    <row r="1338" customFormat="false" ht="38" hidden="false" customHeight="true" outlineLevel="0" collapsed="false">
      <c r="A1338" s="15" t="s">
        <v>5304</v>
      </c>
      <c r="B1338" s="15" t="s">
        <v>1471</v>
      </c>
      <c r="C1338" s="15" t="s">
        <v>1567</v>
      </c>
      <c r="D1338" s="15" t="s">
        <v>5305</v>
      </c>
      <c r="E1338" s="16" t="str">
        <f aca="false">HYPERLINK("#'Forrásszöveg'!A"&amp;(MATCH("VHR-S0014",Forrásszöveg!$A$6:$A$2497,0)+5),"Ez a forráshely")</f>
        <v>Ez a forráshely</v>
      </c>
      <c r="F1338" s="16" t="str">
        <f aca="false">HYPERLINK("https://net.jogtar.hu/jogszabaly?docid=a2400418.kor#pr14id","Jogtár megnyitása")</f>
        <v>Jogtár megnyitása</v>
      </c>
    </row>
    <row r="1339" customFormat="false" ht="34" hidden="false" customHeight="true" outlineLevel="0" collapsed="false">
      <c r="A1339" s="15" t="s">
        <v>5306</v>
      </c>
      <c r="B1339" s="15" t="s">
        <v>1471</v>
      </c>
      <c r="C1339" s="15" t="s">
        <v>1567</v>
      </c>
      <c r="D1339" s="15" t="s">
        <v>5307</v>
      </c>
      <c r="E1339" s="16" t="str">
        <f aca="false">HYPERLINK("#'Forrásszöveg'!A"&amp;(MATCH("VHR-S0015",Forrásszöveg!$A$6:$A$2497,0)+5),"Ez a forráshely")</f>
        <v>Ez a forráshely</v>
      </c>
      <c r="F1339" s="16" t="str">
        <f aca="false">HYPERLINK("https://net.jogtar.hu/jogszabaly?docid=a2400418.kor#pr15id","Jogtár megnyitása")</f>
        <v>Jogtár megnyitása</v>
      </c>
    </row>
    <row r="1340" customFormat="false" ht="38" hidden="false" customHeight="true" outlineLevel="0" collapsed="false">
      <c r="A1340" s="15" t="s">
        <v>5308</v>
      </c>
      <c r="B1340" s="15" t="s">
        <v>1471</v>
      </c>
      <c r="C1340" s="15" t="s">
        <v>1567</v>
      </c>
      <c r="D1340" s="15" t="s">
        <v>5309</v>
      </c>
      <c r="E1340" s="16" t="str">
        <f aca="false">HYPERLINK("#'Forrásszöveg'!A"&amp;(MATCH("VHR-S0016",Forrásszöveg!$A$6:$A$2497,0)+5),"Ez a forráshely")</f>
        <v>Ez a forráshely</v>
      </c>
      <c r="F1340" s="16" t="str">
        <f aca="false">HYPERLINK("https://net.jogtar.hu/jogszabaly?docid=a2400418.kor#pr16id","Jogtár megnyitása")</f>
        <v>Jogtár megnyitása</v>
      </c>
    </row>
    <row r="1341" customFormat="false" ht="34" hidden="false" customHeight="true" outlineLevel="0" collapsed="false">
      <c r="A1341" s="15" t="s">
        <v>5310</v>
      </c>
      <c r="B1341" s="15" t="s">
        <v>1471</v>
      </c>
      <c r="C1341" s="15" t="s">
        <v>1567</v>
      </c>
      <c r="D1341" s="15" t="s">
        <v>5311</v>
      </c>
      <c r="E1341" s="16" t="str">
        <f aca="false">HYPERLINK("#'Forrásszöveg'!A"&amp;(MATCH("VHR-S0017",Forrásszöveg!$A$6:$A$2497,0)+5),"Ez a forráshely")</f>
        <v>Ez a forráshely</v>
      </c>
      <c r="F1341" s="16" t="str">
        <f aca="false">HYPERLINK("https://net.jogtar.hu/jogszabaly?docid=a2400418.kor#pr17id","Jogtár megnyitása")</f>
        <v>Jogtár megnyitása</v>
      </c>
    </row>
    <row r="1342" customFormat="false" ht="38" hidden="false" customHeight="true" outlineLevel="0" collapsed="false">
      <c r="A1342" s="15" t="s">
        <v>5312</v>
      </c>
      <c r="B1342" s="15" t="s">
        <v>1471</v>
      </c>
      <c r="C1342" s="15" t="s">
        <v>1567</v>
      </c>
      <c r="D1342" s="15" t="s">
        <v>5313</v>
      </c>
      <c r="E1342" s="16" t="str">
        <f aca="false">HYPERLINK("#'Forrásszöveg'!A"&amp;(MATCH("VHR-S0018",Forrásszöveg!$A$6:$A$2497,0)+5),"Ez a forráshely")</f>
        <v>Ez a forráshely</v>
      </c>
      <c r="F1342" s="16" t="str">
        <f aca="false">HYPERLINK("https://net.jogtar.hu/jogszabaly?docid=a2400418.kor#pr18id","Jogtár megnyitása")</f>
        <v>Jogtár megnyitása</v>
      </c>
    </row>
    <row r="1343" customFormat="false" ht="38" hidden="false" customHeight="true" outlineLevel="0" collapsed="false">
      <c r="A1343" s="15" t="s">
        <v>5314</v>
      </c>
      <c r="B1343" s="15" t="s">
        <v>1471</v>
      </c>
      <c r="C1343" s="15" t="s">
        <v>1567</v>
      </c>
      <c r="D1343" s="15" t="s">
        <v>5315</v>
      </c>
      <c r="E1343" s="16" t="str">
        <f aca="false">HYPERLINK("#'Forrásszöveg'!A"&amp;(MATCH("VHR-S0019",Forrásszöveg!$A$6:$A$2497,0)+5),"Ez a forráshely")</f>
        <v>Ez a forráshely</v>
      </c>
      <c r="F1343" s="16" t="str">
        <f aca="false">HYPERLINK("https://net.jogtar.hu/jogszabaly?docid=a2400418.kor#pr19id","Jogtár megnyitása")</f>
        <v>Jogtár megnyitása</v>
      </c>
    </row>
    <row r="1344" customFormat="false" ht="34" hidden="false" customHeight="true" outlineLevel="0" collapsed="false">
      <c r="A1344" s="15" t="s">
        <v>5316</v>
      </c>
      <c r="B1344" s="15" t="s">
        <v>1471</v>
      </c>
      <c r="C1344" s="15" t="s">
        <v>1567</v>
      </c>
      <c r="D1344" s="15" t="s">
        <v>5317</v>
      </c>
      <c r="E1344" s="16" t="str">
        <f aca="false">HYPERLINK("#'Forrásszöveg'!A"&amp;(MATCH("VHR-S0020",Forrásszöveg!$A$6:$A$2497,0)+5),"Ez a forráshely")</f>
        <v>Ez a forráshely</v>
      </c>
      <c r="F1344" s="16" t="str">
        <f aca="false">HYPERLINK("https://net.jogtar.hu/jogszabaly?docid=a2400418.kor#pr20id","Jogtár megnyitása")</f>
        <v>Jogtár megnyitása</v>
      </c>
    </row>
    <row r="1345" customFormat="false" ht="38" hidden="false" customHeight="true" outlineLevel="0" collapsed="false">
      <c r="A1345" s="15" t="s">
        <v>5318</v>
      </c>
      <c r="B1345" s="15" t="s">
        <v>1471</v>
      </c>
      <c r="C1345" s="15" t="s">
        <v>1567</v>
      </c>
      <c r="D1345" s="15" t="s">
        <v>5319</v>
      </c>
      <c r="E1345" s="16" t="str">
        <f aca="false">HYPERLINK("#'Forrásszöveg'!A"&amp;(MATCH("VHR-S0021",Forrásszöveg!$A$6:$A$2497,0)+5),"Ez a forráshely")</f>
        <v>Ez a forráshely</v>
      </c>
      <c r="F1345" s="16" t="str">
        <f aca="false">HYPERLINK("https://net.jogtar.hu/jogszabaly?docid=a2400418.kor#pr21id","Jogtár megnyitása")</f>
        <v>Jogtár megnyitása</v>
      </c>
    </row>
    <row r="1346" customFormat="false" ht="38" hidden="false" customHeight="true" outlineLevel="0" collapsed="false">
      <c r="A1346" s="15" t="s">
        <v>5320</v>
      </c>
      <c r="B1346" s="15" t="s">
        <v>1471</v>
      </c>
      <c r="C1346" s="15" t="s">
        <v>1567</v>
      </c>
      <c r="D1346" s="15" t="s">
        <v>5321</v>
      </c>
      <c r="E1346" s="16" t="str">
        <f aca="false">HYPERLINK("#'Forrásszöveg'!A"&amp;(MATCH("VHR-S0022",Forrásszöveg!$A$6:$A$2497,0)+5),"Ez a forráshely")</f>
        <v>Ez a forráshely</v>
      </c>
      <c r="F1346" s="16" t="str">
        <f aca="false">HYPERLINK("https://net.jogtar.hu/jogszabaly?docid=a2400418.kor#pr22id","Jogtár megnyitása")</f>
        <v>Jogtár megnyitása</v>
      </c>
    </row>
    <row r="1347" customFormat="false" ht="38" hidden="false" customHeight="true" outlineLevel="0" collapsed="false">
      <c r="A1347" s="15" t="s">
        <v>5322</v>
      </c>
      <c r="B1347" s="15" t="s">
        <v>1471</v>
      </c>
      <c r="C1347" s="15" t="s">
        <v>1567</v>
      </c>
      <c r="D1347" s="15" t="s">
        <v>5323</v>
      </c>
      <c r="E1347" s="16" t="str">
        <f aca="false">HYPERLINK("#'Forrásszöveg'!A"&amp;(MATCH("VHR-S0023",Forrásszöveg!$A$6:$A$2497,0)+5),"Ez a forráshely")</f>
        <v>Ez a forráshely</v>
      </c>
      <c r="F1347" s="16" t="str">
        <f aca="false">HYPERLINK("https://net.jogtar.hu/jogszabaly?docid=a2400418.kor#pr23id","Jogtár megnyitása")</f>
        <v>Jogtár megnyitása</v>
      </c>
    </row>
    <row r="1348" customFormat="false" ht="38" hidden="false" customHeight="true" outlineLevel="0" collapsed="false">
      <c r="A1348" s="15" t="s">
        <v>5324</v>
      </c>
      <c r="B1348" s="15" t="s">
        <v>1471</v>
      </c>
      <c r="C1348" s="15" t="s">
        <v>1567</v>
      </c>
      <c r="D1348" s="15" t="s">
        <v>5325</v>
      </c>
      <c r="E1348" s="16" t="str">
        <f aca="false">HYPERLINK("#'Forrásszöveg'!A"&amp;(MATCH("VHR-S0024",Forrásszöveg!$A$6:$A$2497,0)+5),"Ez a forráshely")</f>
        <v>Ez a forráshely</v>
      </c>
      <c r="F1348" s="16" t="str">
        <f aca="false">HYPERLINK("https://net.jogtar.hu/jogszabaly?docid=a2400418.kor#pr24id","Jogtár megnyitása")</f>
        <v>Jogtár megnyitása</v>
      </c>
    </row>
    <row r="1349" customFormat="false" ht="38" hidden="false" customHeight="true" outlineLevel="0" collapsed="false">
      <c r="A1349" s="15" t="s">
        <v>5326</v>
      </c>
      <c r="B1349" s="15" t="s">
        <v>1471</v>
      </c>
      <c r="C1349" s="15" t="s">
        <v>1567</v>
      </c>
      <c r="D1349" s="15" t="s">
        <v>5327</v>
      </c>
      <c r="E1349" s="16" t="str">
        <f aca="false">HYPERLINK("#'Forrásszöveg'!A"&amp;(MATCH("VHR-S0025",Forrásszöveg!$A$6:$A$2497,0)+5),"Ez a forráshely")</f>
        <v>Ez a forráshely</v>
      </c>
      <c r="F1349" s="16" t="str">
        <f aca="false">HYPERLINK("https://net.jogtar.hu/jogszabaly?docid=a2400418.kor#pr25id","Jogtár megnyitása")</f>
        <v>Jogtár megnyitása</v>
      </c>
    </row>
    <row r="1350" customFormat="false" ht="38" hidden="false" customHeight="true" outlineLevel="0" collapsed="false">
      <c r="A1350" s="15" t="s">
        <v>5328</v>
      </c>
      <c r="B1350" s="15" t="s">
        <v>1471</v>
      </c>
      <c r="C1350" s="15" t="s">
        <v>1567</v>
      </c>
      <c r="D1350" s="15" t="s">
        <v>5329</v>
      </c>
      <c r="E1350" s="16" t="str">
        <f aca="false">HYPERLINK("#'Forrásszöveg'!A"&amp;(MATCH("VHR-S0026",Forrásszöveg!$A$6:$A$2497,0)+5),"Ez a forráshely")</f>
        <v>Ez a forráshely</v>
      </c>
      <c r="F1350" s="16" t="str">
        <f aca="false">HYPERLINK("https://net.jogtar.hu/jogszabaly?docid=a2400418.kor#pr26id","Jogtár megnyitása")</f>
        <v>Jogtár megnyitása</v>
      </c>
    </row>
    <row r="1351" customFormat="false" ht="38" hidden="false" customHeight="true" outlineLevel="0" collapsed="false">
      <c r="A1351" s="15" t="s">
        <v>5330</v>
      </c>
      <c r="B1351" s="15" t="s">
        <v>1471</v>
      </c>
      <c r="C1351" s="15" t="s">
        <v>1567</v>
      </c>
      <c r="D1351" s="15" t="s">
        <v>5331</v>
      </c>
      <c r="E1351" s="16" t="str">
        <f aca="false">HYPERLINK("#'Forrásszöveg'!A"&amp;(MATCH("VHR-S0027",Forrásszöveg!$A$6:$A$2497,0)+5),"Ez a forráshely")</f>
        <v>Ez a forráshely</v>
      </c>
      <c r="F1351" s="16" t="str">
        <f aca="false">HYPERLINK("https://net.jogtar.hu/jogszabaly?docid=a2400418.kor#pr27id","Jogtár megnyitása")</f>
        <v>Jogtár megnyitása</v>
      </c>
    </row>
    <row r="1352" customFormat="false" ht="34" hidden="false" customHeight="true" outlineLevel="0" collapsed="false">
      <c r="A1352" s="15" t="s">
        <v>5332</v>
      </c>
      <c r="B1352" s="15" t="s">
        <v>1471</v>
      </c>
      <c r="C1352" s="15" t="s">
        <v>1567</v>
      </c>
      <c r="D1352" s="15" t="s">
        <v>5333</v>
      </c>
      <c r="E1352" s="16" t="str">
        <f aca="false">HYPERLINK("#'Forrásszöveg'!A"&amp;(MATCH("VHR-S0028",Forrásszöveg!$A$6:$A$2497,0)+5),"Ez a forráshely")</f>
        <v>Ez a forráshely</v>
      </c>
      <c r="F1352" s="16" t="str">
        <f aca="false">HYPERLINK("https://net.jogtar.hu/jogszabaly?docid=a2400418.kor#pr28id","Jogtár megnyitása")</f>
        <v>Jogtár megnyitása</v>
      </c>
    </row>
    <row r="1353" customFormat="false" ht="34" hidden="false" customHeight="true" outlineLevel="0" collapsed="false">
      <c r="A1353" s="15" t="s">
        <v>5334</v>
      </c>
      <c r="B1353" s="15" t="s">
        <v>1471</v>
      </c>
      <c r="C1353" s="15" t="s">
        <v>1576</v>
      </c>
      <c r="D1353" s="15" t="s">
        <v>1576</v>
      </c>
      <c r="E1353" s="16" t="str">
        <f aca="false">HYPERLINK("#'Forrásszöveg'!A"&amp;(MATCH("VHR-S0029",Forrásszöveg!$A$6:$A$2497,0)+5),"Ez a forráshely")</f>
        <v>Ez a forráshely</v>
      </c>
      <c r="F1353" s="16" t="str">
        <f aca="false">HYPERLINK("https://net.jogtar.hu/jogszabaly?docid=a2400418.kor#pr29id","Jogtár megnyitása")</f>
        <v>Jogtár megnyitása</v>
      </c>
    </row>
    <row r="1354" customFormat="false" ht="34" hidden="false" customHeight="true" outlineLevel="0" collapsed="false">
      <c r="A1354" s="15" t="s">
        <v>5335</v>
      </c>
      <c r="B1354" s="15" t="s">
        <v>1471</v>
      </c>
      <c r="C1354" s="15" t="s">
        <v>1578</v>
      </c>
      <c r="D1354" s="15" t="s">
        <v>1578</v>
      </c>
      <c r="E1354" s="16" t="str">
        <f aca="false">HYPERLINK("#'Forrásszöveg'!A"&amp;(MATCH("VHR-S0030",Forrásszöveg!$A$6:$A$2497,0)+5),"Ez a forráshely")</f>
        <v>Ez a forráshely</v>
      </c>
      <c r="F1354" s="16" t="str">
        <f aca="false">HYPERLINK("https://net.jogtar.hu/jogszabaly?docid=a2400418.kor#pr30id","Jogtár megnyitása")</f>
        <v>Jogtár megnyitása</v>
      </c>
    </row>
    <row r="1355" customFormat="false" ht="34" hidden="false" customHeight="true" outlineLevel="0" collapsed="false">
      <c r="A1355" s="15" t="s">
        <v>5336</v>
      </c>
      <c r="B1355" s="15" t="s">
        <v>1471</v>
      </c>
      <c r="C1355" s="15" t="s">
        <v>1472</v>
      </c>
      <c r="D1355" s="15" t="s">
        <v>1472</v>
      </c>
      <c r="E1355" s="16" t="str">
        <f aca="false">HYPERLINK("#'Forrásszöveg'!A"&amp;(MATCH("VHR-S0031",Forrásszöveg!$A$6:$A$2497,0)+5),"Ez a forráshely")</f>
        <v>Ez a forráshely</v>
      </c>
      <c r="F1355" s="16" t="str">
        <f aca="false">HYPERLINK("https://net.jogtar.hu/jogszabaly?docid=a2400418.kor#pr31id","Jogtár megnyitása")</f>
        <v>Jogtár megnyitása</v>
      </c>
    </row>
    <row r="1356" customFormat="false" ht="66" hidden="false" customHeight="true" outlineLevel="0" collapsed="false">
      <c r="A1356" s="15" t="s">
        <v>5337</v>
      </c>
      <c r="B1356" s="15" t="s">
        <v>1471</v>
      </c>
      <c r="C1356" s="15" t="s">
        <v>1581</v>
      </c>
      <c r="D1356" s="15" t="s">
        <v>131</v>
      </c>
      <c r="E1356" s="16" t="str">
        <f aca="false">HYPERLINK("#'Forrásszöveg'!A"&amp;(MATCH("VHR-S0032",Forrásszöveg!$A$6:$A$2497,0)+5),"1. § (1) eleje")</f>
        <v>1. § (1) eleje</v>
      </c>
      <c r="F1356" s="16" t="str">
        <f aca="false">HYPERLINK("https://net.jogtar.hu/jogszabaly?docid=a2400418.kor#pr32id","Jogtár megnyitása")</f>
        <v>Jogtár megnyitása</v>
      </c>
    </row>
    <row r="1357" customFormat="false" ht="38" hidden="false" customHeight="true" outlineLevel="0" collapsed="false">
      <c r="A1357" s="15" t="s">
        <v>5338</v>
      </c>
      <c r="B1357" s="15" t="s">
        <v>1471</v>
      </c>
      <c r="C1357" s="15" t="s">
        <v>1631</v>
      </c>
      <c r="D1357" s="15" t="s">
        <v>5339</v>
      </c>
      <c r="E1357" s="16" t="str">
        <f aca="false">HYPERLINK("#'Forrásszöveg'!A"&amp;(MATCH("VHR-S0033",Forrásszöveg!$A$6:$A$2497,0)+5),"1. § (2) eleje")</f>
        <v>1. § (2) eleje</v>
      </c>
      <c r="F1357" s="16" t="str">
        <f aca="false">HYPERLINK("https://net.jogtar.hu/jogszabaly?docid=a2400418.kor#pr33id","Jogtár megnyitása")</f>
        <v>Jogtár megnyitása</v>
      </c>
    </row>
    <row r="1358" customFormat="false" ht="34" hidden="false" customHeight="true" outlineLevel="0" collapsed="false">
      <c r="A1358" s="15" t="s">
        <v>5340</v>
      </c>
      <c r="B1358" s="15" t="s">
        <v>1471</v>
      </c>
      <c r="C1358" s="15" t="s">
        <v>5341</v>
      </c>
      <c r="D1358" s="15" t="s">
        <v>5342</v>
      </c>
      <c r="E1358" s="16" t="str">
        <f aca="false">HYPERLINK("#'Forrásszöveg'!A"&amp;(MATCH("VHR-S0033",Forrásszöveg!$A$6:$A$2497,0)+5),"1. § (2) eleje")</f>
        <v>1. § (2) eleje</v>
      </c>
      <c r="F1358" s="16" t="str">
        <f aca="false">HYPERLINK("https://net.jogtar.hu/jogszabaly?docid=a2400418.kor#pr34id","Jogtár megnyitása")</f>
        <v>Jogtár megnyitása</v>
      </c>
    </row>
    <row r="1359" customFormat="false" ht="66" hidden="false" customHeight="true" outlineLevel="0" collapsed="false">
      <c r="A1359" s="15" t="s">
        <v>5343</v>
      </c>
      <c r="B1359" s="15" t="s">
        <v>1471</v>
      </c>
      <c r="C1359" s="15" t="s">
        <v>5344</v>
      </c>
      <c r="D1359" s="15" t="s">
        <v>5345</v>
      </c>
      <c r="E1359" s="16" t="str">
        <f aca="false">HYPERLINK("#'Forrásszöveg'!A"&amp;(MATCH("VHR-S0033",Forrásszöveg!$A$6:$A$2497,0)+5),"1. § (2) eleje")</f>
        <v>1. § (2) eleje</v>
      </c>
      <c r="F1359" s="16" t="str">
        <f aca="false">HYPERLINK("https://net.jogtar.hu/jogszabaly?docid=a2400418.kor#pr35id","Jogtár megnyitása")</f>
        <v>Jogtár megnyitása</v>
      </c>
    </row>
    <row r="1360" customFormat="false" ht="80" hidden="false" customHeight="true" outlineLevel="0" collapsed="false">
      <c r="A1360" s="15" t="s">
        <v>5346</v>
      </c>
      <c r="B1360" s="15" t="s">
        <v>1471</v>
      </c>
      <c r="C1360" s="15" t="s">
        <v>5347</v>
      </c>
      <c r="D1360" s="15" t="s">
        <v>5348</v>
      </c>
      <c r="E1360" s="16" t="str">
        <f aca="false">HYPERLINK("#'Forrásszöveg'!A"&amp;(MATCH("VHR-S0033",Forrásszöveg!$A$6:$A$2497,0)+5),"1. § (2) eleje")</f>
        <v>1. § (2) eleje</v>
      </c>
      <c r="F1360" s="16" t="str">
        <f aca="false">HYPERLINK("https://net.jogtar.hu/jogszabaly?docid=a2400418.kor#pr36id","Jogtár megnyitása")</f>
        <v>Jogtár megnyitása</v>
      </c>
    </row>
    <row r="1361" customFormat="false" ht="38" hidden="false" customHeight="true" outlineLevel="0" collapsed="false">
      <c r="A1361" s="15" t="s">
        <v>5349</v>
      </c>
      <c r="B1361" s="15" t="s">
        <v>1471</v>
      </c>
      <c r="C1361" s="15" t="s">
        <v>1635</v>
      </c>
      <c r="D1361" s="15" t="s">
        <v>137</v>
      </c>
      <c r="E1361" s="16" t="str">
        <f aca="false">HYPERLINK("#'Forrásszöveg'!A"&amp;(MATCH("VHR-S0037",Forrásszöveg!$A$6:$A$2497,0)+5),"1. § (3) eleje")</f>
        <v>1. § (3) eleje</v>
      </c>
      <c r="F1361" s="16" t="str">
        <f aca="false">HYPERLINK("https://net.jogtar.hu/jogszabaly?docid=a2400418.kor#pr37id","Jogtár megnyitása")</f>
        <v>Jogtár megnyitása</v>
      </c>
    </row>
    <row r="1362" customFormat="false" ht="52" hidden="false" customHeight="true" outlineLevel="0" collapsed="false">
      <c r="A1362" s="15" t="s">
        <v>5350</v>
      </c>
      <c r="B1362" s="15" t="s">
        <v>1471</v>
      </c>
      <c r="C1362" s="15" t="s">
        <v>1637</v>
      </c>
      <c r="D1362" s="15" t="s">
        <v>140</v>
      </c>
      <c r="E1362" s="16" t="str">
        <f aca="false">HYPERLINK("#'Forrásszöveg'!A"&amp;(MATCH("VHR-S0038",Forrásszöveg!$A$6:$A$2497,0)+5),"1. § (4) eleje")</f>
        <v>1. § (4) eleje</v>
      </c>
      <c r="F1362" s="16" t="str">
        <f aca="false">HYPERLINK("https://net.jogtar.hu/jogszabaly?docid=a2400418.kor#pr38id","Jogtár megnyitása")</f>
        <v>Jogtár megnyitása</v>
      </c>
    </row>
    <row r="1363" customFormat="false" ht="34" hidden="false" customHeight="true" outlineLevel="0" collapsed="false">
      <c r="A1363" s="15" t="s">
        <v>5351</v>
      </c>
      <c r="B1363" s="15" t="s">
        <v>1471</v>
      </c>
      <c r="C1363" s="15" t="s">
        <v>1664</v>
      </c>
      <c r="D1363" s="15" t="s">
        <v>5352</v>
      </c>
      <c r="E1363" s="16" t="str">
        <f aca="false">HYPERLINK("#'Forrásszöveg'!A"&amp;(MATCH("VHR-S0039",Forrásszöveg!$A$6:$A$2497,0)+5),"1. § (5) eleje")</f>
        <v>1. § (5) eleje</v>
      </c>
      <c r="F1363" s="16" t="str">
        <f aca="false">HYPERLINK("https://net.jogtar.hu/jogszabaly?docid=a2400418.kor#pr39id","Jogtár megnyitása")</f>
        <v>Jogtár megnyitása</v>
      </c>
    </row>
    <row r="1364" customFormat="false" ht="38" hidden="false" customHeight="true" outlineLevel="0" collapsed="false">
      <c r="A1364" s="15" t="s">
        <v>5353</v>
      </c>
      <c r="B1364" s="15" t="s">
        <v>1471</v>
      </c>
      <c r="C1364" s="15" t="s">
        <v>1667</v>
      </c>
      <c r="D1364" s="15" t="s">
        <v>5354</v>
      </c>
      <c r="E1364" s="16" t="str">
        <f aca="false">HYPERLINK("#'Forrásszöveg'!A"&amp;(MATCH("VHR-S0039",Forrásszöveg!$A$6:$A$2497,0)+5),"1. § (5) eleje")</f>
        <v>1. § (5) eleje</v>
      </c>
      <c r="F1364" s="16" t="str">
        <f aca="false">HYPERLINK("https://net.jogtar.hu/jogszabaly?docid=a2400418.kor#pr40id","Jogtár megnyitása")</f>
        <v>Jogtár megnyitása</v>
      </c>
    </row>
    <row r="1365" customFormat="false" ht="38" hidden="false" customHeight="true" outlineLevel="0" collapsed="false">
      <c r="A1365" s="15" t="s">
        <v>5355</v>
      </c>
      <c r="B1365" s="15" t="s">
        <v>1471</v>
      </c>
      <c r="C1365" s="15" t="s">
        <v>1670</v>
      </c>
      <c r="D1365" s="15" t="s">
        <v>5356</v>
      </c>
      <c r="E1365" s="16" t="str">
        <f aca="false">HYPERLINK("#'Forrásszöveg'!A"&amp;(MATCH("VHR-S0039",Forrásszöveg!$A$6:$A$2497,0)+5),"1. § (5) eleje")</f>
        <v>1. § (5) eleje</v>
      </c>
      <c r="F1365" s="16" t="str">
        <f aca="false">HYPERLINK("https://net.jogtar.hu/jogszabaly?docid=a2400418.kor#pr41id","Jogtár megnyitása")</f>
        <v>Jogtár megnyitása</v>
      </c>
    </row>
    <row r="1366" customFormat="false" ht="34" hidden="false" customHeight="true" outlineLevel="0" collapsed="false">
      <c r="A1366" s="15" t="s">
        <v>5357</v>
      </c>
      <c r="B1366" s="15" t="s">
        <v>1471</v>
      </c>
      <c r="C1366" s="15" t="s">
        <v>1664</v>
      </c>
      <c r="D1366" s="15" t="s">
        <v>5358</v>
      </c>
      <c r="E1366" s="16" t="str">
        <f aca="false">HYPERLINK("#'Forrásszöveg'!A"&amp;(MATCH("VHR-S0039",Forrásszöveg!$A$6:$A$2497,0)+5),"1. § (5) eleje")</f>
        <v>1. § (5) eleje</v>
      </c>
      <c r="F1366" s="16" t="str">
        <f aca="false">HYPERLINK("https://net.jogtar.hu/jogszabaly?docid=a2400418.kor#pr42id","Jogtár megnyitása")</f>
        <v>Jogtár megnyitása</v>
      </c>
    </row>
    <row r="1367" customFormat="false" ht="38" hidden="false" customHeight="true" outlineLevel="0" collapsed="false">
      <c r="A1367" s="15" t="s">
        <v>5359</v>
      </c>
      <c r="B1367" s="15" t="s">
        <v>1471</v>
      </c>
      <c r="C1367" s="15" t="s">
        <v>1679</v>
      </c>
      <c r="D1367" s="15" t="s">
        <v>5360</v>
      </c>
      <c r="E1367" s="16" t="str">
        <f aca="false">HYPERLINK("#'Forrásszöveg'!A"&amp;(MATCH("VHR-S0043",Forrásszöveg!$A$6:$A$2497,0)+5),"1. § (6) eleje")</f>
        <v>1. § (6) eleje</v>
      </c>
      <c r="F1367" s="16" t="str">
        <f aca="false">HYPERLINK("https://net.jogtar.hu/jogszabaly?docid=a2400418.kor#pr43id","Jogtár megnyitása")</f>
        <v>Jogtár megnyitása</v>
      </c>
    </row>
    <row r="1368" customFormat="false" ht="34" hidden="false" customHeight="true" outlineLevel="0" collapsed="false">
      <c r="A1368" s="15" t="s">
        <v>5361</v>
      </c>
      <c r="B1368" s="15" t="s">
        <v>1471</v>
      </c>
      <c r="C1368" s="15" t="s">
        <v>5362</v>
      </c>
      <c r="D1368" s="15" t="s">
        <v>5363</v>
      </c>
      <c r="E1368" s="16" t="str">
        <f aca="false">HYPERLINK("#'Forrásszöveg'!A"&amp;(MATCH("VHR-S0043",Forrásszöveg!$A$6:$A$2497,0)+5),"1. § (6) eleje")</f>
        <v>1. § (6) eleje</v>
      </c>
      <c r="F1368" s="16" t="str">
        <f aca="false">HYPERLINK("https://net.jogtar.hu/jogszabaly?docid=a2400418.kor#pr44id","Jogtár megnyitása")</f>
        <v>Jogtár megnyitása</v>
      </c>
    </row>
    <row r="1369" customFormat="false" ht="38" hidden="false" customHeight="true" outlineLevel="0" collapsed="false">
      <c r="A1369" s="15" t="s">
        <v>5364</v>
      </c>
      <c r="B1369" s="15" t="s">
        <v>1471</v>
      </c>
      <c r="C1369" s="15" t="s">
        <v>5365</v>
      </c>
      <c r="D1369" s="15" t="s">
        <v>5366</v>
      </c>
      <c r="E1369" s="16" t="str">
        <f aca="false">HYPERLINK("#'Forrásszöveg'!A"&amp;(MATCH("VHR-S0043",Forrásszöveg!$A$6:$A$2497,0)+5),"1. § (6) eleje")</f>
        <v>1. § (6) eleje</v>
      </c>
      <c r="F1369" s="16" t="str">
        <f aca="false">HYPERLINK("https://net.jogtar.hu/jogszabaly?docid=a2400418.kor#pr45id","Jogtár megnyitása")</f>
        <v>Jogtár megnyitása</v>
      </c>
    </row>
    <row r="1370" customFormat="false" ht="34" hidden="false" customHeight="true" outlineLevel="0" collapsed="false">
      <c r="A1370" s="15" t="s">
        <v>5367</v>
      </c>
      <c r="B1370" s="15" t="s">
        <v>1471</v>
      </c>
      <c r="C1370" s="15" t="s">
        <v>1679</v>
      </c>
      <c r="D1370" s="15" t="s">
        <v>5368</v>
      </c>
      <c r="E1370" s="16" t="str">
        <f aca="false">HYPERLINK("#'Forrásszöveg'!A"&amp;(MATCH("VHR-S0043",Forrásszöveg!$A$6:$A$2497,0)+5),"1. § (6) eleje")</f>
        <v>1. § (6) eleje</v>
      </c>
      <c r="F1370" s="16" t="str">
        <f aca="false">HYPERLINK("https://net.jogtar.hu/jogszabaly?docid=a2400418.kor#pr46id","Jogtár megnyitása")</f>
        <v>Jogtár megnyitása</v>
      </c>
    </row>
    <row r="1371" customFormat="false" ht="34" hidden="false" customHeight="true" outlineLevel="0" collapsed="false">
      <c r="A1371" s="15" t="s">
        <v>5369</v>
      </c>
      <c r="B1371" s="15" t="s">
        <v>1471</v>
      </c>
      <c r="C1371" s="15" t="s">
        <v>1721</v>
      </c>
      <c r="D1371" s="15" t="s">
        <v>5370</v>
      </c>
      <c r="E1371" s="16" t="str">
        <f aca="false">HYPERLINK("#'Forrásszöveg'!A"&amp;(MATCH("VHR-S0047",Forrásszöveg!$A$6:$A$2497,0)+5),"1. § (7) eleje")</f>
        <v>1. § (7) eleje</v>
      </c>
      <c r="F1371" s="16" t="str">
        <f aca="false">HYPERLINK("https://net.jogtar.hu/jogszabaly?docid=a2400418.kor#pr47id","Jogtár megnyitása")</f>
        <v>Jogtár megnyitása</v>
      </c>
    </row>
    <row r="1372" customFormat="false" ht="38" hidden="false" customHeight="true" outlineLevel="0" collapsed="false">
      <c r="A1372" s="15" t="s">
        <v>5371</v>
      </c>
      <c r="B1372" s="15" t="s">
        <v>1471</v>
      </c>
      <c r="C1372" s="15" t="s">
        <v>5372</v>
      </c>
      <c r="D1372" s="15" t="s">
        <v>5373</v>
      </c>
      <c r="E1372" s="16" t="str">
        <f aca="false">HYPERLINK("#'Forrásszöveg'!A"&amp;(MATCH("VHR-S0047",Forrásszöveg!$A$6:$A$2497,0)+5),"1. § (7) eleje")</f>
        <v>1. § (7) eleje</v>
      </c>
      <c r="F1372" s="16" t="str">
        <f aca="false">HYPERLINK("https://net.jogtar.hu/jogszabaly?docid=a2400418.kor#pr48id","Jogtár megnyitása")</f>
        <v>Jogtár megnyitása</v>
      </c>
    </row>
    <row r="1373" customFormat="false" ht="34" hidden="false" customHeight="true" outlineLevel="0" collapsed="false">
      <c r="A1373" s="15" t="s">
        <v>5374</v>
      </c>
      <c r="B1373" s="15" t="s">
        <v>1471</v>
      </c>
      <c r="C1373" s="15" t="s">
        <v>5375</v>
      </c>
      <c r="D1373" s="15" t="s">
        <v>5376</v>
      </c>
      <c r="E1373" s="16" t="str">
        <f aca="false">HYPERLINK("#'Forrásszöveg'!A"&amp;(MATCH("VHR-S0047",Forrásszöveg!$A$6:$A$2497,0)+5),"1. § (7) eleje")</f>
        <v>1. § (7) eleje</v>
      </c>
      <c r="F1373" s="16" t="str">
        <f aca="false">HYPERLINK("https://net.jogtar.hu/jogszabaly?docid=a2400418.kor#pr49id","Jogtár megnyitása")</f>
        <v>Jogtár megnyitása</v>
      </c>
    </row>
    <row r="1374" customFormat="false" ht="34" hidden="false" customHeight="true" outlineLevel="0" collapsed="false">
      <c r="A1374" s="15" t="s">
        <v>5377</v>
      </c>
      <c r="B1374" s="15" t="s">
        <v>1471</v>
      </c>
      <c r="C1374" s="15" t="s">
        <v>1721</v>
      </c>
      <c r="D1374" s="15" t="s">
        <v>5378</v>
      </c>
      <c r="E1374" s="16" t="str">
        <f aca="false">HYPERLINK("#'Forrásszöveg'!A"&amp;(MATCH("VHR-S0047",Forrásszöveg!$A$6:$A$2497,0)+5),"1. § (7) eleje")</f>
        <v>1. § (7) eleje</v>
      </c>
      <c r="F1374" s="16" t="str">
        <f aca="false">HYPERLINK("https://net.jogtar.hu/jogszabaly?docid=a2400418.kor#pr50id","Jogtár megnyitása")</f>
        <v>Jogtár megnyitása</v>
      </c>
    </row>
    <row r="1375" customFormat="false" ht="34" hidden="false" customHeight="true" outlineLevel="0" collapsed="false">
      <c r="A1375" s="15" t="s">
        <v>5379</v>
      </c>
      <c r="B1375" s="15" t="s">
        <v>1471</v>
      </c>
      <c r="C1375" s="15" t="s">
        <v>1306</v>
      </c>
      <c r="D1375" s="15" t="s">
        <v>1306</v>
      </c>
      <c r="E1375" s="16" t="str">
        <f aca="false">HYPERLINK("#'Forrásszöveg'!A"&amp;(MATCH("VHR-S0032",Forrásszöveg!$A$6:$A$2497,0)+5),"1. § eleje")</f>
        <v>1. § eleje</v>
      </c>
      <c r="F1375" s="16" t="str">
        <f aca="false">HYPERLINK("https://net.jogtar.hu/jogszabaly?docid=a2400418.kor#pr51id","Jogtár megnyitása")</f>
        <v>Jogtár megnyitása</v>
      </c>
    </row>
    <row r="1376" customFormat="false" ht="34" hidden="false" customHeight="true" outlineLevel="0" collapsed="false">
      <c r="A1376" s="15" t="s">
        <v>5380</v>
      </c>
      <c r="B1376" s="15" t="s">
        <v>1471</v>
      </c>
      <c r="C1376" s="15" t="s">
        <v>1303</v>
      </c>
      <c r="D1376" s="15" t="s">
        <v>5381</v>
      </c>
      <c r="E1376" s="16" t="str">
        <f aca="false">HYPERLINK("#'Forrásszöveg'!A"&amp;(MATCH("VHR-S0052",Forrásszöveg!$A$6:$A$2497,0)+5),"2. § eleje")</f>
        <v>2. § eleje</v>
      </c>
      <c r="F1376" s="16" t="str">
        <f aca="false">HYPERLINK("https://net.jogtar.hu/jogszabaly?docid=a2400418.kor#pr52id","Jogtár megnyitása")</f>
        <v>Jogtár megnyitása</v>
      </c>
    </row>
    <row r="1377" customFormat="false" ht="66" hidden="false" customHeight="true" outlineLevel="0" collapsed="false">
      <c r="A1377" s="15" t="s">
        <v>5382</v>
      </c>
      <c r="B1377" s="15" t="s">
        <v>1471</v>
      </c>
      <c r="C1377" s="15" t="s">
        <v>5383</v>
      </c>
      <c r="D1377" s="15" t="s">
        <v>5384</v>
      </c>
      <c r="E1377" s="16" t="str">
        <f aca="false">HYPERLINK("#'Forrásszöveg'!A"&amp;(MATCH("VHR-S0052",Forrásszöveg!$A$6:$A$2497,0)+5),"2. § eleje")</f>
        <v>2. § eleje</v>
      </c>
      <c r="F1377" s="16" t="str">
        <f aca="false">HYPERLINK("https://net.jogtar.hu/jogszabaly?docid=a2400418.kor#pr53id","Jogtár megnyitása")</f>
        <v>Jogtár megnyitása</v>
      </c>
    </row>
    <row r="1378" customFormat="false" ht="52" hidden="false" customHeight="true" outlineLevel="0" collapsed="false">
      <c r="A1378" s="15" t="s">
        <v>5385</v>
      </c>
      <c r="B1378" s="15" t="s">
        <v>1471</v>
      </c>
      <c r="C1378" s="15" t="s">
        <v>5386</v>
      </c>
      <c r="D1378" s="15" t="s">
        <v>5387</v>
      </c>
      <c r="E1378" s="16" t="str">
        <f aca="false">HYPERLINK("#'Forrásszöveg'!A"&amp;(MATCH("VHR-S0052",Forrásszöveg!$A$6:$A$2497,0)+5),"2. § eleje")</f>
        <v>2. § eleje</v>
      </c>
      <c r="F1378" s="16" t="str">
        <f aca="false">HYPERLINK("https://net.jogtar.hu/jogszabaly?docid=a2400418.kor#pr54id","Jogtár megnyitása")</f>
        <v>Jogtár megnyitása</v>
      </c>
    </row>
    <row r="1379" customFormat="false" ht="52" hidden="false" customHeight="true" outlineLevel="0" collapsed="false">
      <c r="A1379" s="15" t="s">
        <v>5388</v>
      </c>
      <c r="B1379" s="15" t="s">
        <v>1471</v>
      </c>
      <c r="C1379" s="15" t="s">
        <v>5389</v>
      </c>
      <c r="D1379" s="15" t="s">
        <v>5390</v>
      </c>
      <c r="E1379" s="16" t="str">
        <f aca="false">HYPERLINK("#'Forrásszöveg'!A"&amp;(MATCH("VHR-S0052",Forrásszöveg!$A$6:$A$2497,0)+5),"2. § eleje")</f>
        <v>2. § eleje</v>
      </c>
      <c r="F1379" s="16" t="str">
        <f aca="false">HYPERLINK("https://net.jogtar.hu/jogszabaly?docid=a2400418.kor#pr55id","Jogtár megnyitása")</f>
        <v>Jogtár megnyitása</v>
      </c>
    </row>
    <row r="1380" customFormat="false" ht="38" hidden="false" customHeight="true" outlineLevel="0" collapsed="false">
      <c r="A1380" s="15" t="s">
        <v>5391</v>
      </c>
      <c r="B1380" s="15" t="s">
        <v>1471</v>
      </c>
      <c r="C1380" s="15" t="s">
        <v>5392</v>
      </c>
      <c r="D1380" s="15" t="s">
        <v>5393</v>
      </c>
      <c r="E1380" s="16" t="str">
        <f aca="false">HYPERLINK("#'Forrásszöveg'!A"&amp;(MATCH("VHR-S0052",Forrásszöveg!$A$6:$A$2497,0)+5),"2. § eleje")</f>
        <v>2. § eleje</v>
      </c>
      <c r="F1380" s="16" t="str">
        <f aca="false">HYPERLINK("https://net.jogtar.hu/jogszabaly?docid=a2400418.kor#pr56id","Jogtár megnyitása")</f>
        <v>Jogtár megnyitása</v>
      </c>
    </row>
    <row r="1381" customFormat="false" ht="38" hidden="false" customHeight="true" outlineLevel="0" collapsed="false">
      <c r="A1381" s="15" t="s">
        <v>5394</v>
      </c>
      <c r="B1381" s="15" t="s">
        <v>1471</v>
      </c>
      <c r="C1381" s="15" t="s">
        <v>5395</v>
      </c>
      <c r="D1381" s="15" t="s">
        <v>5396</v>
      </c>
      <c r="E1381" s="16" t="str">
        <f aca="false">HYPERLINK("#'Forrásszöveg'!A"&amp;(MATCH("VHR-S0052",Forrásszöveg!$A$6:$A$2497,0)+5),"2. § eleje")</f>
        <v>2. § eleje</v>
      </c>
      <c r="F1381" s="16" t="str">
        <f aca="false">HYPERLINK("https://net.jogtar.hu/jogszabaly?docid=a2400418.kor#pr57id","Jogtár megnyitása")</f>
        <v>Jogtár megnyitása</v>
      </c>
    </row>
    <row r="1382" customFormat="false" ht="38" hidden="false" customHeight="true" outlineLevel="0" collapsed="false">
      <c r="A1382" s="15" t="s">
        <v>5397</v>
      </c>
      <c r="B1382" s="15" t="s">
        <v>1471</v>
      </c>
      <c r="C1382" s="15" t="s">
        <v>5398</v>
      </c>
      <c r="D1382" s="15" t="s">
        <v>5399</v>
      </c>
      <c r="E1382" s="16" t="str">
        <f aca="false">HYPERLINK("#'Forrásszöveg'!A"&amp;(MATCH("VHR-S0052",Forrásszöveg!$A$6:$A$2497,0)+5),"2. § eleje")</f>
        <v>2. § eleje</v>
      </c>
      <c r="F1382" s="16" t="str">
        <f aca="false">HYPERLINK("https://net.jogtar.hu/jogszabaly?docid=a2400418.kor#pr58id","Jogtár megnyitása")</f>
        <v>Jogtár megnyitása</v>
      </c>
    </row>
    <row r="1383" customFormat="false" ht="52" hidden="false" customHeight="true" outlineLevel="0" collapsed="false">
      <c r="A1383" s="15" t="s">
        <v>5400</v>
      </c>
      <c r="B1383" s="15" t="s">
        <v>1471</v>
      </c>
      <c r="C1383" s="15" t="s">
        <v>5401</v>
      </c>
      <c r="D1383" s="15" t="s">
        <v>5402</v>
      </c>
      <c r="E1383" s="16" t="str">
        <f aca="false">HYPERLINK("#'Forrásszöveg'!A"&amp;(MATCH("VHR-S0052",Forrásszöveg!$A$6:$A$2497,0)+5),"2. § eleje")</f>
        <v>2. § eleje</v>
      </c>
      <c r="F1383" s="16" t="str">
        <f aca="false">HYPERLINK("https://net.jogtar.hu/jogszabaly?docid=a2400418.kor#pr59id","Jogtár megnyitása")</f>
        <v>Jogtár megnyitása</v>
      </c>
    </row>
    <row r="1384" customFormat="false" ht="34" hidden="false" customHeight="true" outlineLevel="0" collapsed="false">
      <c r="A1384" s="15" t="s">
        <v>5403</v>
      </c>
      <c r="B1384" s="15" t="s">
        <v>1471</v>
      </c>
      <c r="C1384" s="15" t="s">
        <v>5404</v>
      </c>
      <c r="D1384" s="15" t="s">
        <v>5405</v>
      </c>
      <c r="E1384" s="16" t="str">
        <f aca="false">HYPERLINK("#'Forrásszöveg'!A"&amp;(MATCH("VHR-S0052",Forrásszöveg!$A$6:$A$2497,0)+5),"2. § eleje")</f>
        <v>2. § eleje</v>
      </c>
      <c r="F1384" s="16" t="str">
        <f aca="false">HYPERLINK("https://net.jogtar.hu/jogszabaly?docid=a2400418.kor#pr60id","Jogtár megnyitása")</f>
        <v>Jogtár megnyitása</v>
      </c>
    </row>
    <row r="1385" customFormat="false" ht="38" hidden="false" customHeight="true" outlineLevel="0" collapsed="false">
      <c r="A1385" s="15" t="s">
        <v>5406</v>
      </c>
      <c r="B1385" s="15" t="s">
        <v>1471</v>
      </c>
      <c r="C1385" s="15" t="s">
        <v>5407</v>
      </c>
      <c r="D1385" s="15" t="s">
        <v>5408</v>
      </c>
      <c r="E1385" s="16" t="str">
        <f aca="false">HYPERLINK("#'Forrásszöveg'!A"&amp;(MATCH("VHR-S0052",Forrásszöveg!$A$6:$A$2497,0)+5),"2. § eleje")</f>
        <v>2. § eleje</v>
      </c>
      <c r="F1385" s="16" t="str">
        <f aca="false">HYPERLINK("https://net.jogtar.hu/jogszabaly?docid=a2400418.kor#pr61id","Jogtár megnyitása")</f>
        <v>Jogtár megnyitása</v>
      </c>
    </row>
    <row r="1386" customFormat="false" ht="52" hidden="false" customHeight="true" outlineLevel="0" collapsed="false">
      <c r="A1386" s="15" t="s">
        <v>5409</v>
      </c>
      <c r="B1386" s="15" t="s">
        <v>1471</v>
      </c>
      <c r="C1386" s="15" t="s">
        <v>5410</v>
      </c>
      <c r="D1386" s="15" t="s">
        <v>5411</v>
      </c>
      <c r="E1386" s="16" t="str">
        <f aca="false">HYPERLINK("#'Forrásszöveg'!A"&amp;(MATCH("VHR-S0052",Forrásszöveg!$A$6:$A$2497,0)+5),"2. § eleje")</f>
        <v>2. § eleje</v>
      </c>
      <c r="F1386" s="16" t="str">
        <f aca="false">HYPERLINK("https://net.jogtar.hu/jogszabaly?docid=a2400418.kor#pr62id","Jogtár megnyitása")</f>
        <v>Jogtár megnyitása</v>
      </c>
    </row>
    <row r="1387" customFormat="false" ht="38" hidden="false" customHeight="true" outlineLevel="0" collapsed="false">
      <c r="A1387" s="15" t="s">
        <v>5412</v>
      </c>
      <c r="B1387" s="15" t="s">
        <v>1471</v>
      </c>
      <c r="C1387" s="15" t="s">
        <v>5413</v>
      </c>
      <c r="D1387" s="15" t="s">
        <v>5414</v>
      </c>
      <c r="E1387" s="16" t="str">
        <f aca="false">HYPERLINK("#'Forrásszöveg'!A"&amp;(MATCH("VHR-S0052",Forrásszöveg!$A$6:$A$2497,0)+5),"2. § eleje")</f>
        <v>2. § eleje</v>
      </c>
      <c r="F1387" s="16" t="str">
        <f aca="false">HYPERLINK("https://net.jogtar.hu/jogszabaly?docid=a2400418.kor#pr63id","Jogtár megnyitása")</f>
        <v>Jogtár megnyitása</v>
      </c>
    </row>
    <row r="1388" customFormat="false" ht="38" hidden="false" customHeight="true" outlineLevel="0" collapsed="false">
      <c r="A1388" s="15" t="s">
        <v>5415</v>
      </c>
      <c r="B1388" s="15" t="s">
        <v>1471</v>
      </c>
      <c r="C1388" s="15" t="s">
        <v>5416</v>
      </c>
      <c r="D1388" s="15" t="s">
        <v>5417</v>
      </c>
      <c r="E1388" s="16" t="str">
        <f aca="false">HYPERLINK("#'Forrásszöveg'!A"&amp;(MATCH("VHR-S0052",Forrásszöveg!$A$6:$A$2497,0)+5),"2. § eleje")</f>
        <v>2. § eleje</v>
      </c>
      <c r="F1388" s="16" t="str">
        <f aca="false">HYPERLINK("https://net.jogtar.hu/jogszabaly?docid=a2400418.kor#pr64id","Jogtár megnyitása")</f>
        <v>Jogtár megnyitása</v>
      </c>
    </row>
    <row r="1389" customFormat="false" ht="80" hidden="false" customHeight="true" outlineLevel="0" collapsed="false">
      <c r="A1389" s="15" t="s">
        <v>5418</v>
      </c>
      <c r="B1389" s="15" t="s">
        <v>1471</v>
      </c>
      <c r="C1389" s="15" t="s">
        <v>5419</v>
      </c>
      <c r="D1389" s="15" t="s">
        <v>5420</v>
      </c>
      <c r="E1389" s="16" t="str">
        <f aca="false">HYPERLINK("#'Forrásszöveg'!A"&amp;(MATCH("VHR-S0052",Forrásszöveg!$A$6:$A$2497,0)+5),"2. § eleje")</f>
        <v>2. § eleje</v>
      </c>
      <c r="F1389" s="16" t="str">
        <f aca="false">HYPERLINK("https://net.jogtar.hu/jogszabaly?docid=a2400418.kor#pr65id","Jogtár megnyitása")</f>
        <v>Jogtár megnyitása</v>
      </c>
    </row>
    <row r="1390" customFormat="false" ht="66" hidden="false" customHeight="true" outlineLevel="0" collapsed="false">
      <c r="A1390" s="15" t="s">
        <v>5421</v>
      </c>
      <c r="B1390" s="15" t="s">
        <v>1471</v>
      </c>
      <c r="C1390" s="15" t="s">
        <v>5422</v>
      </c>
      <c r="D1390" s="15" t="s">
        <v>5423</v>
      </c>
      <c r="E1390" s="16" t="str">
        <f aca="false">HYPERLINK("#'Forrásszöveg'!A"&amp;(MATCH("VHR-S0052",Forrásszöveg!$A$6:$A$2497,0)+5),"2. § eleje")</f>
        <v>2. § eleje</v>
      </c>
      <c r="F1390" s="16" t="str">
        <f aca="false">HYPERLINK("https://net.jogtar.hu/jogszabaly?docid=a2400418.kor#pr66id","Jogtár megnyitása")</f>
        <v>Jogtár megnyitása</v>
      </c>
    </row>
    <row r="1391" customFormat="false" ht="52" hidden="false" customHeight="true" outlineLevel="0" collapsed="false">
      <c r="A1391" s="15" t="s">
        <v>5424</v>
      </c>
      <c r="B1391" s="15" t="s">
        <v>1471</v>
      </c>
      <c r="C1391" s="15" t="s">
        <v>5425</v>
      </c>
      <c r="D1391" s="15" t="s">
        <v>5426</v>
      </c>
      <c r="E1391" s="16" t="str">
        <f aca="false">HYPERLINK("#'Forrásszöveg'!A"&amp;(MATCH("VHR-S0052",Forrásszöveg!$A$6:$A$2497,0)+5),"2. § eleje")</f>
        <v>2. § eleje</v>
      </c>
      <c r="F1391" s="16" t="str">
        <f aca="false">HYPERLINK("https://net.jogtar.hu/jogszabaly?docid=a2400418.kor#pr67id","Jogtár megnyitása")</f>
        <v>Jogtár megnyitása</v>
      </c>
    </row>
    <row r="1392" customFormat="false" ht="38" hidden="false" customHeight="true" outlineLevel="0" collapsed="false">
      <c r="A1392" s="15" t="s">
        <v>5427</v>
      </c>
      <c r="B1392" s="15" t="s">
        <v>1471</v>
      </c>
      <c r="C1392" s="15" t="s">
        <v>5428</v>
      </c>
      <c r="D1392" s="15" t="s">
        <v>5429</v>
      </c>
      <c r="E1392" s="16" t="str">
        <f aca="false">HYPERLINK("#'Forrásszöveg'!A"&amp;(MATCH("VHR-S0052",Forrásszöveg!$A$6:$A$2497,0)+5),"2. § eleje")</f>
        <v>2. § eleje</v>
      </c>
      <c r="F1392" s="16" t="str">
        <f aca="false">HYPERLINK("https://net.jogtar.hu/jogszabaly?docid=a2400418.kor#pr68id","Jogtár megnyitása")</f>
        <v>Jogtár megnyitása</v>
      </c>
    </row>
    <row r="1393" customFormat="false" ht="66" hidden="false" customHeight="true" outlineLevel="0" collapsed="false">
      <c r="A1393" s="15" t="s">
        <v>5430</v>
      </c>
      <c r="B1393" s="15" t="s">
        <v>1471</v>
      </c>
      <c r="C1393" s="15" t="s">
        <v>5431</v>
      </c>
      <c r="D1393" s="15" t="s">
        <v>5432</v>
      </c>
      <c r="E1393" s="16" t="str">
        <f aca="false">HYPERLINK("#'Forrásszöveg'!A"&amp;(MATCH("VHR-S0052",Forrásszöveg!$A$6:$A$2497,0)+5),"2. § eleje")</f>
        <v>2. § eleje</v>
      </c>
      <c r="F1393" s="16" t="str">
        <f aca="false">HYPERLINK("https://net.jogtar.hu/jogszabaly?docid=a2400418.kor#pr69id","Jogtár megnyitása")</f>
        <v>Jogtár megnyitása</v>
      </c>
    </row>
    <row r="1394" customFormat="false" ht="34" hidden="false" customHeight="true" outlineLevel="0" collapsed="false">
      <c r="A1394" s="15" t="s">
        <v>5433</v>
      </c>
      <c r="B1394" s="15" t="s">
        <v>1471</v>
      </c>
      <c r="C1394" s="15" t="s">
        <v>5434</v>
      </c>
      <c r="D1394" s="15" t="s">
        <v>5435</v>
      </c>
      <c r="E1394" s="16" t="str">
        <f aca="false">HYPERLINK("#'Forrásszöveg'!A"&amp;(MATCH("VHR-S0052",Forrásszöveg!$A$6:$A$2497,0)+5),"2. § eleje")</f>
        <v>2. § eleje</v>
      </c>
      <c r="F1394" s="16" t="str">
        <f aca="false">HYPERLINK("https://net.jogtar.hu/jogszabaly?docid=a2400418.kor#pr70id","Jogtár megnyitása")</f>
        <v>Jogtár megnyitása</v>
      </c>
    </row>
    <row r="1395" customFormat="false" ht="38" hidden="false" customHeight="true" outlineLevel="0" collapsed="false">
      <c r="A1395" s="15" t="s">
        <v>5436</v>
      </c>
      <c r="B1395" s="15" t="s">
        <v>1471</v>
      </c>
      <c r="C1395" s="15" t="s">
        <v>5437</v>
      </c>
      <c r="D1395" s="15" t="s">
        <v>5438</v>
      </c>
      <c r="E1395" s="16" t="str">
        <f aca="false">HYPERLINK("#'Forrásszöveg'!A"&amp;(MATCH("VHR-S0052",Forrásszöveg!$A$6:$A$2497,0)+5),"2. § eleje")</f>
        <v>2. § eleje</v>
      </c>
      <c r="F1395" s="16" t="str">
        <f aca="false">HYPERLINK("https://net.jogtar.hu/jogszabaly?docid=a2400418.kor#pr71id","Jogtár megnyitása")</f>
        <v>Jogtár megnyitása</v>
      </c>
    </row>
    <row r="1396" customFormat="false" ht="66" hidden="false" customHeight="true" outlineLevel="0" collapsed="false">
      <c r="A1396" s="15" t="s">
        <v>5439</v>
      </c>
      <c r="B1396" s="15" t="s">
        <v>1471</v>
      </c>
      <c r="C1396" s="15" t="s">
        <v>5440</v>
      </c>
      <c r="D1396" s="15" t="s">
        <v>5441</v>
      </c>
      <c r="E1396" s="16" t="str">
        <f aca="false">HYPERLINK("#'Forrásszöveg'!A"&amp;(MATCH("VHR-S0052",Forrásszöveg!$A$6:$A$2497,0)+5),"2. § eleje")</f>
        <v>2. § eleje</v>
      </c>
      <c r="F1396" s="16" t="str">
        <f aca="false">HYPERLINK("https://net.jogtar.hu/jogszabaly?docid=a2400418.kor#pr72id","Jogtár megnyitása")</f>
        <v>Jogtár megnyitása</v>
      </c>
    </row>
    <row r="1397" customFormat="false" ht="52" hidden="false" customHeight="true" outlineLevel="0" collapsed="false">
      <c r="A1397" s="15" t="s">
        <v>5442</v>
      </c>
      <c r="B1397" s="15" t="s">
        <v>1471</v>
      </c>
      <c r="C1397" s="15" t="s">
        <v>5443</v>
      </c>
      <c r="D1397" s="15" t="s">
        <v>5444</v>
      </c>
      <c r="E1397" s="16" t="str">
        <f aca="false">HYPERLINK("#'Forrásszöveg'!A"&amp;(MATCH("VHR-S0052",Forrásszöveg!$A$6:$A$2497,0)+5),"2. § eleje")</f>
        <v>2. § eleje</v>
      </c>
      <c r="F1397" s="16" t="str">
        <f aca="false">HYPERLINK("https://net.jogtar.hu/jogszabaly?docid=a2400418.kor#pr73id","Jogtár megnyitása")</f>
        <v>Jogtár megnyitása</v>
      </c>
    </row>
    <row r="1398" customFormat="false" ht="38" hidden="false" customHeight="true" outlineLevel="0" collapsed="false">
      <c r="A1398" s="15" t="s">
        <v>5445</v>
      </c>
      <c r="B1398" s="15" t="s">
        <v>1471</v>
      </c>
      <c r="C1398" s="15" t="s">
        <v>5446</v>
      </c>
      <c r="D1398" s="15" t="s">
        <v>5447</v>
      </c>
      <c r="E1398" s="16" t="str">
        <f aca="false">HYPERLINK("#'Forrásszöveg'!A"&amp;(MATCH("VHR-S0052",Forrásszöveg!$A$6:$A$2497,0)+5),"2. § eleje")</f>
        <v>2. § eleje</v>
      </c>
      <c r="F1398" s="16" t="str">
        <f aca="false">HYPERLINK("https://net.jogtar.hu/jogszabaly?docid=a2400418.kor#pr74id","Jogtár megnyitása")</f>
        <v>Jogtár megnyitása</v>
      </c>
    </row>
    <row r="1399" customFormat="false" ht="52" hidden="false" customHeight="true" outlineLevel="0" collapsed="false">
      <c r="A1399" s="15" t="s">
        <v>5448</v>
      </c>
      <c r="B1399" s="15" t="s">
        <v>1471</v>
      </c>
      <c r="C1399" s="15" t="s">
        <v>5449</v>
      </c>
      <c r="D1399" s="15" t="s">
        <v>5450</v>
      </c>
      <c r="E1399" s="16" t="str">
        <f aca="false">HYPERLINK("#'Forrásszöveg'!A"&amp;(MATCH("VHR-S0052",Forrásszöveg!$A$6:$A$2497,0)+5),"2. § eleje")</f>
        <v>2. § eleje</v>
      </c>
      <c r="F1399" s="16" t="str">
        <f aca="false">HYPERLINK("https://net.jogtar.hu/jogszabaly?docid=a2400418.kor#pr75id","Jogtár megnyitása")</f>
        <v>Jogtár megnyitása</v>
      </c>
    </row>
    <row r="1400" customFormat="false" ht="38" hidden="false" customHeight="true" outlineLevel="0" collapsed="false">
      <c r="A1400" s="15" t="s">
        <v>5451</v>
      </c>
      <c r="B1400" s="15" t="s">
        <v>1471</v>
      </c>
      <c r="C1400" s="15" t="s">
        <v>5452</v>
      </c>
      <c r="D1400" s="15" t="s">
        <v>5453</v>
      </c>
      <c r="E1400" s="16" t="str">
        <f aca="false">HYPERLINK("#'Forrásszöveg'!A"&amp;(MATCH("VHR-S0052",Forrásszöveg!$A$6:$A$2497,0)+5),"2. § eleje")</f>
        <v>2. § eleje</v>
      </c>
      <c r="F1400" s="16" t="str">
        <f aca="false">HYPERLINK("https://net.jogtar.hu/jogszabaly?docid=a2400418.kor#pr76id","Jogtár megnyitása")</f>
        <v>Jogtár megnyitása</v>
      </c>
    </row>
    <row r="1401" customFormat="false" ht="38" hidden="false" customHeight="true" outlineLevel="0" collapsed="false">
      <c r="A1401" s="15" t="s">
        <v>5454</v>
      </c>
      <c r="B1401" s="15" t="s">
        <v>1471</v>
      </c>
      <c r="C1401" s="15" t="s">
        <v>5455</v>
      </c>
      <c r="D1401" s="15" t="s">
        <v>5456</v>
      </c>
      <c r="E1401" s="16" t="str">
        <f aca="false">HYPERLINK("#'Forrásszöveg'!A"&amp;(MATCH("VHR-S0052",Forrásszöveg!$A$6:$A$2497,0)+5),"2. § eleje")</f>
        <v>2. § eleje</v>
      </c>
      <c r="F1401" s="16" t="str">
        <f aca="false">HYPERLINK("https://net.jogtar.hu/jogszabaly?docid=a2400418.kor#pr77id","Jogtár megnyitása")</f>
        <v>Jogtár megnyitása</v>
      </c>
    </row>
    <row r="1402" customFormat="false" ht="34" hidden="false" customHeight="true" outlineLevel="0" collapsed="false">
      <c r="A1402" s="15" t="s">
        <v>5457</v>
      </c>
      <c r="B1402" s="15" t="s">
        <v>1471</v>
      </c>
      <c r="C1402" s="15" t="s">
        <v>5458</v>
      </c>
      <c r="D1402" s="15" t="s">
        <v>5459</v>
      </c>
      <c r="E1402" s="16" t="str">
        <f aca="false">HYPERLINK("#'Forrásszöveg'!A"&amp;(MATCH("VHR-S0052",Forrásszöveg!$A$6:$A$2497,0)+5),"2. § eleje")</f>
        <v>2. § eleje</v>
      </c>
      <c r="F1402" s="16" t="str">
        <f aca="false">HYPERLINK("https://net.jogtar.hu/jogszabaly?docid=a2400418.kor#pr78id","Jogtár megnyitása")</f>
        <v>Jogtár megnyitása</v>
      </c>
    </row>
    <row r="1403" customFormat="false" ht="80" hidden="false" customHeight="true" outlineLevel="0" collapsed="false">
      <c r="A1403" s="15" t="s">
        <v>5460</v>
      </c>
      <c r="B1403" s="15" t="s">
        <v>1471</v>
      </c>
      <c r="C1403" s="15" t="s">
        <v>5461</v>
      </c>
      <c r="D1403" s="15" t="s">
        <v>5462</v>
      </c>
      <c r="E1403" s="16" t="str">
        <f aca="false">HYPERLINK("#'Forrásszöveg'!A"&amp;(MATCH("VHR-S0052",Forrásszöveg!$A$6:$A$2497,0)+5),"2. § eleje")</f>
        <v>2. § eleje</v>
      </c>
      <c r="F1403" s="16" t="str">
        <f aca="false">HYPERLINK("https://net.jogtar.hu/jogszabaly?docid=a2400418.kor#pr79id","Jogtár megnyitása")</f>
        <v>Jogtár megnyitása</v>
      </c>
    </row>
    <row r="1404" customFormat="false" ht="52" hidden="false" customHeight="true" outlineLevel="0" collapsed="false">
      <c r="A1404" s="15" t="s">
        <v>5463</v>
      </c>
      <c r="B1404" s="15" t="s">
        <v>1471</v>
      </c>
      <c r="C1404" s="15" t="s">
        <v>5464</v>
      </c>
      <c r="D1404" s="15" t="s">
        <v>5465</v>
      </c>
      <c r="E1404" s="16" t="str">
        <f aca="false">HYPERLINK("#'Forrásszöveg'!A"&amp;(MATCH("VHR-S0052",Forrásszöveg!$A$6:$A$2497,0)+5),"2. § eleje")</f>
        <v>2. § eleje</v>
      </c>
      <c r="F1404" s="16" t="str">
        <f aca="false">HYPERLINK("https://net.jogtar.hu/jogszabaly?docid=a2400418.kor#pr80id","Jogtár megnyitása")</f>
        <v>Jogtár megnyitása</v>
      </c>
    </row>
    <row r="1405" customFormat="false" ht="34" hidden="false" customHeight="true" outlineLevel="0" collapsed="false">
      <c r="A1405" s="15" t="s">
        <v>5466</v>
      </c>
      <c r="B1405" s="15" t="s">
        <v>1471</v>
      </c>
      <c r="C1405" s="15" t="s">
        <v>2243</v>
      </c>
      <c r="D1405" s="15" t="s">
        <v>2243</v>
      </c>
      <c r="E1405" s="16" t="str">
        <f aca="false">HYPERLINK("#'Forrásszöveg'!A"&amp;(MATCH("VHR-S0052",Forrásszöveg!$A$6:$A$2497,0)+5),"2. § eleje")</f>
        <v>2. § eleje</v>
      </c>
      <c r="F1405" s="16" t="str">
        <f aca="false">HYPERLINK("https://net.jogtar.hu/jogszabaly?docid=a2400418.kor#pr81id","Jogtár megnyitása")</f>
        <v>Jogtár megnyitása</v>
      </c>
    </row>
    <row r="1406" customFormat="false" ht="34" hidden="false" customHeight="true" outlineLevel="0" collapsed="false">
      <c r="A1406" s="15" t="s">
        <v>5467</v>
      </c>
      <c r="B1406" s="15" t="s">
        <v>1471</v>
      </c>
      <c r="C1406" s="15" t="s">
        <v>5468</v>
      </c>
      <c r="D1406" s="15" t="s">
        <v>5468</v>
      </c>
      <c r="E1406" s="16" t="str">
        <f aca="false">HYPERLINK("#'Forrásszöveg'!A"&amp;(MATCH("VHR-S0052",Forrásszöveg!$A$6:$A$2497,0)+5),"2. § eleje")</f>
        <v>2. § eleje</v>
      </c>
      <c r="F1406" s="16" t="str">
        <f aca="false">HYPERLINK("https://net.jogtar.hu/jogszabaly?docid=a2400418.kor#pr82id","Jogtár megnyitása")</f>
        <v>Jogtár megnyitása</v>
      </c>
    </row>
    <row r="1407" customFormat="false" ht="34" hidden="false" customHeight="true" outlineLevel="0" collapsed="false">
      <c r="A1407" s="15" t="s">
        <v>5469</v>
      </c>
      <c r="B1407" s="15" t="s">
        <v>1471</v>
      </c>
      <c r="C1407" s="15" t="s">
        <v>1473</v>
      </c>
      <c r="D1407" s="15" t="s">
        <v>1473</v>
      </c>
      <c r="E1407" s="16" t="str">
        <f aca="false">HYPERLINK("#'Forrásszöveg'!A"&amp;(MATCH("VHR-S0052",Forrásszöveg!$A$6:$A$2497,0)+5),"2. § eleje")</f>
        <v>2. § eleje</v>
      </c>
      <c r="F1407" s="16" t="str">
        <f aca="false">HYPERLINK("https://net.jogtar.hu/jogszabaly?docid=a2400418.kor#pr83id","Jogtár megnyitása")</f>
        <v>Jogtár megnyitása</v>
      </c>
    </row>
    <row r="1408" customFormat="false" ht="38" hidden="false" customHeight="true" outlineLevel="0" collapsed="false">
      <c r="A1408" s="15" t="s">
        <v>5470</v>
      </c>
      <c r="B1408" s="15" t="s">
        <v>1471</v>
      </c>
      <c r="C1408" s="15" t="s">
        <v>1798</v>
      </c>
      <c r="D1408" s="15" t="s">
        <v>5471</v>
      </c>
      <c r="E1408" s="16" t="str">
        <f aca="false">HYPERLINK("#'Forrásszöveg'!A"&amp;(MATCH("VHR-S0084",Forrásszöveg!$A$6:$A$2497,0)+5),"3. § (1) eleje")</f>
        <v>3. § (1) eleje</v>
      </c>
      <c r="F1408" s="16" t="str">
        <f aca="false">HYPERLINK("https://net.jogtar.hu/jogszabaly?docid=a2400418.kor#pr84id","Jogtár megnyitása")</f>
        <v>Jogtár megnyitása</v>
      </c>
    </row>
    <row r="1409" customFormat="false" ht="38" hidden="false" customHeight="true" outlineLevel="0" collapsed="false">
      <c r="A1409" s="15" t="s">
        <v>5472</v>
      </c>
      <c r="B1409" s="15" t="s">
        <v>1471</v>
      </c>
      <c r="C1409" s="15" t="s">
        <v>1813</v>
      </c>
      <c r="D1409" s="15" t="s">
        <v>5473</v>
      </c>
      <c r="E1409" s="16" t="str">
        <f aca="false">HYPERLINK("#'Forrásszöveg'!A"&amp;(MATCH("VHR-S0085",Forrásszöveg!$A$6:$A$2497,0)+5),"3. § (2) eleje")</f>
        <v>3. § (2) eleje</v>
      </c>
      <c r="F1409" s="16" t="str">
        <f aca="false">HYPERLINK("https://net.jogtar.hu/jogszabaly?docid=a2400418.kor#pr85id","Jogtár megnyitása")</f>
        <v>Jogtár megnyitása</v>
      </c>
    </row>
    <row r="1410" customFormat="false" ht="34" hidden="false" customHeight="true" outlineLevel="0" collapsed="false">
      <c r="A1410" s="15" t="s">
        <v>5474</v>
      </c>
      <c r="B1410" s="15" t="s">
        <v>1471</v>
      </c>
      <c r="C1410" s="15" t="s">
        <v>5475</v>
      </c>
      <c r="D1410" s="15" t="s">
        <v>5476</v>
      </c>
      <c r="E1410" s="16" t="str">
        <f aca="false">HYPERLINK("#'Forrásszöveg'!A"&amp;(MATCH("VHR-S0085",Forrásszöveg!$A$6:$A$2497,0)+5),"3. § (2) eleje")</f>
        <v>3. § (2) eleje</v>
      </c>
      <c r="F1410" s="16" t="str">
        <f aca="false">HYPERLINK("https://net.jogtar.hu/jogszabaly?docid=a2400418.kor#pr86id","Jogtár megnyitása")</f>
        <v>Jogtár megnyitása</v>
      </c>
    </row>
    <row r="1411" customFormat="false" ht="38" hidden="false" customHeight="true" outlineLevel="0" collapsed="false">
      <c r="A1411" s="15" t="s">
        <v>5477</v>
      </c>
      <c r="B1411" s="15" t="s">
        <v>1471</v>
      </c>
      <c r="C1411" s="15" t="s">
        <v>5478</v>
      </c>
      <c r="D1411" s="15" t="s">
        <v>5479</v>
      </c>
      <c r="E1411" s="16" t="str">
        <f aca="false">HYPERLINK("#'Forrásszöveg'!A"&amp;(MATCH("VHR-S0085",Forrásszöveg!$A$6:$A$2497,0)+5),"3. § (2) eleje")</f>
        <v>3. § (2) eleje</v>
      </c>
      <c r="F1411" s="16" t="str">
        <f aca="false">HYPERLINK("https://net.jogtar.hu/jogszabaly?docid=a2400418.kor#pr87id","Jogtár megnyitása")</f>
        <v>Jogtár megnyitása</v>
      </c>
    </row>
    <row r="1412" customFormat="false" ht="34" hidden="false" customHeight="true" outlineLevel="0" collapsed="false">
      <c r="A1412" s="15" t="s">
        <v>5480</v>
      </c>
      <c r="B1412" s="15" t="s">
        <v>1471</v>
      </c>
      <c r="C1412" s="15" t="s">
        <v>1813</v>
      </c>
      <c r="D1412" s="15" t="s">
        <v>5481</v>
      </c>
      <c r="E1412" s="16" t="str">
        <f aca="false">HYPERLINK("#'Forrásszöveg'!A"&amp;(MATCH("VHR-S0085",Forrásszöveg!$A$6:$A$2497,0)+5),"3. § (2) eleje")</f>
        <v>3. § (2) eleje</v>
      </c>
      <c r="F1412" s="16" t="str">
        <f aca="false">HYPERLINK("https://net.jogtar.hu/jogszabaly?docid=a2400418.kor#pr88id","Jogtár megnyitása")</f>
        <v>Jogtár megnyitása</v>
      </c>
    </row>
    <row r="1413" customFormat="false" ht="66" hidden="false" customHeight="true" outlineLevel="0" collapsed="false">
      <c r="A1413" s="15" t="s">
        <v>5482</v>
      </c>
      <c r="B1413" s="15" t="s">
        <v>1471</v>
      </c>
      <c r="C1413" s="15" t="s">
        <v>1815</v>
      </c>
      <c r="D1413" s="15" t="s">
        <v>5483</v>
      </c>
      <c r="E1413" s="16" t="str">
        <f aca="false">HYPERLINK("#'Forrásszöveg'!A"&amp;(MATCH("VHR-S0089",Forrásszöveg!$A$6:$A$2497,0)+5),"3. § (3) eleje")</f>
        <v>3. § (3) eleje</v>
      </c>
      <c r="F1413" s="16" t="str">
        <f aca="false">HYPERLINK("https://net.jogtar.hu/jogszabaly?docid=a2400418.kor#pr89id","Jogtár megnyitása")</f>
        <v>Jogtár megnyitása</v>
      </c>
    </row>
    <row r="1414" customFormat="false" ht="66" hidden="false" customHeight="true" outlineLevel="0" collapsed="false">
      <c r="A1414" s="15" t="s">
        <v>5484</v>
      </c>
      <c r="B1414" s="15" t="s">
        <v>1471</v>
      </c>
      <c r="C1414" s="15" t="s">
        <v>5485</v>
      </c>
      <c r="D1414" s="15" t="s">
        <v>5486</v>
      </c>
      <c r="E1414" s="16" t="str">
        <f aca="false">HYPERLINK("#'Forrásszöveg'!A"&amp;(MATCH("VHR-S0090",Forrásszöveg!$A$6:$A$2497,0)+5),"3. § (4) eleje")</f>
        <v>3. § (4) eleje</v>
      </c>
      <c r="F1414" s="16" t="str">
        <f aca="false">HYPERLINK("https://net.jogtar.hu/jogszabaly?docid=a2400418.kor#pr90id","Jogtár megnyitása")</f>
        <v>Jogtár megnyitása</v>
      </c>
    </row>
    <row r="1415" customFormat="false" ht="52" hidden="false" customHeight="true" outlineLevel="0" collapsed="false">
      <c r="A1415" s="15" t="s">
        <v>5487</v>
      </c>
      <c r="B1415" s="15" t="s">
        <v>1471</v>
      </c>
      <c r="C1415" s="15" t="s">
        <v>5488</v>
      </c>
      <c r="D1415" s="15" t="s">
        <v>5489</v>
      </c>
      <c r="E1415" s="16" t="str">
        <f aca="false">HYPERLINK("#'Forrásszöveg'!A"&amp;(MATCH("VHR-S0091",Forrásszöveg!$A$6:$A$2497,0)+5),"3. § (5) eleje")</f>
        <v>3. § (5) eleje</v>
      </c>
      <c r="F1415" s="16" t="str">
        <f aca="false">HYPERLINK("https://net.jogtar.hu/jogszabaly?docid=a2400418.kor#pr91id","Jogtár megnyitása")</f>
        <v>Jogtár megnyitása</v>
      </c>
    </row>
    <row r="1416" customFormat="false" ht="38" hidden="false" customHeight="true" outlineLevel="0" collapsed="false">
      <c r="A1416" s="15" t="s">
        <v>5490</v>
      </c>
      <c r="B1416" s="15" t="s">
        <v>1471</v>
      </c>
      <c r="C1416" s="15" t="s">
        <v>1474</v>
      </c>
      <c r="D1416" s="15" t="s">
        <v>1474</v>
      </c>
      <c r="E1416" s="16" t="str">
        <f aca="false">HYPERLINK("#'Forrásszöveg'!A"&amp;(MATCH("VHR-S0084",Forrásszöveg!$A$6:$A$2497,0)+5),"3. § eleje")</f>
        <v>3. § eleje</v>
      </c>
      <c r="F1416" s="16" t="str">
        <f aca="false">HYPERLINK("https://net.jogtar.hu/jogszabaly?docid=a2400418.kor#pr92id","Jogtár megnyitása")</f>
        <v>Jogtár megnyitása</v>
      </c>
    </row>
    <row r="1417" customFormat="false" ht="52" hidden="false" customHeight="true" outlineLevel="0" collapsed="false">
      <c r="A1417" s="15" t="s">
        <v>5491</v>
      </c>
      <c r="B1417" s="15" t="s">
        <v>1471</v>
      </c>
      <c r="C1417" s="15" t="s">
        <v>5492</v>
      </c>
      <c r="D1417" s="15" t="s">
        <v>5493</v>
      </c>
      <c r="E1417" s="16" t="str">
        <f aca="false">HYPERLINK("#'Forrásszöveg'!A"&amp;(MATCH("VHR-S0093",Forrásszöveg!$A$6:$A$2497,0)+5),"4. § (1) eleje")</f>
        <v>4. § (1) eleje</v>
      </c>
      <c r="F1417" s="16" t="str">
        <f aca="false">HYPERLINK("https://net.jogtar.hu/jogszabaly?docid=a2400418.kor#pr93id","Jogtár megnyitása")</f>
        <v>Jogtár megnyitása</v>
      </c>
    </row>
    <row r="1418" customFormat="false" ht="66" hidden="false" customHeight="true" outlineLevel="0" collapsed="false">
      <c r="A1418" s="15" t="s">
        <v>5494</v>
      </c>
      <c r="B1418" s="15" t="s">
        <v>1471</v>
      </c>
      <c r="C1418" s="15" t="s">
        <v>5495</v>
      </c>
      <c r="D1418" s="15" t="s">
        <v>5496</v>
      </c>
      <c r="E1418" s="16" t="str">
        <f aca="false">HYPERLINK("#'Forrásszöveg'!A"&amp;(MATCH("VHR-S0094",Forrásszöveg!$A$6:$A$2497,0)+5),"4. § (2) eleje")</f>
        <v>4. § (2) eleje</v>
      </c>
      <c r="F1418" s="16" t="str">
        <f aca="false">HYPERLINK("https://net.jogtar.hu/jogszabaly?docid=a2400418.kor#pr94id","Jogtár megnyitása")</f>
        <v>Jogtár megnyitása</v>
      </c>
    </row>
    <row r="1419" customFormat="false" ht="38" hidden="false" customHeight="true" outlineLevel="0" collapsed="false">
      <c r="A1419" s="15" t="s">
        <v>5497</v>
      </c>
      <c r="B1419" s="15" t="s">
        <v>1471</v>
      </c>
      <c r="C1419" s="15" t="s">
        <v>1475</v>
      </c>
      <c r="D1419" s="15" t="s">
        <v>1475</v>
      </c>
      <c r="E1419" s="16" t="str">
        <f aca="false">HYPERLINK("#'Forrásszöveg'!A"&amp;(MATCH("VHR-S0093",Forrásszöveg!$A$6:$A$2497,0)+5),"4. § eleje")</f>
        <v>4. § eleje</v>
      </c>
      <c r="F1419" s="16" t="str">
        <f aca="false">HYPERLINK("https://net.jogtar.hu/jogszabaly?docid=a2400418.kor#pr95id","Jogtár megnyitása")</f>
        <v>Jogtár megnyitása</v>
      </c>
    </row>
    <row r="1420" customFormat="false" ht="38" hidden="false" customHeight="true" outlineLevel="0" collapsed="false">
      <c r="A1420" s="15" t="s">
        <v>5498</v>
      </c>
      <c r="B1420" s="15" t="s">
        <v>1471</v>
      </c>
      <c r="C1420" s="15" t="s">
        <v>2204</v>
      </c>
      <c r="D1420" s="15" t="s">
        <v>5499</v>
      </c>
      <c r="E1420" s="16" t="str">
        <f aca="false">HYPERLINK("#'Forrásszöveg'!A"&amp;(MATCH("VHR-S0096",Forrásszöveg!$A$6:$A$2497,0)+5),"5. § (1) eleje")</f>
        <v>5. § (1) eleje</v>
      </c>
      <c r="F1420" s="16" t="str">
        <f aca="false">HYPERLINK("https://net.jogtar.hu/jogszabaly?docid=a2400418.kor#pr96id","Jogtár megnyitása")</f>
        <v>Jogtár megnyitása</v>
      </c>
    </row>
    <row r="1421" customFormat="false" ht="38" hidden="false" customHeight="true" outlineLevel="0" collapsed="false">
      <c r="A1421" s="15" t="s">
        <v>5500</v>
      </c>
      <c r="B1421" s="15" t="s">
        <v>1471</v>
      </c>
      <c r="C1421" s="15" t="s">
        <v>2215</v>
      </c>
      <c r="D1421" s="15" t="s">
        <v>5501</v>
      </c>
      <c r="E1421" s="16" t="str">
        <f aca="false">HYPERLINK("#'Forrásszöveg'!A"&amp;(MATCH("VHR-S0097",Forrásszöveg!$A$6:$A$2497,0)+5),"5. § (2) eleje")</f>
        <v>5. § (2) eleje</v>
      </c>
      <c r="F1421" s="16" t="str">
        <f aca="false">HYPERLINK("https://net.jogtar.hu/jogszabaly?docid=a2400418.kor#pr97id","Jogtár megnyitása")</f>
        <v>Jogtár megnyitása</v>
      </c>
    </row>
    <row r="1422" customFormat="false" ht="38" hidden="false" customHeight="true" outlineLevel="0" collapsed="false">
      <c r="A1422" s="15" t="s">
        <v>5502</v>
      </c>
      <c r="B1422" s="15" t="s">
        <v>1471</v>
      </c>
      <c r="C1422" s="15" t="s">
        <v>1476</v>
      </c>
      <c r="D1422" s="15" t="s">
        <v>1476</v>
      </c>
      <c r="E1422" s="16" t="str">
        <f aca="false">HYPERLINK("#'Forrásszöveg'!A"&amp;(MATCH("VHR-S0096",Forrásszöveg!$A$6:$A$2497,0)+5),"5. § eleje")</f>
        <v>5. § eleje</v>
      </c>
      <c r="F1422" s="16" t="str">
        <f aca="false">HYPERLINK("https://net.jogtar.hu/jogszabaly?docid=a2400418.kor#pr98id","Jogtár megnyitása")</f>
        <v>Jogtár megnyitása</v>
      </c>
    </row>
    <row r="1423" customFormat="false" ht="34" hidden="false" customHeight="true" outlineLevel="0" collapsed="false">
      <c r="A1423" s="15" t="s">
        <v>5503</v>
      </c>
      <c r="B1423" s="15" t="s">
        <v>1471</v>
      </c>
      <c r="C1423" s="15" t="s">
        <v>1311</v>
      </c>
      <c r="D1423" s="15" t="s">
        <v>5504</v>
      </c>
      <c r="E1423" s="16" t="str">
        <f aca="false">HYPERLINK("#'Forrásszöveg'!A"&amp;(MATCH("VHR-S0099",Forrásszöveg!$A$6:$A$2497,0)+5),"6. § eleje")</f>
        <v>6. § eleje</v>
      </c>
      <c r="F1423" s="16" t="str">
        <f aca="false">HYPERLINK("https://net.jogtar.hu/jogszabaly?docid=a2400418.kor#pr99id","Jogtár megnyitása")</f>
        <v>Jogtár megnyitása</v>
      </c>
    </row>
    <row r="1424" customFormat="false" ht="38" hidden="false" customHeight="true" outlineLevel="0" collapsed="false">
      <c r="A1424" s="15" t="s">
        <v>5505</v>
      </c>
      <c r="B1424" s="15" t="s">
        <v>1471</v>
      </c>
      <c r="C1424" s="15" t="s">
        <v>5506</v>
      </c>
      <c r="D1424" s="15" t="s">
        <v>5507</v>
      </c>
      <c r="E1424" s="16" t="str">
        <f aca="false">HYPERLINK("#'Forrásszöveg'!A"&amp;(MATCH("VHR-S0099",Forrásszöveg!$A$6:$A$2497,0)+5),"6. § eleje")</f>
        <v>6. § eleje</v>
      </c>
      <c r="F1424" s="16" t="str">
        <f aca="false">HYPERLINK("https://net.jogtar.hu/jogszabaly?docid=a2400418.kor#pr100id","Jogtár megnyitása")</f>
        <v>Jogtár megnyitása</v>
      </c>
    </row>
    <row r="1425" customFormat="false" ht="38" hidden="false" customHeight="true" outlineLevel="0" collapsed="false">
      <c r="A1425" s="15" t="s">
        <v>5508</v>
      </c>
      <c r="B1425" s="15" t="s">
        <v>1471</v>
      </c>
      <c r="C1425" s="15" t="s">
        <v>5509</v>
      </c>
      <c r="D1425" s="15" t="s">
        <v>5510</v>
      </c>
      <c r="E1425" s="16" t="str">
        <f aca="false">HYPERLINK("#'Forrásszöveg'!A"&amp;(MATCH("VHR-S0099",Forrásszöveg!$A$6:$A$2497,0)+5),"6. § eleje")</f>
        <v>6. § eleje</v>
      </c>
      <c r="F1425" s="16" t="str">
        <f aca="false">HYPERLINK("https://net.jogtar.hu/jogszabaly?docid=a2400418.kor#pr101id","Jogtár megnyitása")</f>
        <v>Jogtár megnyitása</v>
      </c>
    </row>
    <row r="1426" customFormat="false" ht="38" hidden="false" customHeight="true" outlineLevel="0" collapsed="false">
      <c r="A1426" s="15" t="s">
        <v>5511</v>
      </c>
      <c r="B1426" s="15" t="s">
        <v>1471</v>
      </c>
      <c r="C1426" s="15" t="s">
        <v>5512</v>
      </c>
      <c r="D1426" s="15" t="s">
        <v>5513</v>
      </c>
      <c r="E1426" s="16" t="str">
        <f aca="false">HYPERLINK("#'Forrásszöveg'!A"&amp;(MATCH("VHR-S0099",Forrásszöveg!$A$6:$A$2497,0)+5),"6. § eleje")</f>
        <v>6. § eleje</v>
      </c>
      <c r="F1426" s="16" t="str">
        <f aca="false">HYPERLINK("https://net.jogtar.hu/jogszabaly?docid=a2400418.kor#pr102id","Jogtár megnyitása")</f>
        <v>Jogtár megnyitása</v>
      </c>
    </row>
    <row r="1427" customFormat="false" ht="38" hidden="false" customHeight="true" outlineLevel="0" collapsed="false">
      <c r="A1427" s="15" t="s">
        <v>5514</v>
      </c>
      <c r="B1427" s="15" t="s">
        <v>1471</v>
      </c>
      <c r="C1427" s="15" t="s">
        <v>1314</v>
      </c>
      <c r="D1427" s="15" t="s">
        <v>5515</v>
      </c>
      <c r="E1427" s="16" t="str">
        <f aca="false">HYPERLINK("#'Forrásszöveg'!A"&amp;(MATCH("VHR-S0103",Forrásszöveg!$A$6:$A$2497,0)+5),"7. § eleje")</f>
        <v>7. § eleje</v>
      </c>
      <c r="F1427" s="16" t="str">
        <f aca="false">HYPERLINK("https://net.jogtar.hu/jogszabaly?docid=a2400418.kor#pr103id","Jogtár megnyitása")</f>
        <v>Jogtár megnyitása</v>
      </c>
    </row>
    <row r="1428" customFormat="false" ht="38" hidden="false" customHeight="true" outlineLevel="0" collapsed="false">
      <c r="A1428" s="15" t="s">
        <v>5516</v>
      </c>
      <c r="B1428" s="15" t="s">
        <v>1471</v>
      </c>
      <c r="C1428" s="15" t="s">
        <v>1477</v>
      </c>
      <c r="D1428" s="15" t="s">
        <v>1477</v>
      </c>
      <c r="E1428" s="16" t="str">
        <f aca="false">HYPERLINK("#'Forrásszöveg'!A"&amp;(MATCH("VHR-S0103",Forrásszöveg!$A$6:$A$2497,0)+5),"7. § eleje")</f>
        <v>7. § eleje</v>
      </c>
      <c r="F1428" s="16" t="str">
        <f aca="false">HYPERLINK("https://net.jogtar.hu/jogszabaly?docid=a2400418.kor#pr104id","Jogtár megnyitása")</f>
        <v>Jogtár megnyitása</v>
      </c>
    </row>
    <row r="1429" customFormat="false" ht="66" hidden="false" customHeight="true" outlineLevel="0" collapsed="false">
      <c r="A1429" s="15" t="s">
        <v>5517</v>
      </c>
      <c r="B1429" s="15" t="s">
        <v>1471</v>
      </c>
      <c r="C1429" s="15" t="s">
        <v>2383</v>
      </c>
      <c r="D1429" s="15" t="s">
        <v>5518</v>
      </c>
      <c r="E1429" s="16" t="str">
        <f aca="false">HYPERLINK("#'Forrásszöveg'!A"&amp;(MATCH("VHR-S0105",Forrásszöveg!$A$6:$A$2497,0)+5),"8. § (1) eleje")</f>
        <v>8. § (1) eleje</v>
      </c>
      <c r="F1429" s="16" t="str">
        <f aca="false">HYPERLINK("https://net.jogtar.hu/jogszabaly?docid=a2400418.kor#pr105id","Jogtár megnyitása")</f>
        <v>Jogtár megnyitása</v>
      </c>
    </row>
    <row r="1430" customFormat="false" ht="38" hidden="false" customHeight="true" outlineLevel="0" collapsed="false">
      <c r="A1430" s="15" t="s">
        <v>5519</v>
      </c>
      <c r="B1430" s="15" t="s">
        <v>1471</v>
      </c>
      <c r="C1430" s="15" t="s">
        <v>2386</v>
      </c>
      <c r="D1430" s="15" t="s">
        <v>5520</v>
      </c>
      <c r="E1430" s="16" t="str">
        <f aca="false">HYPERLINK("#'Forrásszöveg'!A"&amp;(MATCH("VHR-S0106",Forrásszöveg!$A$6:$A$2497,0)+5),"8. § (2) eleje")</f>
        <v>8. § (2) eleje</v>
      </c>
      <c r="F1430" s="16" t="str">
        <f aca="false">HYPERLINK("https://net.jogtar.hu/jogszabaly?docid=a2400418.kor#pr106id","Jogtár megnyitása")</f>
        <v>Jogtár megnyitása</v>
      </c>
    </row>
    <row r="1431" customFormat="false" ht="38" hidden="false" customHeight="true" outlineLevel="0" collapsed="false">
      <c r="A1431" s="15" t="s">
        <v>5521</v>
      </c>
      <c r="B1431" s="15" t="s">
        <v>1471</v>
      </c>
      <c r="C1431" s="15" t="s">
        <v>5522</v>
      </c>
      <c r="D1431" s="15" t="s">
        <v>5523</v>
      </c>
      <c r="E1431" s="16" t="str">
        <f aca="false">HYPERLINK("#'Forrásszöveg'!A"&amp;(MATCH("VHR-S0106",Forrásszöveg!$A$6:$A$2497,0)+5),"8. § (2) eleje")</f>
        <v>8. § (2) eleje</v>
      </c>
      <c r="F1431" s="16" t="str">
        <f aca="false">HYPERLINK("https://net.jogtar.hu/jogszabaly?docid=a2400418.kor#pr107id","Jogtár megnyitása")</f>
        <v>Jogtár megnyitása</v>
      </c>
    </row>
    <row r="1432" customFormat="false" ht="38" hidden="false" customHeight="true" outlineLevel="0" collapsed="false">
      <c r="A1432" s="15" t="s">
        <v>5524</v>
      </c>
      <c r="B1432" s="15" t="s">
        <v>1471</v>
      </c>
      <c r="C1432" s="15" t="s">
        <v>5525</v>
      </c>
      <c r="D1432" s="15" t="s">
        <v>5526</v>
      </c>
      <c r="E1432" s="16" t="str">
        <f aca="false">HYPERLINK("#'Forrásszöveg'!A"&amp;(MATCH("VHR-S0106",Forrásszöveg!$A$6:$A$2497,0)+5),"8. § (2) eleje")</f>
        <v>8. § (2) eleje</v>
      </c>
      <c r="F1432" s="16" t="str">
        <f aca="false">HYPERLINK("https://net.jogtar.hu/jogszabaly?docid=a2400418.kor#pr108id","Jogtár megnyitása")</f>
        <v>Jogtár megnyitása</v>
      </c>
    </row>
    <row r="1433" customFormat="false" ht="34" hidden="false" customHeight="true" outlineLevel="0" collapsed="false">
      <c r="A1433" s="15" t="s">
        <v>5527</v>
      </c>
      <c r="B1433" s="15" t="s">
        <v>1471</v>
      </c>
      <c r="C1433" s="15" t="s">
        <v>5528</v>
      </c>
      <c r="D1433" s="15" t="s">
        <v>5529</v>
      </c>
      <c r="E1433" s="16" t="str">
        <f aca="false">HYPERLINK("#'Forrásszöveg'!A"&amp;(MATCH("VHR-S0106",Forrásszöveg!$A$6:$A$2497,0)+5),"8. § (2) eleje")</f>
        <v>8. § (2) eleje</v>
      </c>
      <c r="F1433" s="16" t="str">
        <f aca="false">HYPERLINK("https://net.jogtar.hu/jogszabaly?docid=a2400418.kor#pr109id","Jogtár megnyitása")</f>
        <v>Jogtár megnyitása</v>
      </c>
    </row>
    <row r="1434" customFormat="false" ht="34" hidden="false" customHeight="true" outlineLevel="0" collapsed="false">
      <c r="A1434" s="15" t="s">
        <v>5530</v>
      </c>
      <c r="B1434" s="15" t="s">
        <v>1471</v>
      </c>
      <c r="C1434" s="15" t="s">
        <v>5531</v>
      </c>
      <c r="D1434" s="15" t="s">
        <v>5532</v>
      </c>
      <c r="E1434" s="16" t="str">
        <f aca="false">HYPERLINK("#'Forrásszöveg'!A"&amp;(MATCH("VHR-S0106",Forrásszöveg!$A$6:$A$2497,0)+5),"8. § (2) eleje")</f>
        <v>8. § (2) eleje</v>
      </c>
      <c r="F1434" s="16" t="str">
        <f aca="false">HYPERLINK("https://net.jogtar.hu/jogszabaly?docid=a2400418.kor#pr110id","Jogtár megnyitása")</f>
        <v>Jogtár megnyitása</v>
      </c>
    </row>
    <row r="1435" customFormat="false" ht="38" hidden="false" customHeight="true" outlineLevel="0" collapsed="false">
      <c r="A1435" s="15" t="s">
        <v>5533</v>
      </c>
      <c r="B1435" s="15" t="s">
        <v>1471</v>
      </c>
      <c r="C1435" s="15" t="s">
        <v>2448</v>
      </c>
      <c r="D1435" s="15" t="s">
        <v>5534</v>
      </c>
      <c r="E1435" s="16" t="str">
        <f aca="false">HYPERLINK("#'Forrásszöveg'!A"&amp;(MATCH("VHR-S0111",Forrásszöveg!$A$6:$A$2497,0)+5),"9. § (1) eleje")</f>
        <v>9. § (1) eleje</v>
      </c>
      <c r="F1435" s="16" t="str">
        <f aca="false">HYPERLINK("https://net.jogtar.hu/jogszabaly?docid=a2400418.kor#pr111id","Jogtár megnyitása")</f>
        <v>Jogtár megnyitása</v>
      </c>
    </row>
    <row r="1436" customFormat="false" ht="38" hidden="false" customHeight="true" outlineLevel="0" collapsed="false">
      <c r="A1436" s="15" t="s">
        <v>5535</v>
      </c>
      <c r="B1436" s="15" t="s">
        <v>1471</v>
      </c>
      <c r="C1436" s="15" t="s">
        <v>2451</v>
      </c>
      <c r="D1436" s="15" t="s">
        <v>5536</v>
      </c>
      <c r="E1436" s="16" t="str">
        <f aca="false">HYPERLINK("#'Forrásszöveg'!A"&amp;(MATCH("VHR-S0112",Forrásszöveg!$A$6:$A$2497,0)+5),"9. § (2) eleje")</f>
        <v>9. § (2) eleje</v>
      </c>
      <c r="F1436" s="16" t="str">
        <f aca="false">HYPERLINK("https://net.jogtar.hu/jogszabaly?docid=a2400418.kor#pr112id","Jogtár megnyitása")</f>
        <v>Jogtár megnyitása</v>
      </c>
    </row>
    <row r="1437" customFormat="false" ht="38" hidden="false" customHeight="true" outlineLevel="0" collapsed="false">
      <c r="A1437" s="15" t="s">
        <v>5537</v>
      </c>
      <c r="B1437" s="15" t="s">
        <v>1471</v>
      </c>
      <c r="C1437" s="15" t="s">
        <v>2454</v>
      </c>
      <c r="D1437" s="15" t="s">
        <v>5538</v>
      </c>
      <c r="E1437" s="16" t="str">
        <f aca="false">HYPERLINK("#'Forrásszöveg'!A"&amp;(MATCH("VHR-S0113",Forrásszöveg!$A$6:$A$2497,0)+5),"9. § (3) eleje")</f>
        <v>9. § (3) eleje</v>
      </c>
      <c r="F1437" s="16" t="str">
        <f aca="false">HYPERLINK("https://net.jogtar.hu/jogszabaly?docid=a2400418.kor#pr113id","Jogtár megnyitása")</f>
        <v>Jogtár megnyitása</v>
      </c>
    </row>
    <row r="1438" customFormat="false" ht="34" hidden="false" customHeight="true" outlineLevel="0" collapsed="false">
      <c r="A1438" s="15" t="s">
        <v>5539</v>
      </c>
      <c r="B1438" s="15" t="s">
        <v>1471</v>
      </c>
      <c r="C1438" s="15" t="s">
        <v>1478</v>
      </c>
      <c r="D1438" s="15" t="s">
        <v>1478</v>
      </c>
      <c r="E1438" s="16" t="str">
        <f aca="false">HYPERLINK("#'Forrásszöveg'!A"&amp;(MATCH("VHR-S0111",Forrásszöveg!$A$6:$A$2497,0)+5),"9. § eleje")</f>
        <v>9. § eleje</v>
      </c>
      <c r="F1438" s="16" t="str">
        <f aca="false">HYPERLINK("https://net.jogtar.hu/jogszabaly?docid=a2400418.kor#pr114id","Jogtár megnyitása")</f>
        <v>Jogtár megnyitása</v>
      </c>
    </row>
    <row r="1439" customFormat="false" ht="34" hidden="false" customHeight="true" outlineLevel="0" collapsed="false">
      <c r="A1439" s="15" t="s">
        <v>5540</v>
      </c>
      <c r="B1439" s="15" t="s">
        <v>1471</v>
      </c>
      <c r="C1439" s="15" t="s">
        <v>2464</v>
      </c>
      <c r="D1439" s="15" t="s">
        <v>5541</v>
      </c>
      <c r="E1439" s="16" t="str">
        <f aca="false">HYPERLINK("#'Forrásszöveg'!A"&amp;(MATCH("VHR-S0115",Forrásszöveg!$A$6:$A$2497,0)+5),"10. § (1) eleje")</f>
        <v>10. § (1) eleje</v>
      </c>
      <c r="F1439" s="16" t="str">
        <f aca="false">HYPERLINK("https://net.jogtar.hu/jogszabaly?docid=a2400418.kor#pr115id","Jogtár megnyitása")</f>
        <v>Jogtár megnyitása</v>
      </c>
    </row>
    <row r="1440" customFormat="false" ht="34" hidden="false" customHeight="true" outlineLevel="0" collapsed="false">
      <c r="A1440" s="15" t="s">
        <v>5542</v>
      </c>
      <c r="B1440" s="15" t="s">
        <v>1471</v>
      </c>
      <c r="C1440" s="15" t="s">
        <v>5543</v>
      </c>
      <c r="D1440" s="15" t="s">
        <v>5544</v>
      </c>
      <c r="E1440" s="16" t="str">
        <f aca="false">HYPERLINK("#'Forrásszöveg'!A"&amp;(MATCH("VHR-S0115",Forrásszöveg!$A$6:$A$2497,0)+5),"10. § (1) eleje")</f>
        <v>10. § (1) eleje</v>
      </c>
      <c r="F1440" s="16" t="str">
        <f aca="false">HYPERLINK("https://net.jogtar.hu/jogszabaly?docid=a2400418.kor#pr116id","Jogtár megnyitása")</f>
        <v>Jogtár megnyitása</v>
      </c>
    </row>
    <row r="1441" customFormat="false" ht="34" hidden="false" customHeight="true" outlineLevel="0" collapsed="false">
      <c r="A1441" s="15" t="s">
        <v>5545</v>
      </c>
      <c r="B1441" s="15" t="s">
        <v>1471</v>
      </c>
      <c r="C1441" s="15" t="s">
        <v>5546</v>
      </c>
      <c r="D1441" s="15" t="s">
        <v>5547</v>
      </c>
      <c r="E1441" s="16" t="str">
        <f aca="false">HYPERLINK("#'Forrásszöveg'!A"&amp;(MATCH("VHR-S0115",Forrásszöveg!$A$6:$A$2497,0)+5),"10. § (1) eleje")</f>
        <v>10. § (1) eleje</v>
      </c>
      <c r="F1441" s="16" t="str">
        <f aca="false">HYPERLINK("https://net.jogtar.hu/jogszabaly?docid=a2400418.kor#pr117id","Jogtár megnyitása")</f>
        <v>Jogtár megnyitása</v>
      </c>
    </row>
    <row r="1442" customFormat="false" ht="34" hidden="false" customHeight="true" outlineLevel="0" collapsed="false">
      <c r="A1442" s="15" t="s">
        <v>5548</v>
      </c>
      <c r="B1442" s="15" t="s">
        <v>1471</v>
      </c>
      <c r="C1442" s="15" t="s">
        <v>5549</v>
      </c>
      <c r="D1442" s="15" t="s">
        <v>5550</v>
      </c>
      <c r="E1442" s="16" t="str">
        <f aca="false">HYPERLINK("#'Forrásszöveg'!A"&amp;(MATCH("VHR-S0115",Forrásszöveg!$A$6:$A$2497,0)+5),"10. § (1) eleje")</f>
        <v>10. § (1) eleje</v>
      </c>
      <c r="F1442" s="16" t="str">
        <f aca="false">HYPERLINK("https://net.jogtar.hu/jogszabaly?docid=a2400418.kor#pr118id","Jogtár megnyitása")</f>
        <v>Jogtár megnyitása</v>
      </c>
    </row>
    <row r="1443" customFormat="false" ht="34" hidden="false" customHeight="true" outlineLevel="0" collapsed="false">
      <c r="A1443" s="15" t="s">
        <v>5551</v>
      </c>
      <c r="B1443" s="15" t="s">
        <v>1471</v>
      </c>
      <c r="C1443" s="15" t="s">
        <v>2464</v>
      </c>
      <c r="D1443" s="15" t="s">
        <v>5552</v>
      </c>
      <c r="E1443" s="16" t="str">
        <f aca="false">HYPERLINK("#'Forrásszöveg'!A"&amp;(MATCH("VHR-S0115",Forrásszöveg!$A$6:$A$2497,0)+5),"10. § (1) eleje")</f>
        <v>10. § (1) eleje</v>
      </c>
      <c r="F1443" s="16" t="str">
        <f aca="false">HYPERLINK("https://net.jogtar.hu/jogszabaly?docid=a2400418.kor#pr119id","Jogtár megnyitása")</f>
        <v>Jogtár megnyitása</v>
      </c>
    </row>
    <row r="1444" customFormat="false" ht="38" hidden="false" customHeight="true" outlineLevel="0" collapsed="false">
      <c r="A1444" s="15" t="s">
        <v>5553</v>
      </c>
      <c r="B1444" s="15" t="s">
        <v>1471</v>
      </c>
      <c r="C1444" s="15" t="s">
        <v>2467</v>
      </c>
      <c r="D1444" s="15" t="s">
        <v>5554</v>
      </c>
      <c r="E1444" s="16" t="str">
        <f aca="false">HYPERLINK("#'Forrásszöveg'!A"&amp;(MATCH("VHR-S0120",Forrásszöveg!$A$6:$A$2497,0)+5),"10. § (2) eleje")</f>
        <v>10. § (2) eleje</v>
      </c>
      <c r="F1444" s="16" t="str">
        <f aca="false">HYPERLINK("https://net.jogtar.hu/jogszabaly?docid=a2400418.kor#pr120id","Jogtár megnyitása")</f>
        <v>Jogtár megnyitása</v>
      </c>
    </row>
    <row r="1445" customFormat="false" ht="52" hidden="false" customHeight="true" outlineLevel="0" collapsed="false">
      <c r="A1445" s="15" t="s">
        <v>5555</v>
      </c>
      <c r="B1445" s="15" t="s">
        <v>1471</v>
      </c>
      <c r="C1445" s="15" t="s">
        <v>2470</v>
      </c>
      <c r="D1445" s="15" t="s">
        <v>5556</v>
      </c>
      <c r="E1445" s="16" t="str">
        <f aca="false">HYPERLINK("#'Forrásszöveg'!A"&amp;(MATCH("VHR-S0121",Forrásszöveg!$A$6:$A$2497,0)+5),"10. § (3) eleje")</f>
        <v>10. § (3) eleje</v>
      </c>
      <c r="F1445" s="16" t="str">
        <f aca="false">HYPERLINK("https://net.jogtar.hu/jogszabaly?docid=a2400418.kor#pr121id","Jogtár megnyitása")</f>
        <v>Jogtár megnyitása</v>
      </c>
    </row>
    <row r="1446" customFormat="false" ht="66" hidden="false" customHeight="true" outlineLevel="0" collapsed="false">
      <c r="A1446" s="15" t="s">
        <v>5557</v>
      </c>
      <c r="B1446" s="15" t="s">
        <v>1471</v>
      </c>
      <c r="C1446" s="15" t="s">
        <v>2473</v>
      </c>
      <c r="D1446" s="15" t="s">
        <v>5558</v>
      </c>
      <c r="E1446" s="16" t="str">
        <f aca="false">HYPERLINK("#'Forrásszöveg'!A"&amp;(MATCH("VHR-S0122",Forrásszöveg!$A$6:$A$2497,0)+5),"10. § (4) eleje")</f>
        <v>10. § (4) eleje</v>
      </c>
      <c r="F1446" s="16" t="str">
        <f aca="false">HYPERLINK("https://net.jogtar.hu/jogszabaly?docid=a2400418.kor#pr122id","Jogtár megnyitása")</f>
        <v>Jogtár megnyitása</v>
      </c>
    </row>
    <row r="1447" customFormat="false" ht="80" hidden="false" customHeight="true" outlineLevel="0" collapsed="false">
      <c r="A1447" s="15" t="s">
        <v>5559</v>
      </c>
      <c r="B1447" s="15" t="s">
        <v>1471</v>
      </c>
      <c r="C1447" s="15" t="s">
        <v>2476</v>
      </c>
      <c r="D1447" s="15" t="s">
        <v>5560</v>
      </c>
      <c r="E1447" s="16" t="str">
        <f aca="false">HYPERLINK("#'Forrásszöveg'!A"&amp;(MATCH("VHR-S0123",Forrásszöveg!$A$6:$A$2497,0)+5),"10. § (5) eleje")</f>
        <v>10. § (5) eleje</v>
      </c>
      <c r="F1447" s="16" t="str">
        <f aca="false">HYPERLINK("https://net.jogtar.hu/jogszabaly?docid=a2400418.kor#pr123id","Jogtár megnyitása")</f>
        <v>Jogtár megnyitása</v>
      </c>
    </row>
    <row r="1448" customFormat="false" ht="38" hidden="false" customHeight="true" outlineLevel="0" collapsed="false">
      <c r="A1448" s="15" t="s">
        <v>5561</v>
      </c>
      <c r="B1448" s="15" t="s">
        <v>1471</v>
      </c>
      <c r="C1448" s="15" t="s">
        <v>2479</v>
      </c>
      <c r="D1448" s="15" t="s">
        <v>5562</v>
      </c>
      <c r="E1448" s="16" t="str">
        <f aca="false">HYPERLINK("#'Forrásszöveg'!A"&amp;(MATCH("VHR-S0124",Forrásszöveg!$A$6:$A$2497,0)+5),"10. § (6) eleje")</f>
        <v>10. § (6) eleje</v>
      </c>
      <c r="F1448" s="16" t="str">
        <f aca="false">HYPERLINK("https://net.jogtar.hu/jogszabaly?docid=a2400418.kor#pr124id","Jogtár megnyitása")</f>
        <v>Jogtár megnyitása</v>
      </c>
    </row>
    <row r="1449" customFormat="false" ht="52" hidden="false" customHeight="true" outlineLevel="0" collapsed="false">
      <c r="A1449" s="15" t="s">
        <v>5563</v>
      </c>
      <c r="B1449" s="15" t="s">
        <v>1471</v>
      </c>
      <c r="C1449" s="15" t="s">
        <v>1479</v>
      </c>
      <c r="D1449" s="15" t="s">
        <v>1479</v>
      </c>
      <c r="E1449" s="16" t="str">
        <f aca="false">HYPERLINK("#'Forrásszöveg'!A"&amp;(MATCH("VHR-S0115",Forrásszöveg!$A$6:$A$2497,0)+5),"10. § eleje")</f>
        <v>10. § eleje</v>
      </c>
      <c r="F1449" s="16" t="str">
        <f aca="false">HYPERLINK("https://net.jogtar.hu/jogszabaly?docid=a2400418.kor#pr125id","Jogtár megnyitása")</f>
        <v>Jogtár megnyitása</v>
      </c>
    </row>
    <row r="1450" customFormat="false" ht="38" hidden="false" customHeight="true" outlineLevel="0" collapsed="false">
      <c r="A1450" s="15" t="s">
        <v>5564</v>
      </c>
      <c r="B1450" s="15" t="s">
        <v>1471</v>
      </c>
      <c r="C1450" s="15" t="s">
        <v>2486</v>
      </c>
      <c r="D1450" s="15" t="s">
        <v>5565</v>
      </c>
      <c r="E1450" s="16" t="str">
        <f aca="false">HYPERLINK("#'Forrásszöveg'!A"&amp;(MATCH("VHR-S0126",Forrásszöveg!$A$6:$A$2497,0)+5),"11. § (1) eleje")</f>
        <v>11. § (1) eleje</v>
      </c>
      <c r="F1450" s="16" t="str">
        <f aca="false">HYPERLINK("https://net.jogtar.hu/jogszabaly?docid=a2400418.kor#pr126id","Jogtár megnyitása")</f>
        <v>Jogtár megnyitása</v>
      </c>
    </row>
    <row r="1451" customFormat="false" ht="38" hidden="false" customHeight="true" outlineLevel="0" collapsed="false">
      <c r="A1451" s="15" t="s">
        <v>5566</v>
      </c>
      <c r="B1451" s="15" t="s">
        <v>1471</v>
      </c>
      <c r="C1451" s="15" t="s">
        <v>2489</v>
      </c>
      <c r="D1451" s="15" t="s">
        <v>5567</v>
      </c>
      <c r="E1451" s="16" t="str">
        <f aca="false">HYPERLINK("#'Forrásszöveg'!A"&amp;(MATCH("VHR-S0127",Forrásszöveg!$A$6:$A$2497,0)+5),"11. § (2) eleje")</f>
        <v>11. § (2) eleje</v>
      </c>
      <c r="F1451" s="16" t="str">
        <f aca="false">HYPERLINK("https://net.jogtar.hu/jogszabaly?docid=a2400418.kor#pr127id","Jogtár megnyitása")</f>
        <v>Jogtár megnyitása</v>
      </c>
    </row>
    <row r="1452" customFormat="false" ht="34" hidden="false" customHeight="true" outlineLevel="0" collapsed="false">
      <c r="A1452" s="15" t="s">
        <v>5568</v>
      </c>
      <c r="B1452" s="15" t="s">
        <v>1471</v>
      </c>
      <c r="C1452" s="15" t="s">
        <v>5569</v>
      </c>
      <c r="D1452" s="15" t="s">
        <v>5570</v>
      </c>
      <c r="E1452" s="16" t="str">
        <f aca="false">HYPERLINK("#'Forrásszöveg'!A"&amp;(MATCH("VHR-S0127",Forrásszöveg!$A$6:$A$2497,0)+5),"11. § (2) eleje")</f>
        <v>11. § (2) eleje</v>
      </c>
      <c r="F1452" s="16" t="str">
        <f aca="false">HYPERLINK("https://net.jogtar.hu/jogszabaly?docid=a2400418.kor#pr128id","Jogtár megnyitása")</f>
        <v>Jogtár megnyitása</v>
      </c>
    </row>
    <row r="1453" customFormat="false" ht="38" hidden="false" customHeight="true" outlineLevel="0" collapsed="false">
      <c r="A1453" s="15" t="s">
        <v>5571</v>
      </c>
      <c r="B1453" s="15" t="s">
        <v>1471</v>
      </c>
      <c r="C1453" s="15" t="s">
        <v>5572</v>
      </c>
      <c r="D1453" s="15" t="s">
        <v>5573</v>
      </c>
      <c r="E1453" s="16" t="str">
        <f aca="false">HYPERLINK("#'Forrásszöveg'!A"&amp;(MATCH("VHR-S0127",Forrásszöveg!$A$6:$A$2497,0)+5),"11. § (2) eleje")</f>
        <v>11. § (2) eleje</v>
      </c>
      <c r="F1453" s="16" t="str">
        <f aca="false">HYPERLINK("https://net.jogtar.hu/jogszabaly?docid=a2400418.kor#pr129id","Jogtár megnyitása")</f>
        <v>Jogtár megnyitása</v>
      </c>
    </row>
    <row r="1454" customFormat="false" ht="80" hidden="false" customHeight="true" outlineLevel="0" collapsed="false">
      <c r="A1454" s="15" t="s">
        <v>5574</v>
      </c>
      <c r="B1454" s="15" t="s">
        <v>1471</v>
      </c>
      <c r="C1454" s="15" t="s">
        <v>2492</v>
      </c>
      <c r="D1454" s="15" t="s">
        <v>5575</v>
      </c>
      <c r="E1454" s="16" t="str">
        <f aca="false">HYPERLINK("#'Forrásszöveg'!A"&amp;(MATCH("VHR-S0130",Forrásszöveg!$A$6:$A$2497,0)+5),"11. § (3) eleje")</f>
        <v>11. § (3) eleje</v>
      </c>
      <c r="F1454" s="16" t="str">
        <f aca="false">HYPERLINK("https://net.jogtar.hu/jogszabaly?docid=a2400418.kor#pr130id","Jogtár megnyitása")</f>
        <v>Jogtár megnyitása</v>
      </c>
    </row>
    <row r="1455" customFormat="false" ht="38" hidden="false" customHeight="true" outlineLevel="0" collapsed="false">
      <c r="A1455" s="15" t="s">
        <v>5576</v>
      </c>
      <c r="B1455" s="15" t="s">
        <v>1471</v>
      </c>
      <c r="C1455" s="15" t="s">
        <v>2507</v>
      </c>
      <c r="D1455" s="15" t="s">
        <v>5577</v>
      </c>
      <c r="E1455" s="16" t="str">
        <f aca="false">HYPERLINK("#'Forrásszöveg'!A"&amp;(MATCH("VHR-S0131",Forrásszöveg!$A$6:$A$2497,0)+5),"11. § (4) eleje")</f>
        <v>11. § (4) eleje</v>
      </c>
      <c r="F1455" s="16" t="str">
        <f aca="false">HYPERLINK("https://net.jogtar.hu/jogszabaly?docid=a2400418.kor#pr131id","Jogtár megnyitása")</f>
        <v>Jogtár megnyitása</v>
      </c>
    </row>
    <row r="1456" customFormat="false" ht="34" hidden="false" customHeight="true" outlineLevel="0" collapsed="false">
      <c r="A1456" s="15" t="s">
        <v>5578</v>
      </c>
      <c r="B1456" s="15" t="s">
        <v>1471</v>
      </c>
      <c r="C1456" s="15" t="s">
        <v>5579</v>
      </c>
      <c r="D1456" s="15" t="s">
        <v>5580</v>
      </c>
      <c r="E1456" s="16" t="str">
        <f aca="false">HYPERLINK("#'Forrásszöveg'!A"&amp;(MATCH("VHR-S0131",Forrásszöveg!$A$6:$A$2497,0)+5),"11. § (4) eleje")</f>
        <v>11. § (4) eleje</v>
      </c>
      <c r="F1456" s="16" t="str">
        <f aca="false">HYPERLINK("https://net.jogtar.hu/jogszabaly?docid=a2400418.kor#pr132id","Jogtár megnyitása")</f>
        <v>Jogtár megnyitása</v>
      </c>
    </row>
    <row r="1457" customFormat="false" ht="38" hidden="false" customHeight="true" outlineLevel="0" collapsed="false">
      <c r="A1457" s="15" t="s">
        <v>5581</v>
      </c>
      <c r="B1457" s="15" t="s">
        <v>1471</v>
      </c>
      <c r="C1457" s="15" t="s">
        <v>5582</v>
      </c>
      <c r="D1457" s="15" t="s">
        <v>5583</v>
      </c>
      <c r="E1457" s="16" t="str">
        <f aca="false">HYPERLINK("#'Forrásszöveg'!A"&amp;(MATCH("VHR-S0131",Forrásszöveg!$A$6:$A$2497,0)+5),"11. § (4) eleje")</f>
        <v>11. § (4) eleje</v>
      </c>
      <c r="F1457" s="16" t="str">
        <f aca="false">HYPERLINK("https://net.jogtar.hu/jogszabaly?docid=a2400418.kor#pr133id","Jogtár megnyitása")</f>
        <v>Jogtár megnyitása</v>
      </c>
    </row>
    <row r="1458" customFormat="false" ht="34" hidden="false" customHeight="true" outlineLevel="0" collapsed="false">
      <c r="A1458" s="15" t="s">
        <v>5584</v>
      </c>
      <c r="B1458" s="15" t="s">
        <v>1471</v>
      </c>
      <c r="C1458" s="15" t="s">
        <v>5585</v>
      </c>
      <c r="D1458" s="15" t="s">
        <v>5586</v>
      </c>
      <c r="E1458" s="16" t="str">
        <f aca="false">HYPERLINK("#'Forrásszöveg'!A"&amp;(MATCH("VHR-S0131",Forrásszöveg!$A$6:$A$2497,0)+5),"11. § (4) eleje")</f>
        <v>11. § (4) eleje</v>
      </c>
      <c r="F1458" s="16" t="str">
        <f aca="false">HYPERLINK("https://net.jogtar.hu/jogszabaly?docid=a2400418.kor#pr134id","Jogtár megnyitása")</f>
        <v>Jogtár megnyitása</v>
      </c>
    </row>
    <row r="1459" customFormat="false" ht="34" hidden="false" customHeight="true" outlineLevel="0" collapsed="false">
      <c r="A1459" s="15" t="s">
        <v>5587</v>
      </c>
      <c r="B1459" s="15" t="s">
        <v>1471</v>
      </c>
      <c r="C1459" s="15" t="s">
        <v>5588</v>
      </c>
      <c r="D1459" s="15" t="s">
        <v>5589</v>
      </c>
      <c r="E1459" s="16" t="str">
        <f aca="false">HYPERLINK("#'Forrásszöveg'!A"&amp;(MATCH("VHR-S0131",Forrásszöveg!$A$6:$A$2497,0)+5),"11. § (4) eleje")</f>
        <v>11. § (4) eleje</v>
      </c>
      <c r="F1459" s="16" t="str">
        <f aca="false">HYPERLINK("https://net.jogtar.hu/jogszabaly?docid=a2400418.kor#pr135id","Jogtár megnyitása")</f>
        <v>Jogtár megnyitása</v>
      </c>
    </row>
    <row r="1460" customFormat="false" ht="52" hidden="false" customHeight="true" outlineLevel="0" collapsed="false">
      <c r="A1460" s="15" t="s">
        <v>5590</v>
      </c>
      <c r="B1460" s="15" t="s">
        <v>1471</v>
      </c>
      <c r="C1460" s="15" t="s">
        <v>2509</v>
      </c>
      <c r="D1460" s="15" t="s">
        <v>5591</v>
      </c>
      <c r="E1460" s="16" t="str">
        <f aca="false">HYPERLINK("#'Forrásszöveg'!A"&amp;(MATCH("VHR-S0136",Forrásszöveg!$A$6:$A$2497,0)+5),"11. § (5) eleje")</f>
        <v>11. § (5) eleje</v>
      </c>
      <c r="F1460" s="16" t="str">
        <f aca="false">HYPERLINK("https://net.jogtar.hu/jogszabaly?docid=a2400418.kor#pr136id","Jogtár megnyitása")</f>
        <v>Jogtár megnyitása</v>
      </c>
    </row>
    <row r="1461" customFormat="false" ht="38" hidden="false" customHeight="true" outlineLevel="0" collapsed="false">
      <c r="A1461" s="15" t="s">
        <v>5592</v>
      </c>
      <c r="B1461" s="15" t="s">
        <v>1471</v>
      </c>
      <c r="C1461" s="15" t="s">
        <v>2518</v>
      </c>
      <c r="D1461" s="15" t="s">
        <v>5593</v>
      </c>
      <c r="E1461" s="16" t="str">
        <f aca="false">HYPERLINK("#'Forrásszöveg'!A"&amp;(MATCH("VHR-S0137",Forrásszöveg!$A$6:$A$2497,0)+5),"11. § (6) eleje")</f>
        <v>11. § (6) eleje</v>
      </c>
      <c r="F1461" s="16" t="str">
        <f aca="false">HYPERLINK("https://net.jogtar.hu/jogszabaly?docid=a2400418.kor#pr137id","Jogtár megnyitása")</f>
        <v>Jogtár megnyitása</v>
      </c>
    </row>
    <row r="1462" customFormat="false" ht="66" hidden="false" customHeight="true" outlineLevel="0" collapsed="false">
      <c r="A1462" s="15" t="s">
        <v>5594</v>
      </c>
      <c r="B1462" s="15" t="s">
        <v>1471</v>
      </c>
      <c r="C1462" s="15" t="s">
        <v>2564</v>
      </c>
      <c r="D1462" s="15" t="s">
        <v>5595</v>
      </c>
      <c r="E1462" s="16" t="str">
        <f aca="false">HYPERLINK("#'Forrásszöveg'!A"&amp;(MATCH("VHR-S0138",Forrásszöveg!$A$6:$A$2497,0)+5),"12. § (1) eleje")</f>
        <v>12. § (1) eleje</v>
      </c>
      <c r="F1462" s="16" t="str">
        <f aca="false">HYPERLINK("https://net.jogtar.hu/jogszabaly?docid=a2400418.kor#pr138id","Jogtár megnyitása")</f>
        <v>Jogtár megnyitása</v>
      </c>
    </row>
    <row r="1463" customFormat="false" ht="34" hidden="false" customHeight="true" outlineLevel="0" collapsed="false">
      <c r="A1463" s="15" t="s">
        <v>5596</v>
      </c>
      <c r="B1463" s="15" t="s">
        <v>1471</v>
      </c>
      <c r="C1463" s="15" t="s">
        <v>2572</v>
      </c>
      <c r="D1463" s="15" t="s">
        <v>5597</v>
      </c>
      <c r="E1463" s="16" t="str">
        <f aca="false">HYPERLINK("#'Forrásszöveg'!A"&amp;(MATCH("VHR-S0139",Forrásszöveg!$A$6:$A$2497,0)+5),"12. § (2) eleje")</f>
        <v>12. § (2) eleje</v>
      </c>
      <c r="F1463" s="16" t="str">
        <f aca="false">HYPERLINK("https://net.jogtar.hu/jogszabaly?docid=a2400418.kor#pr139id","Jogtár megnyitása")</f>
        <v>Jogtár megnyitása</v>
      </c>
    </row>
    <row r="1464" customFormat="false" ht="38" hidden="false" customHeight="true" outlineLevel="0" collapsed="false">
      <c r="A1464" s="15" t="s">
        <v>5598</v>
      </c>
      <c r="B1464" s="15" t="s">
        <v>1471</v>
      </c>
      <c r="C1464" s="15" t="s">
        <v>2575</v>
      </c>
      <c r="D1464" s="15" t="s">
        <v>5599</v>
      </c>
      <c r="E1464" s="16" t="str">
        <f aca="false">HYPERLINK("#'Forrásszöveg'!A"&amp;(MATCH("VHR-S0139",Forrásszöveg!$A$6:$A$2497,0)+5),"12. § (2) eleje")</f>
        <v>12. § (2) eleje</v>
      </c>
      <c r="F1464" s="16" t="str">
        <f aca="false">HYPERLINK("https://net.jogtar.hu/jogszabaly?docid=a2400418.kor#pr140id","Jogtár megnyitása")</f>
        <v>Jogtár megnyitása</v>
      </c>
    </row>
    <row r="1465" customFormat="false" ht="38" hidden="false" customHeight="true" outlineLevel="0" collapsed="false">
      <c r="A1465" s="15" t="s">
        <v>5600</v>
      </c>
      <c r="B1465" s="15" t="s">
        <v>1471</v>
      </c>
      <c r="C1465" s="15" t="s">
        <v>2578</v>
      </c>
      <c r="D1465" s="15" t="s">
        <v>5601</v>
      </c>
      <c r="E1465" s="16" t="str">
        <f aca="false">HYPERLINK("#'Forrásszöveg'!A"&amp;(MATCH("VHR-S0139",Forrásszöveg!$A$6:$A$2497,0)+5),"12. § (2) eleje")</f>
        <v>12. § (2) eleje</v>
      </c>
      <c r="F1465" s="16" t="str">
        <f aca="false">HYPERLINK("https://net.jogtar.hu/jogszabaly?docid=a2400418.kor#pr141id","Jogtár megnyitása")</f>
        <v>Jogtár megnyitása</v>
      </c>
    </row>
    <row r="1466" customFormat="false" ht="38" hidden="false" customHeight="true" outlineLevel="0" collapsed="false">
      <c r="A1466" s="15" t="s">
        <v>5602</v>
      </c>
      <c r="B1466" s="15" t="s">
        <v>1471</v>
      </c>
      <c r="C1466" s="15" t="s">
        <v>5603</v>
      </c>
      <c r="D1466" s="15" t="s">
        <v>5604</v>
      </c>
      <c r="E1466" s="16" t="str">
        <f aca="false">HYPERLINK("#'Forrásszöveg'!A"&amp;(MATCH("VHR-S0139",Forrásszöveg!$A$6:$A$2497,0)+5),"12. § (2) eleje")</f>
        <v>12. § (2) eleje</v>
      </c>
      <c r="F1466" s="16" t="str">
        <f aca="false">HYPERLINK("https://net.jogtar.hu/jogszabaly?docid=a2400418.kor#pr142id","Jogtár megnyitása")</f>
        <v>Jogtár megnyitása</v>
      </c>
    </row>
    <row r="1467" customFormat="false" ht="34" hidden="false" customHeight="true" outlineLevel="0" collapsed="false">
      <c r="A1467" s="15" t="s">
        <v>5605</v>
      </c>
      <c r="B1467" s="15" t="s">
        <v>1471</v>
      </c>
      <c r="C1467" s="15" t="s">
        <v>5606</v>
      </c>
      <c r="D1467" s="15" t="s">
        <v>5607</v>
      </c>
      <c r="E1467" s="16" t="str">
        <f aca="false">HYPERLINK("#'Forrásszöveg'!A"&amp;(MATCH("VHR-S0139",Forrásszöveg!$A$6:$A$2497,0)+5),"12. § (2) eleje")</f>
        <v>12. § (2) eleje</v>
      </c>
      <c r="F1467" s="16" t="str">
        <f aca="false">HYPERLINK("https://net.jogtar.hu/jogszabaly?docid=a2400418.kor#pr143id","Jogtár megnyitása")</f>
        <v>Jogtár megnyitása</v>
      </c>
    </row>
    <row r="1468" customFormat="false" ht="38" hidden="false" customHeight="true" outlineLevel="0" collapsed="false">
      <c r="A1468" s="15" t="s">
        <v>5608</v>
      </c>
      <c r="B1468" s="15" t="s">
        <v>1471</v>
      </c>
      <c r="C1468" s="15" t="s">
        <v>5609</v>
      </c>
      <c r="D1468" s="15" t="s">
        <v>5610</v>
      </c>
      <c r="E1468" s="16" t="str">
        <f aca="false">HYPERLINK("#'Forrásszöveg'!A"&amp;(MATCH("VHR-S0139",Forrásszöveg!$A$6:$A$2497,0)+5),"12. § (2) eleje")</f>
        <v>12. § (2) eleje</v>
      </c>
      <c r="F1468" s="16" t="str">
        <f aca="false">HYPERLINK("https://net.jogtar.hu/jogszabaly?docid=a2400418.kor#pr144id","Jogtár megnyitása")</f>
        <v>Jogtár megnyitása</v>
      </c>
    </row>
    <row r="1469" customFormat="false" ht="34" hidden="false" customHeight="true" outlineLevel="0" collapsed="false">
      <c r="A1469" s="15" t="s">
        <v>5611</v>
      </c>
      <c r="B1469" s="15" t="s">
        <v>1471</v>
      </c>
      <c r="C1469" s="15" t="s">
        <v>5612</v>
      </c>
      <c r="D1469" s="15" t="s">
        <v>5613</v>
      </c>
      <c r="E1469" s="16" t="str">
        <f aca="false">HYPERLINK("#'Forrásszöveg'!A"&amp;(MATCH("VHR-S0139",Forrásszöveg!$A$6:$A$2497,0)+5),"12. § (2) eleje")</f>
        <v>12. § (2) eleje</v>
      </c>
      <c r="F1469" s="16" t="str">
        <f aca="false">HYPERLINK("https://net.jogtar.hu/jogszabaly?docid=a2400418.kor#pr145id","Jogtár megnyitása")</f>
        <v>Jogtár megnyitása</v>
      </c>
    </row>
    <row r="1470" customFormat="false" ht="38" hidden="false" customHeight="true" outlineLevel="0" collapsed="false">
      <c r="A1470" s="15" t="s">
        <v>5614</v>
      </c>
      <c r="B1470" s="15" t="s">
        <v>1471</v>
      </c>
      <c r="C1470" s="15" t="s">
        <v>5615</v>
      </c>
      <c r="D1470" s="15" t="s">
        <v>5616</v>
      </c>
      <c r="E1470" s="16" t="str">
        <f aca="false">HYPERLINK("#'Forrásszöveg'!A"&amp;(MATCH("VHR-S0139",Forrásszöveg!$A$6:$A$2497,0)+5),"12. § (2) eleje")</f>
        <v>12. § (2) eleje</v>
      </c>
      <c r="F1470" s="16" t="str">
        <f aca="false">HYPERLINK("https://net.jogtar.hu/jogszabaly?docid=a2400418.kor#pr146id","Jogtár megnyitása")</f>
        <v>Jogtár megnyitása</v>
      </c>
    </row>
    <row r="1471" customFormat="false" ht="52" hidden="false" customHeight="true" outlineLevel="0" collapsed="false">
      <c r="A1471" s="15" t="s">
        <v>5617</v>
      </c>
      <c r="B1471" s="15" t="s">
        <v>1471</v>
      </c>
      <c r="C1471" s="15" t="s">
        <v>5618</v>
      </c>
      <c r="D1471" s="15" t="s">
        <v>5619</v>
      </c>
      <c r="E1471" s="16" t="str">
        <f aca="false">HYPERLINK("#'Forrásszöveg'!A"&amp;(MATCH("VHR-S0139",Forrásszöveg!$A$6:$A$2497,0)+5),"12. § (2) eleje")</f>
        <v>12. § (2) eleje</v>
      </c>
      <c r="F1471" s="16" t="str">
        <f aca="false">HYPERLINK("https://net.jogtar.hu/jogszabaly?docid=a2400418.kor#pr147id","Jogtár megnyitása")</f>
        <v>Jogtár megnyitása</v>
      </c>
    </row>
    <row r="1472" customFormat="false" ht="38" hidden="false" customHeight="true" outlineLevel="0" collapsed="false">
      <c r="A1472" s="15" t="s">
        <v>5620</v>
      </c>
      <c r="B1472" s="15" t="s">
        <v>1471</v>
      </c>
      <c r="C1472" s="15" t="s">
        <v>5621</v>
      </c>
      <c r="D1472" s="15" t="s">
        <v>5622</v>
      </c>
      <c r="E1472" s="16" t="str">
        <f aca="false">HYPERLINK("#'Forrásszöveg'!A"&amp;(MATCH("VHR-S0139",Forrásszöveg!$A$6:$A$2497,0)+5),"12. § (2) eleje")</f>
        <v>12. § (2) eleje</v>
      </c>
      <c r="F1472" s="16" t="str">
        <f aca="false">HYPERLINK("https://net.jogtar.hu/jogszabaly?docid=a2400418.kor#pr148id","Jogtár megnyitása")</f>
        <v>Jogtár megnyitása</v>
      </c>
    </row>
    <row r="1473" customFormat="false" ht="38" hidden="false" customHeight="true" outlineLevel="0" collapsed="false">
      <c r="A1473" s="15" t="s">
        <v>5623</v>
      </c>
      <c r="B1473" s="15" t="s">
        <v>1471</v>
      </c>
      <c r="C1473" s="15" t="s">
        <v>5624</v>
      </c>
      <c r="D1473" s="15" t="s">
        <v>5625</v>
      </c>
      <c r="E1473" s="16" t="str">
        <f aca="false">HYPERLINK("#'Forrásszöveg'!A"&amp;(MATCH("VHR-S0139",Forrásszöveg!$A$6:$A$2497,0)+5),"12. § (2) eleje")</f>
        <v>12. § (2) eleje</v>
      </c>
      <c r="F1473" s="16" t="str">
        <f aca="false">HYPERLINK("https://net.jogtar.hu/jogszabaly?docid=a2400418.kor#pr149id","Jogtár megnyitása")</f>
        <v>Jogtár megnyitása</v>
      </c>
    </row>
    <row r="1474" customFormat="false" ht="52" hidden="false" customHeight="true" outlineLevel="0" collapsed="false">
      <c r="A1474" s="15" t="s">
        <v>5626</v>
      </c>
      <c r="B1474" s="15" t="s">
        <v>1471</v>
      </c>
      <c r="C1474" s="15" t="s">
        <v>5627</v>
      </c>
      <c r="D1474" s="15" t="s">
        <v>5628</v>
      </c>
      <c r="E1474" s="16" t="str">
        <f aca="false">HYPERLINK("#'Forrásszöveg'!A"&amp;(MATCH("VHR-S0139",Forrásszöveg!$A$6:$A$2497,0)+5),"12. § (2) eleje")</f>
        <v>12. § (2) eleje</v>
      </c>
      <c r="F1474" s="16" t="str">
        <f aca="false">HYPERLINK("https://net.jogtar.hu/jogszabaly?docid=a2400418.kor#pr150id","Jogtár megnyitása")</f>
        <v>Jogtár megnyitása</v>
      </c>
    </row>
    <row r="1475" customFormat="false" ht="34" hidden="false" customHeight="true" outlineLevel="0" collapsed="false">
      <c r="A1475" s="15" t="s">
        <v>5629</v>
      </c>
      <c r="B1475" s="15" t="s">
        <v>1471</v>
      </c>
      <c r="C1475" s="15" t="s">
        <v>5630</v>
      </c>
      <c r="D1475" s="15" t="s">
        <v>5631</v>
      </c>
      <c r="E1475" s="16" t="str">
        <f aca="false">HYPERLINK("#'Forrásszöveg'!A"&amp;(MATCH("VHR-S0139",Forrásszöveg!$A$6:$A$2497,0)+5),"12. § (2) eleje")</f>
        <v>12. § (2) eleje</v>
      </c>
      <c r="F1475" s="16" t="str">
        <f aca="false">HYPERLINK("https://net.jogtar.hu/jogszabaly?docid=a2400418.kor#pr151id","Jogtár megnyitása")</f>
        <v>Jogtár megnyitása</v>
      </c>
    </row>
    <row r="1476" customFormat="false" ht="38" hidden="false" customHeight="true" outlineLevel="0" collapsed="false">
      <c r="A1476" s="15" t="s">
        <v>5632</v>
      </c>
      <c r="B1476" s="15" t="s">
        <v>1471</v>
      </c>
      <c r="C1476" s="15" t="s">
        <v>5633</v>
      </c>
      <c r="D1476" s="15" t="s">
        <v>5634</v>
      </c>
      <c r="E1476" s="16" t="str">
        <f aca="false">HYPERLINK("#'Forrásszöveg'!A"&amp;(MATCH("VHR-S0139",Forrásszöveg!$A$6:$A$2497,0)+5),"12. § (2) eleje")</f>
        <v>12. § (2) eleje</v>
      </c>
      <c r="F1476" s="16" t="str">
        <f aca="false">HYPERLINK("https://net.jogtar.hu/jogszabaly?docid=a2400418.kor#pr152id","Jogtár megnyitása")</f>
        <v>Jogtár megnyitása</v>
      </c>
    </row>
    <row r="1477" customFormat="false" ht="38" hidden="false" customHeight="true" outlineLevel="0" collapsed="false">
      <c r="A1477" s="15" t="s">
        <v>5635</v>
      </c>
      <c r="B1477" s="15" t="s">
        <v>1471</v>
      </c>
      <c r="C1477" s="15" t="s">
        <v>5636</v>
      </c>
      <c r="D1477" s="15" t="s">
        <v>5637</v>
      </c>
      <c r="E1477" s="16" t="str">
        <f aca="false">HYPERLINK("#'Forrásszöveg'!A"&amp;(MATCH("VHR-S0139",Forrásszöveg!$A$6:$A$2497,0)+5),"12. § (2) eleje")</f>
        <v>12. § (2) eleje</v>
      </c>
      <c r="F1477" s="16" t="str">
        <f aca="false">HYPERLINK("https://net.jogtar.hu/jogszabaly?docid=a2400418.kor#pr153id","Jogtár megnyitása")</f>
        <v>Jogtár megnyitása</v>
      </c>
    </row>
    <row r="1478" customFormat="false" ht="52" hidden="false" customHeight="true" outlineLevel="0" collapsed="false">
      <c r="A1478" s="15" t="s">
        <v>5638</v>
      </c>
      <c r="B1478" s="15" t="s">
        <v>1471</v>
      </c>
      <c r="C1478" s="15" t="s">
        <v>5639</v>
      </c>
      <c r="D1478" s="15" t="s">
        <v>5640</v>
      </c>
      <c r="E1478" s="16" t="str">
        <f aca="false">HYPERLINK("#'Forrásszöveg'!A"&amp;(MATCH("VHR-S0154",Forrásszöveg!$A$6:$A$2497,0)+5),"12. § (3) eleje")</f>
        <v>12. § (3) eleje</v>
      </c>
      <c r="F1478" s="16" t="str">
        <f aca="false">HYPERLINK("https://net.jogtar.hu/jogszabaly?docid=a2400418.kor#pr154id","Jogtár megnyitása")</f>
        <v>Jogtár megnyitása</v>
      </c>
    </row>
    <row r="1479" customFormat="false" ht="66" hidden="false" customHeight="true" outlineLevel="0" collapsed="false">
      <c r="A1479" s="15" t="s">
        <v>5641</v>
      </c>
      <c r="B1479" s="15" t="s">
        <v>1471</v>
      </c>
      <c r="C1479" s="15" t="s">
        <v>1480</v>
      </c>
      <c r="D1479" s="15" t="s">
        <v>1480</v>
      </c>
      <c r="E1479" s="16" t="str">
        <f aca="false">HYPERLINK("#'Forrásszöveg'!A"&amp;(MATCH("VHR-S0138",Forrásszöveg!$A$6:$A$2497,0)+5),"12. § eleje")</f>
        <v>12. § eleje</v>
      </c>
      <c r="F1479" s="16" t="str">
        <f aca="false">HYPERLINK("https://net.jogtar.hu/jogszabaly?docid=a2400418.kor#pr155id","Jogtár megnyitása")</f>
        <v>Jogtár megnyitása</v>
      </c>
    </row>
    <row r="1480" customFormat="false" ht="52" hidden="false" customHeight="true" outlineLevel="0" collapsed="false">
      <c r="A1480" s="15" t="s">
        <v>5642</v>
      </c>
      <c r="B1480" s="15" t="s">
        <v>1471</v>
      </c>
      <c r="C1480" s="15" t="s">
        <v>2584</v>
      </c>
      <c r="D1480" s="15" t="s">
        <v>5643</v>
      </c>
      <c r="E1480" s="16" t="str">
        <f aca="false">HYPERLINK("#'Forrásszöveg'!A"&amp;(MATCH("VHR-S0156",Forrásszöveg!$A$6:$A$2497,0)+5),"13. § (1) eleje")</f>
        <v>13. § (1) eleje</v>
      </c>
      <c r="F1480" s="16" t="str">
        <f aca="false">HYPERLINK("https://net.jogtar.hu/jogszabaly?docid=a2400418.kor#pr156id","Jogtár megnyitása")</f>
        <v>Jogtár megnyitása</v>
      </c>
    </row>
    <row r="1481" customFormat="false" ht="66" hidden="false" customHeight="true" outlineLevel="0" collapsed="false">
      <c r="A1481" s="15" t="s">
        <v>5644</v>
      </c>
      <c r="B1481" s="15" t="s">
        <v>1471</v>
      </c>
      <c r="C1481" s="15" t="s">
        <v>2593</v>
      </c>
      <c r="D1481" s="15" t="s">
        <v>5645</v>
      </c>
      <c r="E1481" s="16" t="str">
        <f aca="false">HYPERLINK("#'Forrásszöveg'!A"&amp;(MATCH("VHR-S0157",Forrásszöveg!$A$6:$A$2497,0)+5),"13. § (2) eleje")</f>
        <v>13. § (2) eleje</v>
      </c>
      <c r="F1481" s="16" t="str">
        <f aca="false">HYPERLINK("https://net.jogtar.hu/jogszabaly?docid=a2400418.kor#pr157id","Jogtár megnyitása")</f>
        <v>Jogtár megnyitása</v>
      </c>
    </row>
    <row r="1482" customFormat="false" ht="38" hidden="false" customHeight="true" outlineLevel="0" collapsed="false">
      <c r="A1482" s="15" t="s">
        <v>5646</v>
      </c>
      <c r="B1482" s="15" t="s">
        <v>1471</v>
      </c>
      <c r="C1482" s="15" t="s">
        <v>2596</v>
      </c>
      <c r="D1482" s="15" t="s">
        <v>5647</v>
      </c>
      <c r="E1482" s="16" t="str">
        <f aca="false">HYPERLINK("#'Forrásszöveg'!A"&amp;(MATCH("VHR-S0158",Forrásszöveg!$A$6:$A$2497,0)+5),"13. § (3) eleje")</f>
        <v>13. § (3) eleje</v>
      </c>
      <c r="F1482" s="16" t="str">
        <f aca="false">HYPERLINK("https://net.jogtar.hu/jogszabaly?docid=a2400418.kor#pr158id","Jogtár megnyitása")</f>
        <v>Jogtár megnyitása</v>
      </c>
    </row>
    <row r="1483" customFormat="false" ht="38" hidden="false" customHeight="true" outlineLevel="0" collapsed="false">
      <c r="A1483" s="15" t="s">
        <v>5648</v>
      </c>
      <c r="B1483" s="15" t="s">
        <v>1471</v>
      </c>
      <c r="C1483" s="15" t="s">
        <v>2605</v>
      </c>
      <c r="D1483" s="15" t="s">
        <v>5649</v>
      </c>
      <c r="E1483" s="16" t="str">
        <f aca="false">HYPERLINK("#'Forrásszöveg'!A"&amp;(MATCH("VHR-S0159",Forrásszöveg!$A$6:$A$2497,0)+5),"13. § (4) eleje")</f>
        <v>13. § (4) eleje</v>
      </c>
      <c r="F1483" s="16" t="str">
        <f aca="false">HYPERLINK("https://net.jogtar.hu/jogszabaly?docid=a2400418.kor#pr159id","Jogtár megnyitása")</f>
        <v>Jogtár megnyitása</v>
      </c>
    </row>
    <row r="1484" customFormat="false" ht="34" hidden="false" customHeight="true" outlineLevel="0" collapsed="false">
      <c r="A1484" s="15" t="s">
        <v>5650</v>
      </c>
      <c r="B1484" s="15" t="s">
        <v>1471</v>
      </c>
      <c r="C1484" s="15" t="s">
        <v>2608</v>
      </c>
      <c r="D1484" s="15" t="s">
        <v>5651</v>
      </c>
      <c r="E1484" s="16" t="str">
        <f aca="false">HYPERLINK("#'Forrásszöveg'!A"&amp;(MATCH("VHR-S0160",Forrásszöveg!$A$6:$A$2497,0)+5),"13. § (5) eleje")</f>
        <v>13. § (5) eleje</v>
      </c>
      <c r="F1484" s="16" t="str">
        <f aca="false">HYPERLINK("https://net.jogtar.hu/jogszabaly?docid=a2400418.kor#pr160id","Jogtár megnyitása")</f>
        <v>Jogtár megnyitása</v>
      </c>
    </row>
    <row r="1485" customFormat="false" ht="34" hidden="false" customHeight="true" outlineLevel="0" collapsed="false">
      <c r="A1485" s="15" t="s">
        <v>5652</v>
      </c>
      <c r="B1485" s="15" t="s">
        <v>1471</v>
      </c>
      <c r="C1485" s="15" t="s">
        <v>5653</v>
      </c>
      <c r="D1485" s="15" t="s">
        <v>5654</v>
      </c>
      <c r="E1485" s="16" t="str">
        <f aca="false">HYPERLINK("#'Forrásszöveg'!A"&amp;(MATCH("VHR-S0160",Forrásszöveg!$A$6:$A$2497,0)+5),"13. § (5) eleje")</f>
        <v>13. § (5) eleje</v>
      </c>
      <c r="F1485" s="16" t="str">
        <f aca="false">HYPERLINK("https://net.jogtar.hu/jogszabaly?docid=a2400418.kor#pr161id","Jogtár megnyitása")</f>
        <v>Jogtár megnyitása</v>
      </c>
    </row>
    <row r="1486" customFormat="false" ht="34" hidden="false" customHeight="true" outlineLevel="0" collapsed="false">
      <c r="A1486" s="15" t="s">
        <v>5655</v>
      </c>
      <c r="B1486" s="15" t="s">
        <v>1471</v>
      </c>
      <c r="C1486" s="15" t="s">
        <v>5656</v>
      </c>
      <c r="D1486" s="15" t="s">
        <v>5657</v>
      </c>
      <c r="E1486" s="16" t="str">
        <f aca="false">HYPERLINK("#'Forrásszöveg'!A"&amp;(MATCH("VHR-S0160",Forrásszöveg!$A$6:$A$2497,0)+5),"13. § (5) eleje")</f>
        <v>13. § (5) eleje</v>
      </c>
      <c r="F1486" s="16" t="str">
        <f aca="false">HYPERLINK("https://net.jogtar.hu/jogszabaly?docid=a2400418.kor#pr162id","Jogtár megnyitása")</f>
        <v>Jogtár megnyitása</v>
      </c>
    </row>
    <row r="1487" customFormat="false" ht="34" hidden="false" customHeight="true" outlineLevel="0" collapsed="false">
      <c r="A1487" s="15" t="s">
        <v>5658</v>
      </c>
      <c r="B1487" s="15" t="s">
        <v>1471</v>
      </c>
      <c r="C1487" s="15" t="s">
        <v>2608</v>
      </c>
      <c r="D1487" s="15" t="s">
        <v>5659</v>
      </c>
      <c r="E1487" s="16" t="str">
        <f aca="false">HYPERLINK("#'Forrásszöveg'!A"&amp;(MATCH("VHR-S0160",Forrásszöveg!$A$6:$A$2497,0)+5),"13. § (5) eleje")</f>
        <v>13. § (5) eleje</v>
      </c>
      <c r="F1487" s="16" t="str">
        <f aca="false">HYPERLINK("https://net.jogtar.hu/jogszabaly?docid=a2400418.kor#pr163id","Jogtár megnyitása")</f>
        <v>Jogtár megnyitása</v>
      </c>
    </row>
    <row r="1488" customFormat="false" ht="52" hidden="false" customHeight="true" outlineLevel="0" collapsed="false">
      <c r="A1488" s="15" t="s">
        <v>5660</v>
      </c>
      <c r="B1488" s="15" t="s">
        <v>1471</v>
      </c>
      <c r="C1488" s="15" t="s">
        <v>2611</v>
      </c>
      <c r="D1488" s="15" t="s">
        <v>5661</v>
      </c>
      <c r="E1488" s="16" t="str">
        <f aca="false">HYPERLINK("#'Forrásszöveg'!A"&amp;(MATCH("VHR-S0164",Forrásszöveg!$A$6:$A$2497,0)+5),"13. § (6) eleje")</f>
        <v>13. § (6) eleje</v>
      </c>
      <c r="F1488" s="16" t="str">
        <f aca="false">HYPERLINK("https://net.jogtar.hu/jogszabaly?docid=a2400418.kor#pr164id","Jogtár megnyitása")</f>
        <v>Jogtár megnyitása</v>
      </c>
    </row>
    <row r="1489" customFormat="false" ht="66" hidden="false" customHeight="true" outlineLevel="0" collapsed="false">
      <c r="A1489" s="15" t="s">
        <v>5662</v>
      </c>
      <c r="B1489" s="15" t="s">
        <v>1471</v>
      </c>
      <c r="C1489" s="15" t="s">
        <v>2630</v>
      </c>
      <c r="D1489" s="15" t="s">
        <v>5663</v>
      </c>
      <c r="E1489" s="16" t="str">
        <f aca="false">HYPERLINK("#'Forrásszöveg'!A"&amp;(MATCH("VHR-S0165",Forrásszöveg!$A$6:$A$2497,0)+5),"14. § (1) eleje")</f>
        <v>14. § (1) eleje</v>
      </c>
      <c r="F1489" s="16" t="str">
        <f aca="false">HYPERLINK("https://net.jogtar.hu/jogszabaly?docid=a2400418.kor#pr165id","Jogtár megnyitása")</f>
        <v>Jogtár megnyitása</v>
      </c>
    </row>
    <row r="1490" customFormat="false" ht="38" hidden="false" customHeight="true" outlineLevel="0" collapsed="false">
      <c r="A1490" s="15" t="s">
        <v>5664</v>
      </c>
      <c r="B1490" s="15" t="s">
        <v>1471</v>
      </c>
      <c r="C1490" s="15" t="s">
        <v>2641</v>
      </c>
      <c r="D1490" s="15" t="s">
        <v>5665</v>
      </c>
      <c r="E1490" s="16" t="str">
        <f aca="false">HYPERLINK("#'Forrásszöveg'!A"&amp;(MATCH("VHR-S0166",Forrásszöveg!$A$6:$A$2497,0)+5),"14. § (2) eleje")</f>
        <v>14. § (2) eleje</v>
      </c>
      <c r="F1490" s="16" t="str">
        <f aca="false">HYPERLINK("https://net.jogtar.hu/jogszabaly?docid=a2400418.kor#pr166id","Jogtár megnyitása")</f>
        <v>Jogtár megnyitása</v>
      </c>
    </row>
    <row r="1491" customFormat="false" ht="66" hidden="false" customHeight="true" outlineLevel="0" collapsed="false">
      <c r="A1491" s="15" t="s">
        <v>5666</v>
      </c>
      <c r="B1491" s="15" t="s">
        <v>1471</v>
      </c>
      <c r="C1491" s="15" t="s">
        <v>2644</v>
      </c>
      <c r="D1491" s="15" t="s">
        <v>5667</v>
      </c>
      <c r="E1491" s="16" t="str">
        <f aca="false">HYPERLINK("#'Forrásszöveg'!A"&amp;(MATCH("VHR-S0167",Forrásszöveg!$A$6:$A$2497,0)+5),"14. § (3) eleje")</f>
        <v>14. § (3) eleje</v>
      </c>
      <c r="F1491" s="16" t="str">
        <f aca="false">HYPERLINK("https://net.jogtar.hu/jogszabaly?docid=a2400418.kor#pr167id","Jogtár megnyitása")</f>
        <v>Jogtár megnyitása</v>
      </c>
    </row>
    <row r="1492" customFormat="false" ht="52" hidden="false" customHeight="true" outlineLevel="0" collapsed="false">
      <c r="A1492" s="15" t="s">
        <v>5668</v>
      </c>
      <c r="B1492" s="15" t="s">
        <v>1471</v>
      </c>
      <c r="C1492" s="15" t="s">
        <v>1481</v>
      </c>
      <c r="D1492" s="15" t="s">
        <v>1481</v>
      </c>
      <c r="E1492" s="16" t="str">
        <f aca="false">HYPERLINK("#'Forrásszöveg'!A"&amp;(MATCH("VHR-S0165",Forrásszöveg!$A$6:$A$2497,0)+5),"14. § eleje")</f>
        <v>14. § eleje</v>
      </c>
      <c r="F1492" s="16" t="str">
        <f aca="false">HYPERLINK("https://net.jogtar.hu/jogszabaly?docid=a2400418.kor#pr168id","Jogtár megnyitása")</f>
        <v>Jogtár megnyitása</v>
      </c>
    </row>
    <row r="1493" customFormat="false" ht="38" hidden="false" customHeight="true" outlineLevel="0" collapsed="false">
      <c r="A1493" s="15" t="s">
        <v>5669</v>
      </c>
      <c r="B1493" s="15" t="s">
        <v>1471</v>
      </c>
      <c r="C1493" s="15" t="s">
        <v>2659</v>
      </c>
      <c r="D1493" s="15" t="s">
        <v>5670</v>
      </c>
      <c r="E1493" s="16" t="str">
        <f aca="false">HYPERLINK("#'Forrásszöveg'!A"&amp;(MATCH("VHR-S0169",Forrásszöveg!$A$6:$A$2497,0)+5),"15. § (1) eleje")</f>
        <v>15. § (1) eleje</v>
      </c>
      <c r="F1493" s="16" t="str">
        <f aca="false">HYPERLINK("https://net.jogtar.hu/jogszabaly?docid=a2400418.kor#pr169id","Jogtár megnyitása")</f>
        <v>Jogtár megnyitása</v>
      </c>
    </row>
    <row r="1494" customFormat="false" ht="34" hidden="false" customHeight="true" outlineLevel="0" collapsed="false">
      <c r="A1494" s="15" t="s">
        <v>5671</v>
      </c>
      <c r="B1494" s="15" t="s">
        <v>1471</v>
      </c>
      <c r="C1494" s="15" t="s">
        <v>5672</v>
      </c>
      <c r="D1494" s="15" t="s">
        <v>5673</v>
      </c>
      <c r="E1494" s="16" t="str">
        <f aca="false">HYPERLINK("#'Forrásszöveg'!A"&amp;(MATCH("VHR-S0169",Forrásszöveg!$A$6:$A$2497,0)+5),"15. § (1) eleje")</f>
        <v>15. § (1) eleje</v>
      </c>
      <c r="F1494" s="16" t="str">
        <f aca="false">HYPERLINK("https://net.jogtar.hu/jogszabaly?docid=a2400418.kor#pr170id","Jogtár megnyitása")</f>
        <v>Jogtár megnyitása</v>
      </c>
    </row>
    <row r="1495" customFormat="false" ht="34" hidden="false" customHeight="true" outlineLevel="0" collapsed="false">
      <c r="A1495" s="15" t="s">
        <v>5674</v>
      </c>
      <c r="B1495" s="15" t="s">
        <v>1471</v>
      </c>
      <c r="C1495" s="15" t="s">
        <v>5675</v>
      </c>
      <c r="D1495" s="15" t="s">
        <v>5676</v>
      </c>
      <c r="E1495" s="16" t="str">
        <f aca="false">HYPERLINK("#'Forrásszöveg'!A"&amp;(MATCH("VHR-S0169",Forrásszöveg!$A$6:$A$2497,0)+5),"15. § (1) eleje")</f>
        <v>15. § (1) eleje</v>
      </c>
      <c r="F1495" s="16" t="str">
        <f aca="false">HYPERLINK("https://net.jogtar.hu/jogszabaly?docid=a2400418.kor#pr171id","Jogtár megnyitása")</f>
        <v>Jogtár megnyitása</v>
      </c>
    </row>
    <row r="1496" customFormat="false" ht="34" hidden="false" customHeight="true" outlineLevel="0" collapsed="false">
      <c r="A1496" s="15" t="s">
        <v>5677</v>
      </c>
      <c r="B1496" s="15" t="s">
        <v>1471</v>
      </c>
      <c r="C1496" s="15" t="s">
        <v>5678</v>
      </c>
      <c r="D1496" s="15" t="s">
        <v>5679</v>
      </c>
      <c r="E1496" s="16" t="str">
        <f aca="false">HYPERLINK("#'Forrásszöveg'!A"&amp;(MATCH("VHR-S0169",Forrásszöveg!$A$6:$A$2497,0)+5),"15. § (1) eleje")</f>
        <v>15. § (1) eleje</v>
      </c>
      <c r="F1496" s="16" t="str">
        <f aca="false">HYPERLINK("https://net.jogtar.hu/jogszabaly?docid=a2400418.kor#pr172id","Jogtár megnyitása")</f>
        <v>Jogtár megnyitása</v>
      </c>
    </row>
    <row r="1497" customFormat="false" ht="38" hidden="false" customHeight="true" outlineLevel="0" collapsed="false">
      <c r="A1497" s="15" t="s">
        <v>5680</v>
      </c>
      <c r="B1497" s="15" t="s">
        <v>1471</v>
      </c>
      <c r="C1497" s="15" t="s">
        <v>5681</v>
      </c>
      <c r="D1497" s="15" t="s">
        <v>5682</v>
      </c>
      <c r="E1497" s="16" t="str">
        <f aca="false">HYPERLINK("#'Forrásszöveg'!A"&amp;(MATCH("VHR-S0169",Forrásszöveg!$A$6:$A$2497,0)+5),"15. § (1) eleje")</f>
        <v>15. § (1) eleje</v>
      </c>
      <c r="F1497" s="16" t="str">
        <f aca="false">HYPERLINK("https://net.jogtar.hu/jogszabaly?docid=a2400418.kor#pr173id","Jogtár megnyitása")</f>
        <v>Jogtár megnyitása</v>
      </c>
    </row>
    <row r="1498" customFormat="false" ht="34" hidden="false" customHeight="true" outlineLevel="0" collapsed="false">
      <c r="A1498" s="15" t="s">
        <v>5683</v>
      </c>
      <c r="B1498" s="15" t="s">
        <v>1471</v>
      </c>
      <c r="C1498" s="15" t="s">
        <v>5684</v>
      </c>
      <c r="D1498" s="15" t="s">
        <v>5685</v>
      </c>
      <c r="E1498" s="16" t="str">
        <f aca="false">HYPERLINK("#'Forrásszöveg'!A"&amp;(MATCH("VHR-S0169",Forrásszöveg!$A$6:$A$2497,0)+5),"15. § (1) eleje")</f>
        <v>15. § (1) eleje</v>
      </c>
      <c r="F1498" s="16" t="str">
        <f aca="false">HYPERLINK("https://net.jogtar.hu/jogszabaly?docid=a2400418.kor#pr174id","Jogtár megnyitása")</f>
        <v>Jogtár megnyitása</v>
      </c>
    </row>
    <row r="1499" customFormat="false" ht="34" hidden="false" customHeight="true" outlineLevel="0" collapsed="false">
      <c r="A1499" s="15" t="s">
        <v>5686</v>
      </c>
      <c r="B1499" s="15" t="s">
        <v>1471</v>
      </c>
      <c r="C1499" s="15" t="s">
        <v>5687</v>
      </c>
      <c r="D1499" s="15" t="s">
        <v>5688</v>
      </c>
      <c r="E1499" s="16" t="str">
        <f aca="false">HYPERLINK("#'Forrásszöveg'!A"&amp;(MATCH("VHR-S0169",Forrásszöveg!$A$6:$A$2497,0)+5),"15. § (1) eleje")</f>
        <v>15. § (1) eleje</v>
      </c>
      <c r="F1499" s="16" t="str">
        <f aca="false">HYPERLINK("https://net.jogtar.hu/jogszabaly?docid=a2400418.kor#pr175id","Jogtár megnyitása")</f>
        <v>Jogtár megnyitása</v>
      </c>
    </row>
    <row r="1500" customFormat="false" ht="34" hidden="false" customHeight="true" outlineLevel="0" collapsed="false">
      <c r="A1500" s="15" t="s">
        <v>5689</v>
      </c>
      <c r="B1500" s="15" t="s">
        <v>1471</v>
      </c>
      <c r="C1500" s="15" t="s">
        <v>5690</v>
      </c>
      <c r="D1500" s="15" t="s">
        <v>5691</v>
      </c>
      <c r="E1500" s="16" t="str">
        <f aca="false">HYPERLINK("#'Forrásszöveg'!A"&amp;(MATCH("VHR-S0169",Forrásszöveg!$A$6:$A$2497,0)+5),"15. § (1) eleje")</f>
        <v>15. § (1) eleje</v>
      </c>
      <c r="F1500" s="16" t="str">
        <f aca="false">HYPERLINK("https://net.jogtar.hu/jogszabaly?docid=a2400418.kor#pr176id","Jogtár megnyitása")</f>
        <v>Jogtár megnyitása</v>
      </c>
    </row>
    <row r="1501" customFormat="false" ht="66" hidden="false" customHeight="true" outlineLevel="0" collapsed="false">
      <c r="A1501" s="15" t="s">
        <v>5692</v>
      </c>
      <c r="B1501" s="15" t="s">
        <v>1471</v>
      </c>
      <c r="C1501" s="15" t="s">
        <v>2662</v>
      </c>
      <c r="D1501" s="15" t="s">
        <v>5693</v>
      </c>
      <c r="E1501" s="16" t="str">
        <f aca="false">HYPERLINK("#'Forrásszöveg'!A"&amp;(MATCH("VHR-S0177",Forrásszöveg!$A$6:$A$2497,0)+5),"15. § (2) eleje")</f>
        <v>15. § (2) eleje</v>
      </c>
      <c r="F1501" s="16" t="str">
        <f aca="false">HYPERLINK("https://net.jogtar.hu/jogszabaly?docid=a2400418.kor#pr177id","Jogtár megnyitása")</f>
        <v>Jogtár megnyitása</v>
      </c>
    </row>
    <row r="1502" customFormat="false" ht="34" hidden="false" customHeight="true" outlineLevel="0" collapsed="false">
      <c r="A1502" s="15" t="s">
        <v>5694</v>
      </c>
      <c r="B1502" s="15" t="s">
        <v>1471</v>
      </c>
      <c r="C1502" s="15" t="s">
        <v>2665</v>
      </c>
      <c r="D1502" s="15" t="s">
        <v>5695</v>
      </c>
      <c r="E1502" s="16" t="str">
        <f aca="false">HYPERLINK("#'Forrásszöveg'!A"&amp;(MATCH("VHR-S0178",Forrásszöveg!$A$6:$A$2497,0)+5),"15. § (3) eleje")</f>
        <v>15. § (3) eleje</v>
      </c>
      <c r="F1502" s="16" t="str">
        <f aca="false">HYPERLINK("https://net.jogtar.hu/jogszabaly?docid=a2400418.kor#pr178id","Jogtár megnyitása")</f>
        <v>Jogtár megnyitása</v>
      </c>
    </row>
    <row r="1503" customFormat="false" ht="38" hidden="false" customHeight="true" outlineLevel="0" collapsed="false">
      <c r="A1503" s="15" t="s">
        <v>5696</v>
      </c>
      <c r="B1503" s="15" t="s">
        <v>1471</v>
      </c>
      <c r="C1503" s="15" t="s">
        <v>5697</v>
      </c>
      <c r="D1503" s="15" t="s">
        <v>5698</v>
      </c>
      <c r="E1503" s="16" t="str">
        <f aca="false">HYPERLINK("#'Forrásszöveg'!A"&amp;(MATCH("VHR-S0178",Forrásszöveg!$A$6:$A$2497,0)+5),"15. § (3) eleje")</f>
        <v>15. § (3) eleje</v>
      </c>
      <c r="F1503" s="16" t="str">
        <f aca="false">HYPERLINK("https://net.jogtar.hu/jogszabaly?docid=a2400418.kor#pr179id","Jogtár megnyitása")</f>
        <v>Jogtár megnyitása</v>
      </c>
    </row>
    <row r="1504" customFormat="false" ht="38" hidden="false" customHeight="true" outlineLevel="0" collapsed="false">
      <c r="A1504" s="15" t="s">
        <v>5699</v>
      </c>
      <c r="B1504" s="15" t="s">
        <v>1471</v>
      </c>
      <c r="C1504" s="15" t="s">
        <v>5700</v>
      </c>
      <c r="D1504" s="15" t="s">
        <v>5701</v>
      </c>
      <c r="E1504" s="16" t="str">
        <f aca="false">HYPERLINK("#'Forrásszöveg'!A"&amp;(MATCH("VHR-S0178",Forrásszöveg!$A$6:$A$2497,0)+5),"15. § (3) eleje")</f>
        <v>15. § (3) eleje</v>
      </c>
      <c r="F1504" s="16" t="str">
        <f aca="false">HYPERLINK("https://net.jogtar.hu/jogszabaly?docid=a2400418.kor#pr180id","Jogtár megnyitása")</f>
        <v>Jogtár megnyitása</v>
      </c>
    </row>
    <row r="1505" customFormat="false" ht="38" hidden="false" customHeight="true" outlineLevel="0" collapsed="false">
      <c r="A1505" s="15" t="s">
        <v>5702</v>
      </c>
      <c r="B1505" s="15" t="s">
        <v>1471</v>
      </c>
      <c r="C1505" s="15" t="s">
        <v>5703</v>
      </c>
      <c r="D1505" s="15" t="s">
        <v>5704</v>
      </c>
      <c r="E1505" s="16" t="str">
        <f aca="false">HYPERLINK("#'Forrásszöveg'!A"&amp;(MATCH("VHR-S0178",Forrásszöveg!$A$6:$A$2497,0)+5),"15. § (3) eleje")</f>
        <v>15. § (3) eleje</v>
      </c>
      <c r="F1505" s="16" t="str">
        <f aca="false">HYPERLINK("https://net.jogtar.hu/jogszabaly?docid=a2400418.kor#pr181id","Jogtár megnyitása")</f>
        <v>Jogtár megnyitása</v>
      </c>
    </row>
    <row r="1506" customFormat="false" ht="52" hidden="false" customHeight="true" outlineLevel="0" collapsed="false">
      <c r="A1506" s="15" t="s">
        <v>5705</v>
      </c>
      <c r="B1506" s="15" t="s">
        <v>1471</v>
      </c>
      <c r="C1506" s="15" t="s">
        <v>5706</v>
      </c>
      <c r="D1506" s="15" t="s">
        <v>5707</v>
      </c>
      <c r="E1506" s="16" t="str">
        <f aca="false">HYPERLINK("#'Forrásszöveg'!A"&amp;(MATCH("VHR-S0182",Forrásszöveg!$A$6:$A$2497,0)+5),"15. § (4) eleje")</f>
        <v>15. § (4) eleje</v>
      </c>
      <c r="F1506" s="16" t="str">
        <f aca="false">HYPERLINK("https://net.jogtar.hu/jogszabaly?docid=a2400418.kor#pr182id","Jogtár megnyitása")</f>
        <v>Jogtár megnyitása</v>
      </c>
    </row>
    <row r="1507" customFormat="false" ht="34" hidden="false" customHeight="true" outlineLevel="0" collapsed="false">
      <c r="A1507" s="15" t="s">
        <v>5708</v>
      </c>
      <c r="B1507" s="15" t="s">
        <v>1471</v>
      </c>
      <c r="C1507" s="15" t="s">
        <v>2854</v>
      </c>
      <c r="D1507" s="15" t="s">
        <v>2854</v>
      </c>
      <c r="E1507" s="16" t="str">
        <f aca="false">HYPERLINK("#'Forrásszöveg'!A"&amp;(MATCH("VHR-S0169",Forrásszöveg!$A$6:$A$2497,0)+5),"15. § eleje")</f>
        <v>15. § eleje</v>
      </c>
      <c r="F1507" s="16" t="str">
        <f aca="false">HYPERLINK("https://net.jogtar.hu/jogszabaly?docid=a2400418.kor#pr183id","Jogtár megnyitása")</f>
        <v>Jogtár megnyitása</v>
      </c>
    </row>
    <row r="1508" customFormat="false" ht="38" hidden="false" customHeight="true" outlineLevel="0" collapsed="false">
      <c r="A1508" s="15" t="s">
        <v>5709</v>
      </c>
      <c r="B1508" s="15" t="s">
        <v>1471</v>
      </c>
      <c r="C1508" s="15" t="s">
        <v>5710</v>
      </c>
      <c r="D1508" s="15" t="s">
        <v>5710</v>
      </c>
      <c r="E1508" s="16" t="str">
        <f aca="false">HYPERLINK("#'Forrásszöveg'!A"&amp;(MATCH("VHR-S0169",Forrásszöveg!$A$6:$A$2497,0)+5),"15. § eleje")</f>
        <v>15. § eleje</v>
      </c>
      <c r="F1508" s="16" t="str">
        <f aca="false">HYPERLINK("https://net.jogtar.hu/jogszabaly?docid=a2400418.kor#pr184id","Jogtár megnyitása")</f>
        <v>Jogtár megnyitása</v>
      </c>
    </row>
    <row r="1509" customFormat="false" ht="52" hidden="false" customHeight="true" outlineLevel="0" collapsed="false">
      <c r="A1509" s="15" t="s">
        <v>5711</v>
      </c>
      <c r="B1509" s="15" t="s">
        <v>1471</v>
      </c>
      <c r="C1509" s="15" t="s">
        <v>1482</v>
      </c>
      <c r="D1509" s="15" t="s">
        <v>1482</v>
      </c>
      <c r="E1509" s="16" t="str">
        <f aca="false">HYPERLINK("#'Forrásszöveg'!A"&amp;(MATCH("VHR-S0169",Forrásszöveg!$A$6:$A$2497,0)+5),"15. § eleje")</f>
        <v>15. § eleje</v>
      </c>
      <c r="F1509" s="16" t="str">
        <f aca="false">HYPERLINK("https://net.jogtar.hu/jogszabaly?docid=a2400418.kor#pr185id","Jogtár megnyitása")</f>
        <v>Jogtár megnyitása</v>
      </c>
    </row>
    <row r="1510" customFormat="false" ht="34" hidden="false" customHeight="true" outlineLevel="0" collapsed="false">
      <c r="A1510" s="15" t="s">
        <v>5712</v>
      </c>
      <c r="B1510" s="15" t="s">
        <v>1471</v>
      </c>
      <c r="C1510" s="15" t="s">
        <v>2669</v>
      </c>
      <c r="D1510" s="15" t="s">
        <v>5713</v>
      </c>
      <c r="E1510" s="16" t="str">
        <f aca="false">HYPERLINK("#'Forrásszöveg'!A"&amp;(MATCH("VHR-S0186",Forrásszöveg!$A$6:$A$2497,0)+5),"16. § (1) eleje")</f>
        <v>16. § (1) eleje</v>
      </c>
      <c r="F1510" s="16" t="str">
        <f aca="false">HYPERLINK("https://net.jogtar.hu/jogszabaly?docid=a2400418.kor#pr186id","Jogtár megnyitása")</f>
        <v>Jogtár megnyitása</v>
      </c>
    </row>
    <row r="1511" customFormat="false" ht="34" hidden="false" customHeight="true" outlineLevel="0" collapsed="false">
      <c r="A1511" s="15" t="s">
        <v>5714</v>
      </c>
      <c r="B1511" s="15" t="s">
        <v>1471</v>
      </c>
      <c r="C1511" s="15" t="s">
        <v>5715</v>
      </c>
      <c r="D1511" s="15" t="s">
        <v>5716</v>
      </c>
      <c r="E1511" s="16" t="str">
        <f aca="false">HYPERLINK("#'Forrásszöveg'!A"&amp;(MATCH("VHR-S0186",Forrásszöveg!$A$6:$A$2497,0)+5),"16. § (1) eleje")</f>
        <v>16. § (1) eleje</v>
      </c>
      <c r="F1511" s="16" t="str">
        <f aca="false">HYPERLINK("https://net.jogtar.hu/jogszabaly?docid=a2400418.kor#pr187id","Jogtár megnyitása")</f>
        <v>Jogtár megnyitása</v>
      </c>
    </row>
    <row r="1512" customFormat="false" ht="38" hidden="false" customHeight="true" outlineLevel="0" collapsed="false">
      <c r="A1512" s="15" t="s">
        <v>5717</v>
      </c>
      <c r="B1512" s="15" t="s">
        <v>1471</v>
      </c>
      <c r="C1512" s="15" t="s">
        <v>5718</v>
      </c>
      <c r="D1512" s="15" t="s">
        <v>5719</v>
      </c>
      <c r="E1512" s="16" t="str">
        <f aca="false">HYPERLINK("#'Forrásszöveg'!A"&amp;(MATCH("VHR-S0186",Forrásszöveg!$A$6:$A$2497,0)+5),"16. § (1) eleje")</f>
        <v>16. § (1) eleje</v>
      </c>
      <c r="F1512" s="16" t="str">
        <f aca="false">HYPERLINK("https://net.jogtar.hu/jogszabaly?docid=a2400418.kor#pr188id","Jogtár megnyitása")</f>
        <v>Jogtár megnyitása</v>
      </c>
    </row>
    <row r="1513" customFormat="false" ht="34" hidden="false" customHeight="true" outlineLevel="0" collapsed="false">
      <c r="A1513" s="15" t="s">
        <v>5720</v>
      </c>
      <c r="B1513" s="15" t="s">
        <v>1471</v>
      </c>
      <c r="C1513" s="15" t="s">
        <v>2669</v>
      </c>
      <c r="D1513" s="15" t="s">
        <v>5721</v>
      </c>
      <c r="E1513" s="16" t="str">
        <f aca="false">HYPERLINK("#'Forrásszöveg'!A"&amp;(MATCH("VHR-S0186",Forrásszöveg!$A$6:$A$2497,0)+5),"16. § (1) eleje")</f>
        <v>16. § (1) eleje</v>
      </c>
      <c r="F1513" s="16" t="str">
        <f aca="false">HYPERLINK("https://net.jogtar.hu/jogszabaly?docid=a2400418.kor#pr189id","Jogtár megnyitása")</f>
        <v>Jogtár megnyitása</v>
      </c>
    </row>
    <row r="1514" customFormat="false" ht="38" hidden="false" customHeight="true" outlineLevel="0" collapsed="false">
      <c r="A1514" s="15" t="s">
        <v>5722</v>
      </c>
      <c r="B1514" s="15" t="s">
        <v>1471</v>
      </c>
      <c r="C1514" s="15" t="s">
        <v>2671</v>
      </c>
      <c r="D1514" s="15" t="s">
        <v>5723</v>
      </c>
      <c r="E1514" s="16" t="str">
        <f aca="false">HYPERLINK("#'Forrásszöveg'!A"&amp;(MATCH("VHR-S0190",Forrásszöveg!$A$6:$A$2497,0)+5),"16. § (2) eleje")</f>
        <v>16. § (2) eleje</v>
      </c>
      <c r="F1514" s="16" t="str">
        <f aca="false">HYPERLINK("https://net.jogtar.hu/jogszabaly?docid=a2400418.kor#pr190id","Jogtár megnyitása")</f>
        <v>Jogtár megnyitása</v>
      </c>
    </row>
    <row r="1515" customFormat="false" ht="52" hidden="false" customHeight="true" outlineLevel="0" collapsed="false">
      <c r="A1515" s="15" t="s">
        <v>5724</v>
      </c>
      <c r="B1515" s="15" t="s">
        <v>1471</v>
      </c>
      <c r="C1515" s="15" t="s">
        <v>2680</v>
      </c>
      <c r="D1515" s="15" t="s">
        <v>152</v>
      </c>
      <c r="E1515" s="16" t="str">
        <f aca="false">HYPERLINK("#'Forrásszöveg'!A"&amp;(MATCH("VHR-S0191",Forrásszöveg!$A$6:$A$2497,0)+5),"16. § (3) eleje")</f>
        <v>16. § (3) eleje</v>
      </c>
      <c r="F1515" s="16" t="str">
        <f aca="false">HYPERLINK("https://net.jogtar.hu/jogszabaly?docid=a2400418.kor#pr191id","Jogtár megnyitása")</f>
        <v>Jogtár megnyitása</v>
      </c>
    </row>
    <row r="1516" customFormat="false" ht="34" hidden="false" customHeight="true" outlineLevel="0" collapsed="false">
      <c r="A1516" s="15" t="s">
        <v>5725</v>
      </c>
      <c r="B1516" s="15" t="s">
        <v>1471</v>
      </c>
      <c r="C1516" s="15" t="s">
        <v>2689</v>
      </c>
      <c r="D1516" s="15" t="s">
        <v>5726</v>
      </c>
      <c r="E1516" s="16" t="str">
        <f aca="false">HYPERLINK("#'Forrásszöveg'!A"&amp;(MATCH("VHR-S0192",Forrásszöveg!$A$6:$A$2497,0)+5),"17. § (1) eleje")</f>
        <v>17. § (1) eleje</v>
      </c>
      <c r="F1516" s="16" t="str">
        <f aca="false">HYPERLINK("https://net.jogtar.hu/jogszabaly?docid=a2400418.kor#pr192id","Jogtár megnyitása")</f>
        <v>Jogtár megnyitása</v>
      </c>
    </row>
    <row r="1517" customFormat="false" ht="38" hidden="false" customHeight="true" outlineLevel="0" collapsed="false">
      <c r="A1517" s="15" t="s">
        <v>5727</v>
      </c>
      <c r="B1517" s="15" t="s">
        <v>1471</v>
      </c>
      <c r="C1517" s="15" t="s">
        <v>5728</v>
      </c>
      <c r="D1517" s="15" t="s">
        <v>5729</v>
      </c>
      <c r="E1517" s="16" t="str">
        <f aca="false">HYPERLINK("#'Forrásszöveg'!A"&amp;(MATCH("VHR-S0192",Forrásszöveg!$A$6:$A$2497,0)+5),"17. § (1) eleje")</f>
        <v>17. § (1) eleje</v>
      </c>
      <c r="F1517" s="16" t="str">
        <f aca="false">HYPERLINK("https://net.jogtar.hu/jogszabaly?docid=a2400418.kor#pr193id","Jogtár megnyitása")</f>
        <v>Jogtár megnyitása</v>
      </c>
    </row>
    <row r="1518" customFormat="false" ht="34" hidden="false" customHeight="true" outlineLevel="0" collapsed="false">
      <c r="A1518" s="15" t="s">
        <v>5730</v>
      </c>
      <c r="B1518" s="15" t="s">
        <v>1471</v>
      </c>
      <c r="C1518" s="15" t="s">
        <v>5731</v>
      </c>
      <c r="D1518" s="15" t="s">
        <v>5732</v>
      </c>
      <c r="E1518" s="16" t="str">
        <f aca="false">HYPERLINK("#'Forrásszöveg'!A"&amp;(MATCH("VHR-S0192",Forrásszöveg!$A$6:$A$2497,0)+5),"17. § (1) eleje")</f>
        <v>17. § (1) eleje</v>
      </c>
      <c r="F1518" s="16" t="str">
        <f aca="false">HYPERLINK("https://net.jogtar.hu/jogszabaly?docid=a2400418.kor#pr194id","Jogtár megnyitása")</f>
        <v>Jogtár megnyitása</v>
      </c>
    </row>
    <row r="1519" customFormat="false" ht="38" hidden="false" customHeight="true" outlineLevel="0" collapsed="false">
      <c r="A1519" s="15" t="s">
        <v>5733</v>
      </c>
      <c r="B1519" s="15" t="s">
        <v>1471</v>
      </c>
      <c r="C1519" s="15" t="s">
        <v>5734</v>
      </c>
      <c r="D1519" s="15" t="s">
        <v>5735</v>
      </c>
      <c r="E1519" s="16" t="str">
        <f aca="false">HYPERLINK("#'Forrásszöveg'!A"&amp;(MATCH("VHR-S0192",Forrásszöveg!$A$6:$A$2497,0)+5),"17. § (1) eleje")</f>
        <v>17. § (1) eleje</v>
      </c>
      <c r="F1519" s="16" t="str">
        <f aca="false">HYPERLINK("https://net.jogtar.hu/jogszabaly?docid=a2400418.kor#pr195id","Jogtár megnyitása")</f>
        <v>Jogtár megnyitása</v>
      </c>
    </row>
    <row r="1520" customFormat="false" ht="52" hidden="false" customHeight="true" outlineLevel="0" collapsed="false">
      <c r="A1520" s="15" t="s">
        <v>5736</v>
      </c>
      <c r="B1520" s="15" t="s">
        <v>1471</v>
      </c>
      <c r="C1520" s="15" t="s">
        <v>5737</v>
      </c>
      <c r="D1520" s="15" t="s">
        <v>5738</v>
      </c>
      <c r="E1520" s="16" t="str">
        <f aca="false">HYPERLINK("#'Forrásszöveg'!A"&amp;(MATCH("VHR-S0192",Forrásszöveg!$A$6:$A$2497,0)+5),"17. § (1) eleje")</f>
        <v>17. § (1) eleje</v>
      </c>
      <c r="F1520" s="16" t="str">
        <f aca="false">HYPERLINK("https://net.jogtar.hu/jogszabaly?docid=a2400418.kor#pr196id","Jogtár megnyitása")</f>
        <v>Jogtár megnyitása</v>
      </c>
    </row>
    <row r="1521" customFormat="false" ht="52" hidden="false" customHeight="true" outlineLevel="0" collapsed="false">
      <c r="A1521" s="15" t="s">
        <v>5739</v>
      </c>
      <c r="B1521" s="15" t="s">
        <v>1471</v>
      </c>
      <c r="C1521" s="15" t="s">
        <v>5740</v>
      </c>
      <c r="D1521" s="15" t="s">
        <v>5741</v>
      </c>
      <c r="E1521" s="16" t="str">
        <f aca="false">HYPERLINK("#'Forrásszöveg'!A"&amp;(MATCH("VHR-S0192",Forrásszöveg!$A$6:$A$2497,0)+5),"17. § (1) eleje")</f>
        <v>17. § (1) eleje</v>
      </c>
      <c r="F1521" s="16" t="str">
        <f aca="false">HYPERLINK("https://net.jogtar.hu/jogszabaly?docid=a2400418.kor#pr197id","Jogtár megnyitása")</f>
        <v>Jogtár megnyitása</v>
      </c>
    </row>
    <row r="1522" customFormat="false" ht="38" hidden="false" customHeight="true" outlineLevel="0" collapsed="false">
      <c r="A1522" s="15" t="s">
        <v>5742</v>
      </c>
      <c r="B1522" s="15" t="s">
        <v>1471</v>
      </c>
      <c r="C1522" s="15" t="s">
        <v>5743</v>
      </c>
      <c r="D1522" s="15" t="s">
        <v>5744</v>
      </c>
      <c r="E1522" s="16" t="str">
        <f aca="false">HYPERLINK("#'Forrásszöveg'!A"&amp;(MATCH("VHR-S0192",Forrásszöveg!$A$6:$A$2497,0)+5),"17. § (1) eleje")</f>
        <v>17. § (1) eleje</v>
      </c>
      <c r="F1522" s="16" t="str">
        <f aca="false">HYPERLINK("https://net.jogtar.hu/jogszabaly?docid=a2400418.kor#pr198id","Jogtár megnyitása")</f>
        <v>Jogtár megnyitása</v>
      </c>
    </row>
    <row r="1523" customFormat="false" ht="38" hidden="false" customHeight="true" outlineLevel="0" collapsed="false">
      <c r="A1523" s="15" t="s">
        <v>5745</v>
      </c>
      <c r="B1523" s="15" t="s">
        <v>1471</v>
      </c>
      <c r="C1523" s="15" t="s">
        <v>5746</v>
      </c>
      <c r="D1523" s="15" t="s">
        <v>5747</v>
      </c>
      <c r="E1523" s="16" t="str">
        <f aca="false">HYPERLINK("#'Forrásszöveg'!A"&amp;(MATCH("VHR-S0192",Forrásszöveg!$A$6:$A$2497,0)+5),"17. § (1) eleje")</f>
        <v>17. § (1) eleje</v>
      </c>
      <c r="F1523" s="16" t="str">
        <f aca="false">HYPERLINK("https://net.jogtar.hu/jogszabaly?docid=a2400418.kor#pr199id","Jogtár megnyitása")</f>
        <v>Jogtár megnyitása</v>
      </c>
    </row>
    <row r="1524" customFormat="false" ht="52" hidden="false" customHeight="true" outlineLevel="0" collapsed="false">
      <c r="A1524" s="15" t="s">
        <v>5748</v>
      </c>
      <c r="B1524" s="15" t="s">
        <v>1471</v>
      </c>
      <c r="C1524" s="15" t="s">
        <v>5749</v>
      </c>
      <c r="D1524" s="15" t="s">
        <v>5750</v>
      </c>
      <c r="E1524" s="16" t="str">
        <f aca="false">HYPERLINK("#'Forrásszöveg'!A"&amp;(MATCH("VHR-S0192",Forrásszöveg!$A$6:$A$2497,0)+5),"17. § (1) eleje")</f>
        <v>17. § (1) eleje</v>
      </c>
      <c r="F1524" s="16" t="str">
        <f aca="false">HYPERLINK("https://net.jogtar.hu/jogszabaly?docid=a2400418.kor#pr200id","Jogtár megnyitása")</f>
        <v>Jogtár megnyitása</v>
      </c>
    </row>
    <row r="1525" customFormat="false" ht="52" hidden="false" customHeight="true" outlineLevel="0" collapsed="false">
      <c r="A1525" s="15" t="s">
        <v>5751</v>
      </c>
      <c r="B1525" s="15" t="s">
        <v>1471</v>
      </c>
      <c r="C1525" s="15" t="s">
        <v>5752</v>
      </c>
      <c r="D1525" s="15" t="s">
        <v>5753</v>
      </c>
      <c r="E1525" s="16" t="str">
        <f aca="false">HYPERLINK("#'Forrásszöveg'!A"&amp;(MATCH("VHR-S0192",Forrásszöveg!$A$6:$A$2497,0)+5),"17. § (1) eleje")</f>
        <v>17. § (1) eleje</v>
      </c>
      <c r="F1525" s="16" t="str">
        <f aca="false">HYPERLINK("https://net.jogtar.hu/jogszabaly?docid=a2400418.kor#pr201id","Jogtár megnyitása")</f>
        <v>Jogtár megnyitása</v>
      </c>
    </row>
    <row r="1526" customFormat="false" ht="52" hidden="false" customHeight="true" outlineLevel="0" collapsed="false">
      <c r="A1526" s="15" t="s">
        <v>5754</v>
      </c>
      <c r="B1526" s="15" t="s">
        <v>1471</v>
      </c>
      <c r="C1526" s="15" t="s">
        <v>5755</v>
      </c>
      <c r="D1526" s="15" t="s">
        <v>5756</v>
      </c>
      <c r="E1526" s="16" t="str">
        <f aca="false">HYPERLINK("#'Forrásszöveg'!A"&amp;(MATCH("VHR-S0192",Forrásszöveg!$A$6:$A$2497,0)+5),"17. § (1) eleje")</f>
        <v>17. § (1) eleje</v>
      </c>
      <c r="F1526" s="16" t="str">
        <f aca="false">HYPERLINK("https://net.jogtar.hu/jogszabaly?docid=a2400418.kor#pr202id","Jogtár megnyitása")</f>
        <v>Jogtár megnyitása</v>
      </c>
    </row>
    <row r="1527" customFormat="false" ht="38" hidden="false" customHeight="true" outlineLevel="0" collapsed="false">
      <c r="A1527" s="15" t="s">
        <v>5757</v>
      </c>
      <c r="B1527" s="15" t="s">
        <v>1471</v>
      </c>
      <c r="C1527" s="15" t="s">
        <v>5758</v>
      </c>
      <c r="D1527" s="15" t="s">
        <v>5759</v>
      </c>
      <c r="E1527" s="16" t="str">
        <f aca="false">HYPERLINK("#'Forrásszöveg'!A"&amp;(MATCH("VHR-S0192",Forrásszöveg!$A$6:$A$2497,0)+5),"17. § (1) eleje")</f>
        <v>17. § (1) eleje</v>
      </c>
      <c r="F1527" s="16" t="str">
        <f aca="false">HYPERLINK("https://net.jogtar.hu/jogszabaly?docid=a2400418.kor#pr203id","Jogtár megnyitása")</f>
        <v>Jogtár megnyitása</v>
      </c>
    </row>
    <row r="1528" customFormat="false" ht="52" hidden="false" customHeight="true" outlineLevel="0" collapsed="false">
      <c r="A1528" s="15" t="s">
        <v>5760</v>
      </c>
      <c r="B1528" s="15" t="s">
        <v>1471</v>
      </c>
      <c r="C1528" s="15" t="s">
        <v>5761</v>
      </c>
      <c r="D1528" s="15" t="s">
        <v>5762</v>
      </c>
      <c r="E1528" s="16" t="str">
        <f aca="false">HYPERLINK("#'Forrásszöveg'!A"&amp;(MATCH("VHR-S0192",Forrásszöveg!$A$6:$A$2497,0)+5),"17. § (1) eleje")</f>
        <v>17. § (1) eleje</v>
      </c>
      <c r="F1528" s="16" t="str">
        <f aca="false">HYPERLINK("https://net.jogtar.hu/jogszabaly?docid=a2400418.kor#pr204id","Jogtár megnyitása")</f>
        <v>Jogtár megnyitása</v>
      </c>
    </row>
    <row r="1529" customFormat="false" ht="38" hidden="false" customHeight="true" outlineLevel="0" collapsed="false">
      <c r="A1529" s="15" t="s">
        <v>5763</v>
      </c>
      <c r="B1529" s="15" t="s">
        <v>1471</v>
      </c>
      <c r="C1529" s="15" t="s">
        <v>5764</v>
      </c>
      <c r="D1529" s="15" t="s">
        <v>5765</v>
      </c>
      <c r="E1529" s="16" t="str">
        <f aca="false">HYPERLINK("#'Forrásszöveg'!A"&amp;(MATCH("VHR-S0192",Forrásszöveg!$A$6:$A$2497,0)+5),"17. § (1) eleje")</f>
        <v>17. § (1) eleje</v>
      </c>
      <c r="F1529" s="16" t="str">
        <f aca="false">HYPERLINK("https://net.jogtar.hu/jogszabaly?docid=a2400418.kor#pr205id","Jogtár megnyitása")</f>
        <v>Jogtár megnyitása</v>
      </c>
    </row>
    <row r="1530" customFormat="false" ht="52" hidden="false" customHeight="true" outlineLevel="0" collapsed="false">
      <c r="A1530" s="15" t="s">
        <v>5766</v>
      </c>
      <c r="B1530" s="15" t="s">
        <v>1471</v>
      </c>
      <c r="C1530" s="15" t="s">
        <v>5767</v>
      </c>
      <c r="D1530" s="15" t="s">
        <v>5768</v>
      </c>
      <c r="E1530" s="16" t="str">
        <f aca="false">HYPERLINK("#'Forrásszöveg'!A"&amp;(MATCH("VHR-S0192",Forrásszöveg!$A$6:$A$2497,0)+5),"17. § (1) eleje")</f>
        <v>17. § (1) eleje</v>
      </c>
      <c r="F1530" s="16" t="str">
        <f aca="false">HYPERLINK("https://net.jogtar.hu/jogszabaly?docid=a2400418.kor#pr206id","Jogtár megnyitása")</f>
        <v>Jogtár megnyitása</v>
      </c>
    </row>
    <row r="1531" customFormat="false" ht="34" hidden="false" customHeight="true" outlineLevel="0" collapsed="false">
      <c r="A1531" s="15" t="s">
        <v>5769</v>
      </c>
      <c r="B1531" s="15" t="s">
        <v>1471</v>
      </c>
      <c r="C1531" s="15" t="s">
        <v>2692</v>
      </c>
      <c r="D1531" s="15" t="s">
        <v>5770</v>
      </c>
      <c r="E1531" s="16" t="str">
        <f aca="false">HYPERLINK("#'Forrásszöveg'!A"&amp;(MATCH("VHR-S0207",Forrásszöveg!$A$6:$A$2497,0)+5),"17. § (2) eleje")</f>
        <v>17. § (2) eleje</v>
      </c>
      <c r="F1531" s="16" t="str">
        <f aca="false">HYPERLINK("https://net.jogtar.hu/jogszabaly?docid=a2400418.kor#pr207id","Jogtár megnyitása")</f>
        <v>Jogtár megnyitása</v>
      </c>
    </row>
    <row r="1532" customFormat="false" ht="34" hidden="false" customHeight="true" outlineLevel="0" collapsed="false">
      <c r="A1532" s="15" t="s">
        <v>5771</v>
      </c>
      <c r="B1532" s="15" t="s">
        <v>1471</v>
      </c>
      <c r="C1532" s="15" t="s">
        <v>5772</v>
      </c>
      <c r="D1532" s="15" t="s">
        <v>3129</v>
      </c>
      <c r="E1532" s="16" t="str">
        <f aca="false">HYPERLINK("#'Forrásszöveg'!A"&amp;(MATCH("VHR-S0207",Forrásszöveg!$A$6:$A$2497,0)+5),"17. § (2) eleje")</f>
        <v>17. § (2) eleje</v>
      </c>
      <c r="F1532" s="16" t="str">
        <f aca="false">HYPERLINK("https://net.jogtar.hu/jogszabaly?docid=a2400418.kor#pr208id","Jogtár megnyitása")</f>
        <v>Jogtár megnyitása</v>
      </c>
    </row>
    <row r="1533" customFormat="false" ht="34" hidden="false" customHeight="true" outlineLevel="0" collapsed="false">
      <c r="A1533" s="15" t="s">
        <v>5773</v>
      </c>
      <c r="B1533" s="15" t="s">
        <v>1471</v>
      </c>
      <c r="C1533" s="15" t="s">
        <v>5774</v>
      </c>
      <c r="D1533" s="15" t="s">
        <v>5775</v>
      </c>
      <c r="E1533" s="16" t="str">
        <f aca="false">HYPERLINK("#'Forrásszöveg'!A"&amp;(MATCH("VHR-S0207",Forrásszöveg!$A$6:$A$2497,0)+5),"17. § (2) eleje")</f>
        <v>17. § (2) eleje</v>
      </c>
      <c r="F1533" s="16" t="str">
        <f aca="false">HYPERLINK("https://net.jogtar.hu/jogszabaly?docid=a2400418.kor#pr209id","Jogtár megnyitása")</f>
        <v>Jogtár megnyitása</v>
      </c>
    </row>
    <row r="1534" customFormat="false" ht="34" hidden="false" customHeight="true" outlineLevel="0" collapsed="false">
      <c r="A1534" s="15" t="s">
        <v>5776</v>
      </c>
      <c r="B1534" s="15" t="s">
        <v>1471</v>
      </c>
      <c r="C1534" s="15" t="s">
        <v>5777</v>
      </c>
      <c r="D1534" s="15" t="s">
        <v>5778</v>
      </c>
      <c r="E1534" s="16" t="str">
        <f aca="false">HYPERLINK("#'Forrásszöveg'!A"&amp;(MATCH("VHR-S0207",Forrásszöveg!$A$6:$A$2497,0)+5),"17. § (2) eleje")</f>
        <v>17. § (2) eleje</v>
      </c>
      <c r="F1534" s="16" t="str">
        <f aca="false">HYPERLINK("https://net.jogtar.hu/jogszabaly?docid=a2400418.kor#pr210id","Jogtár megnyitása")</f>
        <v>Jogtár megnyitása</v>
      </c>
    </row>
    <row r="1535" customFormat="false" ht="34" hidden="false" customHeight="true" outlineLevel="0" collapsed="false">
      <c r="A1535" s="15" t="s">
        <v>5779</v>
      </c>
      <c r="B1535" s="15" t="s">
        <v>1471</v>
      </c>
      <c r="C1535" s="15" t="s">
        <v>5780</v>
      </c>
      <c r="D1535" s="15" t="s">
        <v>5781</v>
      </c>
      <c r="E1535" s="16" t="str">
        <f aca="false">HYPERLINK("#'Forrásszöveg'!A"&amp;(MATCH("VHR-S0207",Forrásszöveg!$A$6:$A$2497,0)+5),"17. § (2) eleje")</f>
        <v>17. § (2) eleje</v>
      </c>
      <c r="F1535" s="16" t="str">
        <f aca="false">HYPERLINK("https://net.jogtar.hu/jogszabaly?docid=a2400418.kor#pr211id","Jogtár megnyitása")</f>
        <v>Jogtár megnyitása</v>
      </c>
    </row>
    <row r="1536" customFormat="false" ht="38" hidden="false" customHeight="true" outlineLevel="0" collapsed="false">
      <c r="A1536" s="15" t="s">
        <v>5782</v>
      </c>
      <c r="B1536" s="15" t="s">
        <v>1471</v>
      </c>
      <c r="C1536" s="15" t="s">
        <v>2692</v>
      </c>
      <c r="D1536" s="15" t="s">
        <v>5783</v>
      </c>
      <c r="E1536" s="16" t="str">
        <f aca="false">HYPERLINK("#'Forrásszöveg'!A"&amp;(MATCH("VHR-S0207",Forrásszöveg!$A$6:$A$2497,0)+5),"17. § (2) eleje")</f>
        <v>17. § (2) eleje</v>
      </c>
      <c r="F1536" s="16" t="str">
        <f aca="false">HYPERLINK("https://net.jogtar.hu/jogszabaly?docid=a2400418.kor#pr212id","Jogtár megnyitása")</f>
        <v>Jogtár megnyitása</v>
      </c>
    </row>
    <row r="1537" customFormat="false" ht="38" hidden="false" customHeight="true" outlineLevel="0" collapsed="false">
      <c r="A1537" s="15" t="s">
        <v>5784</v>
      </c>
      <c r="B1537" s="15" t="s">
        <v>1471</v>
      </c>
      <c r="C1537" s="15" t="s">
        <v>1333</v>
      </c>
      <c r="D1537" s="15" t="s">
        <v>5785</v>
      </c>
      <c r="E1537" s="16" t="str">
        <f aca="false">HYPERLINK("#'Forrásszöveg'!A"&amp;(MATCH("VHR-S0213",Forrásszöveg!$A$6:$A$2497,0)+5),"18. § eleje")</f>
        <v>18. § eleje</v>
      </c>
      <c r="F1537" s="16" t="str">
        <f aca="false">HYPERLINK("https://net.jogtar.hu/jogszabaly?docid=a2400418.kor#pr213id","Jogtár megnyitása")</f>
        <v>Jogtár megnyitása</v>
      </c>
    </row>
    <row r="1538" customFormat="false" ht="34" hidden="false" customHeight="true" outlineLevel="0" collapsed="false">
      <c r="A1538" s="15" t="s">
        <v>5786</v>
      </c>
      <c r="B1538" s="15" t="s">
        <v>1471</v>
      </c>
      <c r="C1538" s="15" t="s">
        <v>5787</v>
      </c>
      <c r="D1538" s="15" t="s">
        <v>5788</v>
      </c>
      <c r="E1538" s="16" t="str">
        <f aca="false">HYPERLINK("#'Forrásszöveg'!A"&amp;(MATCH("VHR-S0213",Forrásszöveg!$A$6:$A$2497,0)+5),"18. § eleje")</f>
        <v>18. § eleje</v>
      </c>
      <c r="F1538" s="16" t="str">
        <f aca="false">HYPERLINK("https://net.jogtar.hu/jogszabaly?docid=a2400418.kor#pr214id","Jogtár megnyitása")</f>
        <v>Jogtár megnyitása</v>
      </c>
    </row>
    <row r="1539" customFormat="false" ht="34" hidden="false" customHeight="true" outlineLevel="0" collapsed="false">
      <c r="A1539" s="15" t="s">
        <v>5789</v>
      </c>
      <c r="B1539" s="15" t="s">
        <v>1471</v>
      </c>
      <c r="C1539" s="15" t="s">
        <v>5790</v>
      </c>
      <c r="D1539" s="15" t="s">
        <v>5791</v>
      </c>
      <c r="E1539" s="16" t="str">
        <f aca="false">HYPERLINK("#'Forrásszöveg'!A"&amp;(MATCH("VHR-S0213",Forrásszöveg!$A$6:$A$2497,0)+5),"18. § eleje")</f>
        <v>18. § eleje</v>
      </c>
      <c r="F1539" s="16" t="str">
        <f aca="false">HYPERLINK("https://net.jogtar.hu/jogszabaly?docid=a2400418.kor#pr215id","Jogtár megnyitása")</f>
        <v>Jogtár megnyitása</v>
      </c>
    </row>
    <row r="1540" customFormat="false" ht="34" hidden="false" customHeight="true" outlineLevel="0" collapsed="false">
      <c r="A1540" s="15" t="s">
        <v>5792</v>
      </c>
      <c r="B1540" s="15" t="s">
        <v>1471</v>
      </c>
      <c r="C1540" s="15" t="s">
        <v>5793</v>
      </c>
      <c r="D1540" s="15" t="s">
        <v>5794</v>
      </c>
      <c r="E1540" s="16" t="str">
        <f aca="false">HYPERLINK("#'Forrásszöveg'!A"&amp;(MATCH("VHR-S0213",Forrásszöveg!$A$6:$A$2497,0)+5),"18. § eleje")</f>
        <v>18. § eleje</v>
      </c>
      <c r="F1540" s="16" t="str">
        <f aca="false">HYPERLINK("https://net.jogtar.hu/jogszabaly?docid=a2400418.kor#pr216id","Jogtár megnyitása")</f>
        <v>Jogtár megnyitása</v>
      </c>
    </row>
    <row r="1541" customFormat="false" ht="34" hidden="false" customHeight="true" outlineLevel="0" collapsed="false">
      <c r="A1541" s="15" t="s">
        <v>5795</v>
      </c>
      <c r="B1541" s="15" t="s">
        <v>1471</v>
      </c>
      <c r="C1541" s="15" t="s">
        <v>5796</v>
      </c>
      <c r="D1541" s="15" t="s">
        <v>5797</v>
      </c>
      <c r="E1541" s="16" t="str">
        <f aca="false">HYPERLINK("#'Forrásszöveg'!A"&amp;(MATCH("VHR-S0213",Forrásszöveg!$A$6:$A$2497,0)+5),"18. § eleje")</f>
        <v>18. § eleje</v>
      </c>
      <c r="F1541" s="16" t="str">
        <f aca="false">HYPERLINK("https://net.jogtar.hu/jogszabaly?docid=a2400418.kor#pr217id","Jogtár megnyitása")</f>
        <v>Jogtár megnyitása</v>
      </c>
    </row>
    <row r="1542" customFormat="false" ht="34" hidden="false" customHeight="true" outlineLevel="0" collapsed="false">
      <c r="A1542" s="15" t="s">
        <v>5798</v>
      </c>
      <c r="B1542" s="15" t="s">
        <v>1471</v>
      </c>
      <c r="C1542" s="15" t="s">
        <v>5799</v>
      </c>
      <c r="D1542" s="15" t="s">
        <v>5800</v>
      </c>
      <c r="E1542" s="16" t="str">
        <f aca="false">HYPERLINK("#'Forrásszöveg'!A"&amp;(MATCH("VHR-S0213",Forrásszöveg!$A$6:$A$2497,0)+5),"18. § eleje")</f>
        <v>18. § eleje</v>
      </c>
      <c r="F1542" s="16" t="str">
        <f aca="false">HYPERLINK("https://net.jogtar.hu/jogszabaly?docid=a2400418.kor#pr218id","Jogtár megnyitása")</f>
        <v>Jogtár megnyitása</v>
      </c>
    </row>
    <row r="1543" customFormat="false" ht="34" hidden="false" customHeight="true" outlineLevel="0" collapsed="false">
      <c r="A1543" s="15" t="s">
        <v>5801</v>
      </c>
      <c r="B1543" s="15" t="s">
        <v>1471</v>
      </c>
      <c r="C1543" s="15" t="s">
        <v>5802</v>
      </c>
      <c r="D1543" s="15" t="s">
        <v>5803</v>
      </c>
      <c r="E1543" s="16" t="str">
        <f aca="false">HYPERLINK("#'Forrásszöveg'!A"&amp;(MATCH("VHR-S0213",Forrásszöveg!$A$6:$A$2497,0)+5),"18. § eleje")</f>
        <v>18. § eleje</v>
      </c>
      <c r="F1543" s="16" t="str">
        <f aca="false">HYPERLINK("https://net.jogtar.hu/jogszabaly?docid=a2400418.kor#pr219id","Jogtár megnyitása")</f>
        <v>Jogtár megnyitása</v>
      </c>
    </row>
    <row r="1544" customFormat="false" ht="34" hidden="false" customHeight="true" outlineLevel="0" collapsed="false">
      <c r="A1544" s="15" t="s">
        <v>5804</v>
      </c>
      <c r="B1544" s="15" t="s">
        <v>1471</v>
      </c>
      <c r="C1544" s="15" t="s">
        <v>5805</v>
      </c>
      <c r="D1544" s="15" t="s">
        <v>5806</v>
      </c>
      <c r="E1544" s="16" t="str">
        <f aca="false">HYPERLINK("#'Forrásszöveg'!A"&amp;(MATCH("VHR-S0213",Forrásszöveg!$A$6:$A$2497,0)+5),"18. § eleje")</f>
        <v>18. § eleje</v>
      </c>
      <c r="F1544" s="16" t="str">
        <f aca="false">HYPERLINK("https://net.jogtar.hu/jogszabaly?docid=a2400418.kor#pr220id","Jogtár megnyitása")</f>
        <v>Jogtár megnyitása</v>
      </c>
    </row>
    <row r="1545" customFormat="false" ht="34" hidden="false" customHeight="true" outlineLevel="0" collapsed="false">
      <c r="A1545" s="15" t="s">
        <v>5807</v>
      </c>
      <c r="B1545" s="15" t="s">
        <v>1471</v>
      </c>
      <c r="C1545" s="15" t="s">
        <v>5808</v>
      </c>
      <c r="D1545" s="15" t="s">
        <v>5809</v>
      </c>
      <c r="E1545" s="16" t="str">
        <f aca="false">HYPERLINK("#'Forrásszöveg'!A"&amp;(MATCH("VHR-S0213",Forrásszöveg!$A$6:$A$2497,0)+5),"18. § eleje")</f>
        <v>18. § eleje</v>
      </c>
      <c r="F1545" s="16" t="str">
        <f aca="false">HYPERLINK("https://net.jogtar.hu/jogszabaly?docid=a2400418.kor#pr221id","Jogtár megnyitása")</f>
        <v>Jogtár megnyitása</v>
      </c>
    </row>
    <row r="1546" customFormat="false" ht="34" hidden="false" customHeight="true" outlineLevel="0" collapsed="false">
      <c r="A1546" s="15" t="s">
        <v>5810</v>
      </c>
      <c r="B1546" s="15" t="s">
        <v>1471</v>
      </c>
      <c r="C1546" s="15" t="s">
        <v>5811</v>
      </c>
      <c r="D1546" s="15" t="s">
        <v>5812</v>
      </c>
      <c r="E1546" s="16" t="str">
        <f aca="false">HYPERLINK("#'Forrásszöveg'!A"&amp;(MATCH("VHR-S0213",Forrásszöveg!$A$6:$A$2497,0)+5),"18. § eleje")</f>
        <v>18. § eleje</v>
      </c>
      <c r="F1546" s="16" t="str">
        <f aca="false">HYPERLINK("https://net.jogtar.hu/jogszabaly?docid=a2400418.kor#pr222id","Jogtár megnyitása")</f>
        <v>Jogtár megnyitása</v>
      </c>
    </row>
    <row r="1547" customFormat="false" ht="34" hidden="false" customHeight="true" outlineLevel="0" collapsed="false">
      <c r="A1547" s="15" t="s">
        <v>5813</v>
      </c>
      <c r="B1547" s="15" t="s">
        <v>1471</v>
      </c>
      <c r="C1547" s="15" t="s">
        <v>5814</v>
      </c>
      <c r="D1547" s="15" t="s">
        <v>5815</v>
      </c>
      <c r="E1547" s="16" t="str">
        <f aca="false">HYPERLINK("#'Forrásszöveg'!A"&amp;(MATCH("VHR-S0213",Forrásszöveg!$A$6:$A$2497,0)+5),"18. § eleje")</f>
        <v>18. § eleje</v>
      </c>
      <c r="F1547" s="16" t="str">
        <f aca="false">HYPERLINK("https://net.jogtar.hu/jogszabaly?docid=a2400418.kor#pr223id","Jogtár megnyitása")</f>
        <v>Jogtár megnyitása</v>
      </c>
    </row>
    <row r="1548" customFormat="false" ht="34" hidden="false" customHeight="true" outlineLevel="0" collapsed="false">
      <c r="A1548" s="15" t="s">
        <v>5816</v>
      </c>
      <c r="B1548" s="15" t="s">
        <v>1471</v>
      </c>
      <c r="C1548" s="15" t="s">
        <v>5817</v>
      </c>
      <c r="D1548" s="15" t="s">
        <v>5818</v>
      </c>
      <c r="E1548" s="16" t="str">
        <f aca="false">HYPERLINK("#'Forrásszöveg'!A"&amp;(MATCH("VHR-S0213",Forrásszöveg!$A$6:$A$2497,0)+5),"18. § eleje")</f>
        <v>18. § eleje</v>
      </c>
      <c r="F1548" s="16" t="str">
        <f aca="false">HYPERLINK("https://net.jogtar.hu/jogszabaly?docid=a2400418.kor#pr224id","Jogtár megnyitása")</f>
        <v>Jogtár megnyitása</v>
      </c>
    </row>
    <row r="1549" customFormat="false" ht="34" hidden="false" customHeight="true" outlineLevel="0" collapsed="false">
      <c r="A1549" s="15" t="s">
        <v>5819</v>
      </c>
      <c r="B1549" s="15" t="s">
        <v>1471</v>
      </c>
      <c r="C1549" s="15" t="s">
        <v>5820</v>
      </c>
      <c r="D1549" s="15" t="s">
        <v>5821</v>
      </c>
      <c r="E1549" s="16" t="str">
        <f aca="false">HYPERLINK("#'Forrásszöveg'!A"&amp;(MATCH("VHR-S0213",Forrásszöveg!$A$6:$A$2497,0)+5),"18. § eleje")</f>
        <v>18. § eleje</v>
      </c>
      <c r="F1549" s="16" t="str">
        <f aca="false">HYPERLINK("https://net.jogtar.hu/jogszabaly?docid=a2400418.kor#pr225id","Jogtár megnyitása")</f>
        <v>Jogtár megnyitása</v>
      </c>
    </row>
    <row r="1550" customFormat="false" ht="38" hidden="false" customHeight="true" outlineLevel="0" collapsed="false">
      <c r="A1550" s="15" t="s">
        <v>5822</v>
      </c>
      <c r="B1550" s="15" t="s">
        <v>1471</v>
      </c>
      <c r="C1550" s="15" t="s">
        <v>1483</v>
      </c>
      <c r="D1550" s="15" t="s">
        <v>5823</v>
      </c>
      <c r="E1550" s="16" t="str">
        <f aca="false">HYPERLINK("#'Forrásszöveg'!A"&amp;(MATCH("VHR-S0226",Forrásszöveg!$A$6:$A$2497,0)+5),"18/A. § eleje")</f>
        <v>18/A. § eleje</v>
      </c>
      <c r="F1550" s="16" t="str">
        <f aca="false">HYPERLINK("https://net.jogtar.hu/jogszabaly?docid=a2400418.kor#pr226id","Jogtár megnyitása")</f>
        <v>Jogtár megnyitása</v>
      </c>
    </row>
    <row r="1551" customFormat="false" ht="34" hidden="false" customHeight="true" outlineLevel="0" collapsed="false">
      <c r="A1551" s="15" t="s">
        <v>5824</v>
      </c>
      <c r="B1551" s="15" t="s">
        <v>1471</v>
      </c>
      <c r="C1551" s="15" t="s">
        <v>5825</v>
      </c>
      <c r="D1551" s="15" t="s">
        <v>5826</v>
      </c>
      <c r="E1551" s="16" t="str">
        <f aca="false">HYPERLINK("#'Forrásszöveg'!A"&amp;(MATCH("VHR-S0226",Forrásszöveg!$A$6:$A$2497,0)+5),"18/A. § eleje")</f>
        <v>18/A. § eleje</v>
      </c>
      <c r="F1551" s="16" t="str">
        <f aca="false">HYPERLINK("https://net.jogtar.hu/jogszabaly?docid=a2400418.kor#pr227id","Jogtár megnyitása")</f>
        <v>Jogtár megnyitása</v>
      </c>
    </row>
    <row r="1552" customFormat="false" ht="34" hidden="false" customHeight="true" outlineLevel="0" collapsed="false">
      <c r="A1552" s="15" t="s">
        <v>5827</v>
      </c>
      <c r="B1552" s="15" t="s">
        <v>1471</v>
      </c>
      <c r="C1552" s="15" t="s">
        <v>5828</v>
      </c>
      <c r="D1552" s="15" t="s">
        <v>5829</v>
      </c>
      <c r="E1552" s="16" t="str">
        <f aca="false">HYPERLINK("#'Forrásszöveg'!A"&amp;(MATCH("VHR-S0226",Forrásszöveg!$A$6:$A$2497,0)+5),"18/A. § eleje")</f>
        <v>18/A. § eleje</v>
      </c>
      <c r="F1552" s="16" t="str">
        <f aca="false">HYPERLINK("https://net.jogtar.hu/jogszabaly?docid=a2400418.kor#pr228id","Jogtár megnyitása")</f>
        <v>Jogtár megnyitása</v>
      </c>
    </row>
    <row r="1553" customFormat="false" ht="34" hidden="false" customHeight="true" outlineLevel="0" collapsed="false">
      <c r="A1553" s="15" t="s">
        <v>5830</v>
      </c>
      <c r="B1553" s="15" t="s">
        <v>1471</v>
      </c>
      <c r="C1553" s="15" t="s">
        <v>1483</v>
      </c>
      <c r="D1553" s="15" t="s">
        <v>5831</v>
      </c>
      <c r="E1553" s="16" t="str">
        <f aca="false">HYPERLINK("#'Forrásszöveg'!A"&amp;(MATCH("VHR-S0226",Forrásszöveg!$A$6:$A$2497,0)+5),"18/A. § eleje")</f>
        <v>18/A. § eleje</v>
      </c>
      <c r="F1553" s="16" t="str">
        <f aca="false">HYPERLINK("https://net.jogtar.hu/jogszabaly?docid=a2400418.kor#pr229id","Jogtár megnyitása")</f>
        <v>Jogtár megnyitása</v>
      </c>
    </row>
    <row r="1554" customFormat="false" ht="38" hidden="false" customHeight="true" outlineLevel="0" collapsed="false">
      <c r="A1554" s="15" t="s">
        <v>5832</v>
      </c>
      <c r="B1554" s="15" t="s">
        <v>1471</v>
      </c>
      <c r="C1554" s="15" t="s">
        <v>1335</v>
      </c>
      <c r="D1554" s="15" t="s">
        <v>5833</v>
      </c>
      <c r="E1554" s="16" t="str">
        <f aca="false">HYPERLINK("#'Forrásszöveg'!A"&amp;(MATCH("VHR-S0230",Forrásszöveg!$A$6:$A$2497,0)+5),"19. § eleje")</f>
        <v>19. § eleje</v>
      </c>
      <c r="F1554" s="16" t="str">
        <f aca="false">HYPERLINK("https://net.jogtar.hu/jogszabaly?docid=a2400418.kor#pr230id","Jogtár megnyitása")</f>
        <v>Jogtár megnyitása</v>
      </c>
    </row>
    <row r="1555" customFormat="false" ht="34" hidden="false" customHeight="true" outlineLevel="0" collapsed="false">
      <c r="A1555" s="15" t="s">
        <v>5834</v>
      </c>
      <c r="B1555" s="15" t="s">
        <v>1471</v>
      </c>
      <c r="C1555" s="15" t="s">
        <v>2824</v>
      </c>
      <c r="D1555" s="15" t="s">
        <v>5835</v>
      </c>
      <c r="E1555" s="16" t="str">
        <f aca="false">HYPERLINK("#'Forrásszöveg'!A"&amp;(MATCH("VHR-S0231",Forrásszöveg!$A$6:$A$2497,0)+5),"20. § (1) eleje")</f>
        <v>20. § (1) eleje</v>
      </c>
      <c r="F1555" s="16" t="str">
        <f aca="false">HYPERLINK("https://net.jogtar.hu/jogszabaly?docid=a2400418.kor#pr231id","Jogtár megnyitása")</f>
        <v>Jogtár megnyitása</v>
      </c>
    </row>
    <row r="1556" customFormat="false" ht="80" hidden="false" customHeight="true" outlineLevel="0" collapsed="false">
      <c r="A1556" s="15" t="s">
        <v>5836</v>
      </c>
      <c r="B1556" s="15" t="s">
        <v>1471</v>
      </c>
      <c r="C1556" s="15" t="s">
        <v>5837</v>
      </c>
      <c r="D1556" s="15" t="s">
        <v>5838</v>
      </c>
      <c r="E1556" s="16" t="str">
        <f aca="false">HYPERLINK("#'Forrásszöveg'!A"&amp;(MATCH("VHR-S0231",Forrásszöveg!$A$6:$A$2497,0)+5),"20. § (1) eleje")</f>
        <v>20. § (1) eleje</v>
      </c>
      <c r="F1556" s="16" t="str">
        <f aca="false">HYPERLINK("https://net.jogtar.hu/jogszabaly?docid=a2400418.kor#pr232id","Jogtár megnyitása")</f>
        <v>Jogtár megnyitása</v>
      </c>
    </row>
    <row r="1557" customFormat="false" ht="52" hidden="false" customHeight="true" outlineLevel="0" collapsed="false">
      <c r="A1557" s="15" t="s">
        <v>5839</v>
      </c>
      <c r="B1557" s="15" t="s">
        <v>1471</v>
      </c>
      <c r="C1557" s="15" t="s">
        <v>5840</v>
      </c>
      <c r="D1557" s="15" t="s">
        <v>5841</v>
      </c>
      <c r="E1557" s="16" t="str">
        <f aca="false">HYPERLINK("#'Forrásszöveg'!A"&amp;(MATCH("VHR-S0231",Forrásszöveg!$A$6:$A$2497,0)+5),"20. § (1) eleje")</f>
        <v>20. § (1) eleje</v>
      </c>
      <c r="F1557" s="16" t="str">
        <f aca="false">HYPERLINK("https://net.jogtar.hu/jogszabaly?docid=a2400418.kor#pr233id","Jogtár megnyitása")</f>
        <v>Jogtár megnyitása</v>
      </c>
    </row>
    <row r="1558" customFormat="false" ht="52" hidden="false" customHeight="true" outlineLevel="0" collapsed="false">
      <c r="A1558" s="15" t="s">
        <v>5842</v>
      </c>
      <c r="B1558" s="15" t="s">
        <v>1471</v>
      </c>
      <c r="C1558" s="15" t="s">
        <v>5843</v>
      </c>
      <c r="D1558" s="15" t="s">
        <v>5844</v>
      </c>
      <c r="E1558" s="16" t="str">
        <f aca="false">HYPERLINK("#'Forrásszöveg'!A"&amp;(MATCH("VHR-S0231",Forrásszöveg!$A$6:$A$2497,0)+5),"20. § (1) eleje")</f>
        <v>20. § (1) eleje</v>
      </c>
      <c r="F1558" s="16" t="str">
        <f aca="false">HYPERLINK("https://net.jogtar.hu/jogszabaly?docid=a2400418.kor#pr234id","Jogtár megnyitása")</f>
        <v>Jogtár megnyitása</v>
      </c>
    </row>
    <row r="1559" customFormat="false" ht="38" hidden="false" customHeight="true" outlineLevel="0" collapsed="false">
      <c r="A1559" s="15" t="s">
        <v>5845</v>
      </c>
      <c r="B1559" s="15" t="s">
        <v>1471</v>
      </c>
      <c r="C1559" s="15" t="s">
        <v>2827</v>
      </c>
      <c r="D1559" s="15" t="s">
        <v>5846</v>
      </c>
      <c r="E1559" s="16" t="str">
        <f aca="false">HYPERLINK("#'Forrásszöveg'!A"&amp;(MATCH("VHR-S0235",Forrásszöveg!$A$6:$A$2497,0)+5),"20. § (2) eleje")</f>
        <v>20. § (2) eleje</v>
      </c>
      <c r="F1559" s="16" t="str">
        <f aca="false">HYPERLINK("https://net.jogtar.hu/jogszabaly?docid=a2400418.kor#pr235id","Jogtár megnyitása")</f>
        <v>Jogtár megnyitása</v>
      </c>
    </row>
    <row r="1560" customFormat="false" ht="94" hidden="false" customHeight="true" outlineLevel="0" collapsed="false">
      <c r="A1560" s="15" t="s">
        <v>5847</v>
      </c>
      <c r="B1560" s="15" t="s">
        <v>1471</v>
      </c>
      <c r="C1560" s="15" t="s">
        <v>2842</v>
      </c>
      <c r="D1560" s="15" t="s">
        <v>5848</v>
      </c>
      <c r="E1560" s="16" t="str">
        <f aca="false">HYPERLINK("#'Forrásszöveg'!A"&amp;(MATCH("VHR-S0236",Forrásszöveg!$A$6:$A$2497,0)+5),"20. § (3) eleje")</f>
        <v>20. § (3) eleje</v>
      </c>
      <c r="F1560" s="16" t="str">
        <f aca="false">HYPERLINK("https://net.jogtar.hu/jogszabaly?docid=a2400418.kor#pr236id","Jogtár megnyitása")</f>
        <v>Jogtár megnyitása</v>
      </c>
    </row>
    <row r="1561" customFormat="false" ht="38" hidden="false" customHeight="true" outlineLevel="0" collapsed="false">
      <c r="A1561" s="15" t="s">
        <v>5849</v>
      </c>
      <c r="B1561" s="15" t="s">
        <v>1471</v>
      </c>
      <c r="C1561" s="15" t="s">
        <v>2845</v>
      </c>
      <c r="D1561" s="15" t="s">
        <v>5850</v>
      </c>
      <c r="E1561" s="16" t="str">
        <f aca="false">HYPERLINK("#'Forrásszöveg'!A"&amp;(MATCH("VHR-S0237",Forrásszöveg!$A$6:$A$2497,0)+5),"20. § (4) eleje")</f>
        <v>20. § (4) eleje</v>
      </c>
      <c r="F1561" s="16" t="str">
        <f aca="false">HYPERLINK("https://net.jogtar.hu/jogszabaly?docid=a2400418.kor#pr237id","Jogtár megnyitása")</f>
        <v>Jogtár megnyitása</v>
      </c>
    </row>
    <row r="1562" customFormat="false" ht="66" hidden="false" customHeight="true" outlineLevel="0" collapsed="false">
      <c r="A1562" s="15" t="s">
        <v>5851</v>
      </c>
      <c r="B1562" s="15" t="s">
        <v>1471</v>
      </c>
      <c r="C1562" s="15" t="s">
        <v>2859</v>
      </c>
      <c r="D1562" s="15" t="s">
        <v>5852</v>
      </c>
      <c r="E1562" s="16" t="str">
        <f aca="false">HYPERLINK("#'Forrásszöveg'!A"&amp;(MATCH("VHR-S0238",Forrásszöveg!$A$6:$A$2497,0)+5),"21. § (1) eleje")</f>
        <v>21. § (1) eleje</v>
      </c>
      <c r="F1562" s="16" t="str">
        <f aca="false">HYPERLINK("https://net.jogtar.hu/jogszabaly?docid=a2400418.kor#pr238id","Jogtár megnyitása")</f>
        <v>Jogtár megnyitása</v>
      </c>
    </row>
    <row r="1563" customFormat="false" ht="38" hidden="false" customHeight="true" outlineLevel="0" collapsed="false">
      <c r="A1563" s="15" t="s">
        <v>5853</v>
      </c>
      <c r="B1563" s="15" t="s">
        <v>1471</v>
      </c>
      <c r="C1563" s="15" t="s">
        <v>5854</v>
      </c>
      <c r="D1563" s="15" t="s">
        <v>5855</v>
      </c>
      <c r="E1563" s="16" t="str">
        <f aca="false">HYPERLINK("#'Forrásszöveg'!A"&amp;(MATCH("VHR-S0238",Forrásszöveg!$A$6:$A$2497,0)+5),"21. § (1) eleje")</f>
        <v>21. § (1) eleje</v>
      </c>
      <c r="F1563" s="16" t="str">
        <f aca="false">HYPERLINK("https://net.jogtar.hu/jogszabaly?docid=a2400418.kor#pr239id","Jogtár megnyitása")</f>
        <v>Jogtár megnyitása</v>
      </c>
    </row>
    <row r="1564" customFormat="false" ht="34" hidden="false" customHeight="true" outlineLevel="0" collapsed="false">
      <c r="A1564" s="15" t="s">
        <v>5856</v>
      </c>
      <c r="B1564" s="15" t="s">
        <v>1471</v>
      </c>
      <c r="C1564" s="15" t="s">
        <v>5857</v>
      </c>
      <c r="D1564" s="15" t="s">
        <v>5858</v>
      </c>
      <c r="E1564" s="16" t="str">
        <f aca="false">HYPERLINK("#'Forrásszöveg'!A"&amp;(MATCH("VHR-S0238",Forrásszöveg!$A$6:$A$2497,0)+5),"21. § (1) eleje")</f>
        <v>21. § (1) eleje</v>
      </c>
      <c r="F1564" s="16" t="str">
        <f aca="false">HYPERLINK("https://net.jogtar.hu/jogszabaly?docid=a2400418.kor#pr240id","Jogtár megnyitása")</f>
        <v>Jogtár megnyitása</v>
      </c>
    </row>
    <row r="1565" customFormat="false" ht="52" hidden="false" customHeight="true" outlineLevel="0" collapsed="false">
      <c r="A1565" s="15" t="s">
        <v>5859</v>
      </c>
      <c r="B1565" s="15" t="s">
        <v>1471</v>
      </c>
      <c r="C1565" s="15" t="s">
        <v>5860</v>
      </c>
      <c r="D1565" s="15" t="s">
        <v>5861</v>
      </c>
      <c r="E1565" s="16" t="str">
        <f aca="false">HYPERLINK("#'Forrásszöveg'!A"&amp;(MATCH("VHR-S0238",Forrásszöveg!$A$6:$A$2497,0)+5),"21. § (1) eleje")</f>
        <v>21. § (1) eleje</v>
      </c>
      <c r="F1565" s="16" t="str">
        <f aca="false">HYPERLINK("https://net.jogtar.hu/jogszabaly?docid=a2400418.kor#pr241id","Jogtár megnyitása")</f>
        <v>Jogtár megnyitása</v>
      </c>
    </row>
    <row r="1566" customFormat="false" ht="94" hidden="false" customHeight="true" outlineLevel="0" collapsed="false">
      <c r="A1566" s="15" t="s">
        <v>5862</v>
      </c>
      <c r="B1566" s="15" t="s">
        <v>1471</v>
      </c>
      <c r="C1566" s="15" t="s">
        <v>2862</v>
      </c>
      <c r="D1566" s="15" t="s">
        <v>5863</v>
      </c>
      <c r="E1566" s="16" t="str">
        <f aca="false">HYPERLINK("#'Forrásszöveg'!A"&amp;(MATCH("VHR-S0242",Forrásszöveg!$A$6:$A$2497,0)+5),"21. § (2) eleje")</f>
        <v>21. § (2) eleje</v>
      </c>
      <c r="F1566" s="16" t="str">
        <f aca="false">HYPERLINK("https://net.jogtar.hu/jogszabaly?docid=a2400418.kor#pr242id","Jogtár megnyitása")</f>
        <v>Jogtár megnyitása</v>
      </c>
    </row>
    <row r="1567" customFormat="false" ht="38" hidden="false" customHeight="true" outlineLevel="0" collapsed="false">
      <c r="A1567" s="15" t="s">
        <v>5864</v>
      </c>
      <c r="B1567" s="15" t="s">
        <v>1471</v>
      </c>
      <c r="C1567" s="15" t="s">
        <v>2865</v>
      </c>
      <c r="D1567" s="15" t="s">
        <v>5865</v>
      </c>
      <c r="E1567" s="16" t="str">
        <f aca="false">HYPERLINK("#'Forrásszöveg'!A"&amp;(MATCH("VHR-S0243",Forrásszöveg!$A$6:$A$2497,0)+5),"21. § (3) eleje")</f>
        <v>21. § (3) eleje</v>
      </c>
      <c r="F1567" s="16" t="str">
        <f aca="false">HYPERLINK("https://net.jogtar.hu/jogszabaly?docid=a2400418.kor#pr243id","Jogtár megnyitása")</f>
        <v>Jogtár megnyitása</v>
      </c>
    </row>
    <row r="1568" customFormat="false" ht="38" hidden="false" customHeight="true" outlineLevel="0" collapsed="false">
      <c r="A1568" s="15" t="s">
        <v>5866</v>
      </c>
      <c r="B1568" s="15" t="s">
        <v>1471</v>
      </c>
      <c r="C1568" s="15" t="s">
        <v>1484</v>
      </c>
      <c r="D1568" s="15" t="s">
        <v>1484</v>
      </c>
      <c r="E1568" s="16" t="str">
        <f aca="false">HYPERLINK("#'Forrásszöveg'!A"&amp;(MATCH("VHR-S0238",Forrásszöveg!$A$6:$A$2497,0)+5),"21. § eleje")</f>
        <v>21. § eleje</v>
      </c>
      <c r="F1568" s="16" t="str">
        <f aca="false">HYPERLINK("https://net.jogtar.hu/jogszabaly?docid=a2400418.kor#pr244id","Jogtár megnyitása")</f>
        <v>Jogtár megnyitása</v>
      </c>
    </row>
    <row r="1569" customFormat="false" ht="34" hidden="false" customHeight="true" outlineLevel="0" collapsed="false">
      <c r="A1569" s="15" t="s">
        <v>5867</v>
      </c>
      <c r="B1569" s="15" t="s">
        <v>1471</v>
      </c>
      <c r="C1569" s="15" t="s">
        <v>2901</v>
      </c>
      <c r="D1569" s="15" t="s">
        <v>5868</v>
      </c>
      <c r="E1569" s="16" t="str">
        <f aca="false">HYPERLINK("#'Forrásszöveg'!A"&amp;(MATCH("VHR-S0245",Forrásszöveg!$A$6:$A$2497,0)+5),"22. § (1) eleje")</f>
        <v>22. § (1) eleje</v>
      </c>
      <c r="F1569" s="16" t="str">
        <f aca="false">HYPERLINK("https://net.jogtar.hu/jogszabaly?docid=a2400418.kor#pr245id","Jogtár megnyitása")</f>
        <v>Jogtár megnyitása</v>
      </c>
    </row>
    <row r="1570" customFormat="false" ht="34" hidden="false" customHeight="true" outlineLevel="0" collapsed="false">
      <c r="A1570" s="15" t="s">
        <v>5869</v>
      </c>
      <c r="B1570" s="15" t="s">
        <v>1471</v>
      </c>
      <c r="C1570" s="15" t="s">
        <v>2904</v>
      </c>
      <c r="D1570" s="15" t="s">
        <v>5870</v>
      </c>
      <c r="E1570" s="16" t="str">
        <f aca="false">HYPERLINK("#'Forrásszöveg'!A"&amp;(MATCH("VHR-S0245",Forrásszöveg!$A$6:$A$2497,0)+5),"22. § (1) eleje")</f>
        <v>22. § (1) eleje</v>
      </c>
      <c r="F1570" s="16" t="str">
        <f aca="false">HYPERLINK("https://net.jogtar.hu/jogszabaly?docid=a2400418.kor#pr246id","Jogtár megnyitása")</f>
        <v>Jogtár megnyitása</v>
      </c>
    </row>
    <row r="1571" customFormat="false" ht="34" hidden="false" customHeight="true" outlineLevel="0" collapsed="false">
      <c r="A1571" s="15" t="s">
        <v>5871</v>
      </c>
      <c r="B1571" s="15" t="s">
        <v>1471</v>
      </c>
      <c r="C1571" s="15" t="s">
        <v>2907</v>
      </c>
      <c r="D1571" s="15" t="s">
        <v>5872</v>
      </c>
      <c r="E1571" s="16" t="str">
        <f aca="false">HYPERLINK("#'Forrásszöveg'!A"&amp;(MATCH("VHR-S0245",Forrásszöveg!$A$6:$A$2497,0)+5),"22. § (1) eleje")</f>
        <v>22. § (1) eleje</v>
      </c>
      <c r="F1571" s="16" t="str">
        <f aca="false">HYPERLINK("https://net.jogtar.hu/jogszabaly?docid=a2400418.kor#pr247id","Jogtár megnyitása")</f>
        <v>Jogtár megnyitása</v>
      </c>
    </row>
    <row r="1572" customFormat="false" ht="38" hidden="false" customHeight="true" outlineLevel="0" collapsed="false">
      <c r="A1572" s="15" t="s">
        <v>5873</v>
      </c>
      <c r="B1572" s="15" t="s">
        <v>1471</v>
      </c>
      <c r="C1572" s="15" t="s">
        <v>2913</v>
      </c>
      <c r="D1572" s="15" t="s">
        <v>5874</v>
      </c>
      <c r="E1572" s="16" t="str">
        <f aca="false">HYPERLINK("#'Forrásszöveg'!A"&amp;(MATCH("VHR-S0248",Forrásszöveg!$A$6:$A$2497,0)+5),"22. § (2) eleje")</f>
        <v>22. § (2) eleje</v>
      </c>
      <c r="F1572" s="16" t="str">
        <f aca="false">HYPERLINK("https://net.jogtar.hu/jogszabaly?docid=a2400418.kor#pr248id","Jogtár megnyitása")</f>
        <v>Jogtár megnyitása</v>
      </c>
    </row>
    <row r="1573" customFormat="false" ht="38" hidden="false" customHeight="true" outlineLevel="0" collapsed="false">
      <c r="A1573" s="15" t="s">
        <v>5875</v>
      </c>
      <c r="B1573" s="15" t="s">
        <v>1471</v>
      </c>
      <c r="C1573" s="15" t="s">
        <v>2916</v>
      </c>
      <c r="D1573" s="15" t="s">
        <v>5876</v>
      </c>
      <c r="E1573" s="16" t="str">
        <f aca="false">HYPERLINK("#'Forrásszöveg'!A"&amp;(MATCH("VHR-S0249",Forrásszöveg!$A$6:$A$2497,0)+5),"22. § (3) eleje")</f>
        <v>22. § (3) eleje</v>
      </c>
      <c r="F1573" s="16" t="str">
        <f aca="false">HYPERLINK("https://net.jogtar.hu/jogszabaly?docid=a2400418.kor#pr249id","Jogtár megnyitása")</f>
        <v>Jogtár megnyitása</v>
      </c>
    </row>
    <row r="1574" customFormat="false" ht="38" hidden="false" customHeight="true" outlineLevel="0" collapsed="false">
      <c r="A1574" s="15" t="s">
        <v>5877</v>
      </c>
      <c r="B1574" s="15" t="s">
        <v>1471</v>
      </c>
      <c r="C1574" s="15" t="s">
        <v>2952</v>
      </c>
      <c r="D1574" s="15" t="s">
        <v>5878</v>
      </c>
      <c r="E1574" s="16" t="str">
        <f aca="false">HYPERLINK("#'Forrásszöveg'!A"&amp;(MATCH("VHR-S0250",Forrásszöveg!$A$6:$A$2497,0)+5),"23. § (1) eleje")</f>
        <v>23. § (1) eleje</v>
      </c>
      <c r="F1574" s="16" t="str">
        <f aca="false">HYPERLINK("https://net.jogtar.hu/jogszabaly?docid=a2400418.kor#pr250id","Jogtár megnyitása")</f>
        <v>Jogtár megnyitása</v>
      </c>
    </row>
    <row r="1575" customFormat="false" ht="38" hidden="false" customHeight="true" outlineLevel="0" collapsed="false">
      <c r="A1575" s="15" t="s">
        <v>5879</v>
      </c>
      <c r="B1575" s="15" t="s">
        <v>1471</v>
      </c>
      <c r="C1575" s="15" t="s">
        <v>2955</v>
      </c>
      <c r="D1575" s="15" t="s">
        <v>5880</v>
      </c>
      <c r="E1575" s="16" t="str">
        <f aca="false">HYPERLINK("#'Forrásszöveg'!A"&amp;(MATCH("VHR-S0250",Forrásszöveg!$A$6:$A$2497,0)+5),"23. § (1) eleje")</f>
        <v>23. § (1) eleje</v>
      </c>
      <c r="F1575" s="16" t="str">
        <f aca="false">HYPERLINK("https://net.jogtar.hu/jogszabaly?docid=a2400418.kor#pr251id","Jogtár megnyitása")</f>
        <v>Jogtár megnyitása</v>
      </c>
    </row>
    <row r="1576" customFormat="false" ht="34" hidden="false" customHeight="true" outlineLevel="0" collapsed="false">
      <c r="A1576" s="15" t="s">
        <v>5881</v>
      </c>
      <c r="B1576" s="15" t="s">
        <v>1471</v>
      </c>
      <c r="C1576" s="15" t="s">
        <v>2958</v>
      </c>
      <c r="D1576" s="15" t="s">
        <v>5882</v>
      </c>
      <c r="E1576" s="16" t="str">
        <f aca="false">HYPERLINK("#'Forrásszöveg'!A"&amp;(MATCH("VHR-S0250",Forrásszöveg!$A$6:$A$2497,0)+5),"23. § (1) eleje")</f>
        <v>23. § (1) eleje</v>
      </c>
      <c r="F1576" s="16" t="str">
        <f aca="false">HYPERLINK("https://net.jogtar.hu/jogszabaly?docid=a2400418.kor#pr252id","Jogtár megnyitása")</f>
        <v>Jogtár megnyitása</v>
      </c>
    </row>
    <row r="1577" customFormat="false" ht="34" hidden="false" customHeight="true" outlineLevel="0" collapsed="false">
      <c r="A1577" s="15" t="s">
        <v>5883</v>
      </c>
      <c r="B1577" s="15" t="s">
        <v>1471</v>
      </c>
      <c r="C1577" s="15" t="s">
        <v>5884</v>
      </c>
      <c r="D1577" s="15" t="s">
        <v>5885</v>
      </c>
      <c r="E1577" s="16" t="str">
        <f aca="false">HYPERLINK("#'Forrásszöveg'!A"&amp;(MATCH("VHR-S0250",Forrásszöveg!$A$6:$A$2497,0)+5),"23. § (1) eleje")</f>
        <v>23. § (1) eleje</v>
      </c>
      <c r="F1577" s="16" t="str">
        <f aca="false">HYPERLINK("https://net.jogtar.hu/jogszabaly?docid=a2400418.kor#pr253id","Jogtár megnyitása")</f>
        <v>Jogtár megnyitása</v>
      </c>
    </row>
    <row r="1578" customFormat="false" ht="38" hidden="false" customHeight="true" outlineLevel="0" collapsed="false">
      <c r="A1578" s="15" t="s">
        <v>5886</v>
      </c>
      <c r="B1578" s="15" t="s">
        <v>1471</v>
      </c>
      <c r="C1578" s="15" t="s">
        <v>2963</v>
      </c>
      <c r="D1578" s="15" t="s">
        <v>5887</v>
      </c>
      <c r="E1578" s="16" t="str">
        <f aca="false">HYPERLINK("#'Forrásszöveg'!A"&amp;(MATCH("VHR-S0254",Forrásszöveg!$A$6:$A$2497,0)+5),"23. § (2) eleje")</f>
        <v>23. § (2) eleje</v>
      </c>
      <c r="F1578" s="16" t="str">
        <f aca="false">HYPERLINK("https://net.jogtar.hu/jogszabaly?docid=a2400418.kor#pr254id","Jogtár megnyitása")</f>
        <v>Jogtár megnyitása</v>
      </c>
    </row>
    <row r="1579" customFormat="false" ht="34" hidden="false" customHeight="true" outlineLevel="0" collapsed="false">
      <c r="A1579" s="15" t="s">
        <v>5888</v>
      </c>
      <c r="B1579" s="15" t="s">
        <v>1471</v>
      </c>
      <c r="C1579" s="15" t="s">
        <v>1344</v>
      </c>
      <c r="D1579" s="15" t="s">
        <v>5889</v>
      </c>
      <c r="E1579" s="16" t="str">
        <f aca="false">HYPERLINK("#'Forrásszöveg'!A"&amp;(MATCH("VHR-S0255",Forrásszöveg!$A$6:$A$2497,0)+5),"24. § eleje")</f>
        <v>24. § eleje</v>
      </c>
      <c r="F1579" s="16" t="str">
        <f aca="false">HYPERLINK("https://net.jogtar.hu/jogszabaly?docid=a2400418.kor#pr255id","Jogtár megnyitása")</f>
        <v>Jogtár megnyitása</v>
      </c>
    </row>
    <row r="1580" customFormat="false" ht="34" hidden="false" customHeight="true" outlineLevel="0" collapsed="false">
      <c r="A1580" s="15" t="s">
        <v>5890</v>
      </c>
      <c r="B1580" s="15" t="s">
        <v>1471</v>
      </c>
      <c r="C1580" s="15" t="s">
        <v>5891</v>
      </c>
      <c r="D1580" s="15" t="s">
        <v>5892</v>
      </c>
      <c r="E1580" s="16" t="str">
        <f aca="false">HYPERLINK("#'Forrásszöveg'!A"&amp;(MATCH("VHR-S0255",Forrásszöveg!$A$6:$A$2497,0)+5),"24. § eleje")</f>
        <v>24. § eleje</v>
      </c>
      <c r="F1580" s="16" t="str">
        <f aca="false">HYPERLINK("https://net.jogtar.hu/jogszabaly?docid=a2400418.kor#pr256id","Jogtár megnyitása")</f>
        <v>Jogtár megnyitása</v>
      </c>
    </row>
    <row r="1581" customFormat="false" ht="34" hidden="false" customHeight="true" outlineLevel="0" collapsed="false">
      <c r="A1581" s="15" t="s">
        <v>5893</v>
      </c>
      <c r="B1581" s="15" t="s">
        <v>1471</v>
      </c>
      <c r="C1581" s="15" t="s">
        <v>5894</v>
      </c>
      <c r="D1581" s="15" t="s">
        <v>5895</v>
      </c>
      <c r="E1581" s="16" t="str">
        <f aca="false">HYPERLINK("#'Forrásszöveg'!A"&amp;(MATCH("VHR-S0255",Forrásszöveg!$A$6:$A$2497,0)+5),"24. § eleje")</f>
        <v>24. § eleje</v>
      </c>
      <c r="F1581" s="16" t="str">
        <f aca="false">HYPERLINK("https://net.jogtar.hu/jogszabaly?docid=a2400418.kor#pr257id","Jogtár megnyitása")</f>
        <v>Jogtár megnyitása</v>
      </c>
    </row>
    <row r="1582" customFormat="false" ht="34" hidden="false" customHeight="true" outlineLevel="0" collapsed="false">
      <c r="A1582" s="15" t="s">
        <v>5896</v>
      </c>
      <c r="B1582" s="15" t="s">
        <v>1471</v>
      </c>
      <c r="C1582" s="15" t="s">
        <v>1344</v>
      </c>
      <c r="D1582" s="15" t="s">
        <v>5897</v>
      </c>
      <c r="E1582" s="16" t="str">
        <f aca="false">HYPERLINK("#'Forrásszöveg'!A"&amp;(MATCH("VHR-S0255",Forrásszöveg!$A$6:$A$2497,0)+5),"24. § eleje")</f>
        <v>24. § eleje</v>
      </c>
      <c r="F1582" s="16" t="str">
        <f aca="false">HYPERLINK("https://net.jogtar.hu/jogszabaly?docid=a2400418.kor#pr258id","Jogtár megnyitása")</f>
        <v>Jogtár megnyitása</v>
      </c>
    </row>
    <row r="1583" customFormat="false" ht="66" hidden="false" customHeight="true" outlineLevel="0" collapsed="false">
      <c r="A1583" s="15" t="s">
        <v>5898</v>
      </c>
      <c r="B1583" s="15" t="s">
        <v>1471</v>
      </c>
      <c r="C1583" s="15" t="s">
        <v>3097</v>
      </c>
      <c r="D1583" s="15" t="s">
        <v>5899</v>
      </c>
      <c r="E1583" s="16" t="str">
        <f aca="false">HYPERLINK("#'Forrásszöveg'!A"&amp;(MATCH("VHR-S0259",Forrásszöveg!$A$6:$A$2497,0)+5),"25. § (1) eleje")</f>
        <v>25. § (1) eleje</v>
      </c>
      <c r="F1583" s="16" t="str">
        <f aca="false">HYPERLINK("https://net.jogtar.hu/jogszabaly?docid=a2400418.kor#pr259id","Jogtár megnyitása")</f>
        <v>Jogtár megnyitása</v>
      </c>
    </row>
    <row r="1584" customFormat="false" ht="34" hidden="false" customHeight="true" outlineLevel="0" collapsed="false">
      <c r="A1584" s="15" t="s">
        <v>5900</v>
      </c>
      <c r="B1584" s="15" t="s">
        <v>1471</v>
      </c>
      <c r="C1584" s="15" t="s">
        <v>3100</v>
      </c>
      <c r="D1584" s="15" t="s">
        <v>5901</v>
      </c>
      <c r="E1584" s="16" t="str">
        <f aca="false">HYPERLINK("#'Forrásszöveg'!A"&amp;(MATCH("VHR-S0260",Forrásszöveg!$A$6:$A$2497,0)+5),"25. § (2) eleje")</f>
        <v>25. § (2) eleje</v>
      </c>
      <c r="F1584" s="16" t="str">
        <f aca="false">HYPERLINK("https://net.jogtar.hu/jogszabaly?docid=a2400418.kor#pr260id","Jogtár megnyitása")</f>
        <v>Jogtár megnyitása</v>
      </c>
    </row>
    <row r="1585" customFormat="false" ht="34" hidden="false" customHeight="true" outlineLevel="0" collapsed="false">
      <c r="A1585" s="15" t="s">
        <v>5902</v>
      </c>
      <c r="B1585" s="15" t="s">
        <v>1471</v>
      </c>
      <c r="C1585" s="15" t="s">
        <v>5903</v>
      </c>
      <c r="D1585" s="15" t="s">
        <v>5904</v>
      </c>
      <c r="E1585" s="16" t="str">
        <f aca="false">HYPERLINK("#'Forrásszöveg'!A"&amp;(MATCH("VHR-S0260",Forrásszöveg!$A$6:$A$2497,0)+5),"25. § (2) eleje")</f>
        <v>25. § (2) eleje</v>
      </c>
      <c r="F1585" s="16" t="str">
        <f aca="false">HYPERLINK("https://net.jogtar.hu/jogszabaly?docid=a2400418.kor#pr261id","Jogtár megnyitása")</f>
        <v>Jogtár megnyitása</v>
      </c>
    </row>
    <row r="1586" customFormat="false" ht="34" hidden="false" customHeight="true" outlineLevel="0" collapsed="false">
      <c r="A1586" s="15" t="s">
        <v>5905</v>
      </c>
      <c r="B1586" s="15" t="s">
        <v>1471</v>
      </c>
      <c r="C1586" s="15" t="s">
        <v>5906</v>
      </c>
      <c r="D1586" s="15" t="s">
        <v>5907</v>
      </c>
      <c r="E1586" s="16" t="str">
        <f aca="false">HYPERLINK("#'Forrásszöveg'!A"&amp;(MATCH("VHR-S0260",Forrásszöveg!$A$6:$A$2497,0)+5),"25. § (2) eleje")</f>
        <v>25. § (2) eleje</v>
      </c>
      <c r="F1586" s="16" t="str">
        <f aca="false">HYPERLINK("https://net.jogtar.hu/jogszabaly?docid=a2400418.kor#pr262id","Jogtár megnyitása")</f>
        <v>Jogtár megnyitása</v>
      </c>
    </row>
    <row r="1587" customFormat="false" ht="66" hidden="false" customHeight="true" outlineLevel="0" collapsed="false">
      <c r="A1587" s="15" t="s">
        <v>5908</v>
      </c>
      <c r="B1587" s="15" t="s">
        <v>1471</v>
      </c>
      <c r="C1587" s="15" t="s">
        <v>5909</v>
      </c>
      <c r="D1587" s="15" t="s">
        <v>5910</v>
      </c>
      <c r="E1587" s="16" t="str">
        <f aca="false">HYPERLINK("#'Forrásszöveg'!A"&amp;(MATCH("VHR-S0260",Forrásszöveg!$A$6:$A$2497,0)+5),"25. § (2) eleje")</f>
        <v>25. § (2) eleje</v>
      </c>
      <c r="F1587" s="16" t="str">
        <f aca="false">HYPERLINK("https://net.jogtar.hu/jogszabaly?docid=a2400418.kor#pr263id","Jogtár megnyitása")</f>
        <v>Jogtár megnyitása</v>
      </c>
    </row>
    <row r="1588" customFormat="false" ht="52" hidden="false" customHeight="true" outlineLevel="0" collapsed="false">
      <c r="A1588" s="15" t="s">
        <v>5911</v>
      </c>
      <c r="B1588" s="15" t="s">
        <v>1471</v>
      </c>
      <c r="C1588" s="15" t="s">
        <v>3103</v>
      </c>
      <c r="D1588" s="15" t="s">
        <v>5912</v>
      </c>
      <c r="E1588" s="16" t="str">
        <f aca="false">HYPERLINK("#'Forrásszöveg'!A"&amp;(MATCH("VHR-S0264",Forrásszöveg!$A$6:$A$2497,0)+5),"25. § (3) eleje")</f>
        <v>25. § (3) eleje</v>
      </c>
      <c r="F1588" s="16" t="str">
        <f aca="false">HYPERLINK("https://net.jogtar.hu/jogszabaly?docid=a2400418.kor#pr264id","Jogtár megnyitása")</f>
        <v>Jogtár megnyitása</v>
      </c>
    </row>
    <row r="1589" customFormat="false" ht="52" hidden="false" customHeight="true" outlineLevel="0" collapsed="false">
      <c r="A1589" s="15" t="s">
        <v>5913</v>
      </c>
      <c r="B1589" s="15" t="s">
        <v>1471</v>
      </c>
      <c r="C1589" s="15" t="s">
        <v>3106</v>
      </c>
      <c r="D1589" s="15" t="s">
        <v>5914</v>
      </c>
      <c r="E1589" s="16" t="str">
        <f aca="false">HYPERLINK("#'Forrásszöveg'!A"&amp;(MATCH("VHR-S0265",Forrásszöveg!$A$6:$A$2497,0)+5),"25. § (4) eleje")</f>
        <v>25. § (4) eleje</v>
      </c>
      <c r="F1589" s="16" t="str">
        <f aca="false">HYPERLINK("https://net.jogtar.hu/jogszabaly?docid=a2400418.kor#pr265id","Jogtár megnyitása")</f>
        <v>Jogtár megnyitása</v>
      </c>
    </row>
    <row r="1590" customFormat="false" ht="52" hidden="false" customHeight="true" outlineLevel="0" collapsed="false">
      <c r="A1590" s="15" t="s">
        <v>5915</v>
      </c>
      <c r="B1590" s="15" t="s">
        <v>1471</v>
      </c>
      <c r="C1590" s="15" t="s">
        <v>5916</v>
      </c>
      <c r="D1590" s="15" t="s">
        <v>5917</v>
      </c>
      <c r="E1590" s="16" t="str">
        <f aca="false">HYPERLINK("#'Forrásszöveg'!A"&amp;(MATCH("VHR-S0266",Forrásszöveg!$A$6:$A$2497,0)+5),"25. § (5) eleje")</f>
        <v>25. § (5) eleje</v>
      </c>
      <c r="F1590" s="16" t="str">
        <f aca="false">HYPERLINK("https://net.jogtar.hu/jogszabaly?docid=a2400418.kor#pr266id","Jogtár megnyitása")</f>
        <v>Jogtár megnyitása</v>
      </c>
    </row>
    <row r="1591" customFormat="false" ht="52" hidden="false" customHeight="true" outlineLevel="0" collapsed="false">
      <c r="A1591" s="15" t="s">
        <v>5918</v>
      </c>
      <c r="B1591" s="15" t="s">
        <v>1471</v>
      </c>
      <c r="C1591" s="15" t="s">
        <v>5919</v>
      </c>
      <c r="D1591" s="15" t="s">
        <v>5920</v>
      </c>
      <c r="E1591" s="16" t="str">
        <f aca="false">HYPERLINK("#'Forrásszöveg'!A"&amp;(MATCH("VHR-S0267",Forrásszöveg!$A$6:$A$2497,0)+5),"25. § (6) eleje")</f>
        <v>25. § (6) eleje</v>
      </c>
      <c r="F1591" s="16" t="str">
        <f aca="false">HYPERLINK("https://net.jogtar.hu/jogszabaly?docid=a2400418.kor#pr267id","Jogtár megnyitása")</f>
        <v>Jogtár megnyitása</v>
      </c>
    </row>
    <row r="1592" customFormat="false" ht="38" hidden="false" customHeight="true" outlineLevel="0" collapsed="false">
      <c r="A1592" s="15" t="s">
        <v>5921</v>
      </c>
      <c r="B1592" s="15" t="s">
        <v>1471</v>
      </c>
      <c r="C1592" s="15" t="s">
        <v>5922</v>
      </c>
      <c r="D1592" s="15" t="s">
        <v>5923</v>
      </c>
      <c r="E1592" s="16" t="str">
        <f aca="false">HYPERLINK("#'Forrásszöveg'!A"&amp;(MATCH("VHR-S0268",Forrásszöveg!$A$6:$A$2497,0)+5),"25. § (7) eleje")</f>
        <v>25. § (7) eleje</v>
      </c>
      <c r="F1592" s="16" t="str">
        <f aca="false">HYPERLINK("https://net.jogtar.hu/jogszabaly?docid=a2400418.kor#pr268id","Jogtár megnyitása")</f>
        <v>Jogtár megnyitása</v>
      </c>
    </row>
    <row r="1593" customFormat="false" ht="34" hidden="false" customHeight="true" outlineLevel="0" collapsed="false">
      <c r="A1593" s="15" t="s">
        <v>5924</v>
      </c>
      <c r="B1593" s="15" t="s">
        <v>1471</v>
      </c>
      <c r="C1593" s="15" t="s">
        <v>5925</v>
      </c>
      <c r="D1593" s="15" t="s">
        <v>5926</v>
      </c>
      <c r="E1593" s="16" t="str">
        <f aca="false">HYPERLINK("#'Forrásszöveg'!A"&amp;(MATCH("VHR-S0268",Forrásszöveg!$A$6:$A$2497,0)+5),"25. § (7) eleje")</f>
        <v>25. § (7) eleje</v>
      </c>
      <c r="F1593" s="16" t="str">
        <f aca="false">HYPERLINK("https://net.jogtar.hu/jogszabaly?docid=a2400418.kor#pr269id","Jogtár megnyitása")</f>
        <v>Jogtár megnyitása</v>
      </c>
    </row>
    <row r="1594" customFormat="false" ht="34" hidden="false" customHeight="true" outlineLevel="0" collapsed="false">
      <c r="A1594" s="15" t="s">
        <v>5927</v>
      </c>
      <c r="B1594" s="15" t="s">
        <v>1471</v>
      </c>
      <c r="C1594" s="15" t="s">
        <v>5928</v>
      </c>
      <c r="D1594" s="15" t="s">
        <v>5929</v>
      </c>
      <c r="E1594" s="16" t="str">
        <f aca="false">HYPERLINK("#'Forrásszöveg'!A"&amp;(MATCH("VHR-S0268",Forrásszöveg!$A$6:$A$2497,0)+5),"25. § (7) eleje")</f>
        <v>25. § (7) eleje</v>
      </c>
      <c r="F1594" s="16" t="str">
        <f aca="false">HYPERLINK("https://net.jogtar.hu/jogszabaly?docid=a2400418.kor#pr270id","Jogtár megnyitása")</f>
        <v>Jogtár megnyitása</v>
      </c>
    </row>
    <row r="1595" customFormat="false" ht="38" hidden="false" customHeight="true" outlineLevel="0" collapsed="false">
      <c r="A1595" s="15" t="s">
        <v>5930</v>
      </c>
      <c r="B1595" s="15" t="s">
        <v>1471</v>
      </c>
      <c r="C1595" s="15" t="s">
        <v>5931</v>
      </c>
      <c r="D1595" s="15" t="s">
        <v>5932</v>
      </c>
      <c r="E1595" s="16" t="str">
        <f aca="false">HYPERLINK("#'Forrásszöveg'!A"&amp;(MATCH("VHR-S0271",Forrásszöveg!$A$6:$A$2497,0)+5),"25. § (8) eleje")</f>
        <v>25. § (8) eleje</v>
      </c>
      <c r="F1595" s="16" t="str">
        <f aca="false">HYPERLINK("https://net.jogtar.hu/jogszabaly?docid=a2400418.kor#pr271id","Jogtár megnyitása")</f>
        <v>Jogtár megnyitása</v>
      </c>
    </row>
    <row r="1596" customFormat="false" ht="34" hidden="false" customHeight="true" outlineLevel="0" collapsed="false">
      <c r="A1596" s="15" t="s">
        <v>5933</v>
      </c>
      <c r="B1596" s="15" t="s">
        <v>1471</v>
      </c>
      <c r="C1596" s="15" t="s">
        <v>5934</v>
      </c>
      <c r="D1596" s="15" t="s">
        <v>5935</v>
      </c>
      <c r="E1596" s="16" t="str">
        <f aca="false">HYPERLINK("#'Forrásszöveg'!A"&amp;(MATCH("VHR-S0271",Forrásszöveg!$A$6:$A$2497,0)+5),"25. § (8) eleje")</f>
        <v>25. § (8) eleje</v>
      </c>
      <c r="F1596" s="16" t="str">
        <f aca="false">HYPERLINK("https://net.jogtar.hu/jogszabaly?docid=a2400418.kor#pr272id","Jogtár megnyitása")</f>
        <v>Jogtár megnyitása</v>
      </c>
    </row>
    <row r="1597" customFormat="false" ht="34" hidden="false" customHeight="true" outlineLevel="0" collapsed="false">
      <c r="A1597" s="15" t="s">
        <v>5936</v>
      </c>
      <c r="B1597" s="15" t="s">
        <v>1471</v>
      </c>
      <c r="C1597" s="15" t="s">
        <v>5937</v>
      </c>
      <c r="D1597" s="15" t="s">
        <v>5938</v>
      </c>
      <c r="E1597" s="16" t="str">
        <f aca="false">HYPERLINK("#'Forrásszöveg'!A"&amp;(MATCH("VHR-S0271",Forrásszöveg!$A$6:$A$2497,0)+5),"25. § (8) eleje")</f>
        <v>25. § (8) eleje</v>
      </c>
      <c r="F1597" s="16" t="str">
        <f aca="false">HYPERLINK("https://net.jogtar.hu/jogszabaly?docid=a2400418.kor#pr273id","Jogtár megnyitása")</f>
        <v>Jogtár megnyitása</v>
      </c>
    </row>
    <row r="1598" customFormat="false" ht="38" hidden="false" customHeight="true" outlineLevel="0" collapsed="false">
      <c r="A1598" s="15" t="s">
        <v>5939</v>
      </c>
      <c r="B1598" s="15" t="s">
        <v>1471</v>
      </c>
      <c r="C1598" s="15" t="s">
        <v>5940</v>
      </c>
      <c r="D1598" s="15" t="s">
        <v>5941</v>
      </c>
      <c r="E1598" s="16" t="str">
        <f aca="false">HYPERLINK("#'Forrásszöveg'!A"&amp;(MATCH("VHR-S0271",Forrásszöveg!$A$6:$A$2497,0)+5),"25. § (8) eleje")</f>
        <v>25. § (8) eleje</v>
      </c>
      <c r="F1598" s="16" t="str">
        <f aca="false">HYPERLINK("https://net.jogtar.hu/jogszabaly?docid=a2400418.kor#pr274id","Jogtár megnyitása")</f>
        <v>Jogtár megnyitása</v>
      </c>
    </row>
    <row r="1599" customFormat="false" ht="52" hidden="false" customHeight="true" outlineLevel="0" collapsed="false">
      <c r="A1599" s="15" t="s">
        <v>5942</v>
      </c>
      <c r="B1599" s="15" t="s">
        <v>1471</v>
      </c>
      <c r="C1599" s="15" t="s">
        <v>1485</v>
      </c>
      <c r="D1599" s="15" t="s">
        <v>1485</v>
      </c>
      <c r="E1599" s="16" t="str">
        <f aca="false">HYPERLINK("#'Forrásszöveg'!A"&amp;(MATCH("VHR-S0259",Forrásszöveg!$A$6:$A$2497,0)+5),"25. § eleje")</f>
        <v>25. § eleje</v>
      </c>
      <c r="F1599" s="16" t="str">
        <f aca="false">HYPERLINK("https://net.jogtar.hu/jogszabaly?docid=a2400418.kor#pr275id","Jogtár megnyitása")</f>
        <v>Jogtár megnyitása</v>
      </c>
    </row>
    <row r="1600" customFormat="false" ht="38" hidden="false" customHeight="true" outlineLevel="0" collapsed="false">
      <c r="A1600" s="15" t="s">
        <v>5943</v>
      </c>
      <c r="B1600" s="15" t="s">
        <v>1471</v>
      </c>
      <c r="C1600" s="15" t="s">
        <v>3110</v>
      </c>
      <c r="D1600" s="15" t="s">
        <v>5944</v>
      </c>
      <c r="E1600" s="16" t="str">
        <f aca="false">HYPERLINK("#'Forrásszöveg'!A"&amp;(MATCH("VHR-S0276",Forrásszöveg!$A$6:$A$2497,0)+5),"26. § (1) eleje")</f>
        <v>26. § (1) eleje</v>
      </c>
      <c r="F1600" s="16" t="str">
        <f aca="false">HYPERLINK("https://net.jogtar.hu/jogszabaly?docid=a2400418.kor#pr276id","Jogtár megnyitása")</f>
        <v>Jogtár megnyitása</v>
      </c>
    </row>
    <row r="1601" customFormat="false" ht="38" hidden="false" customHeight="true" outlineLevel="0" collapsed="false">
      <c r="A1601" s="15" t="s">
        <v>5945</v>
      </c>
      <c r="B1601" s="15" t="s">
        <v>1471</v>
      </c>
      <c r="C1601" s="15" t="s">
        <v>5946</v>
      </c>
      <c r="D1601" s="15" t="s">
        <v>5947</v>
      </c>
      <c r="E1601" s="16" t="str">
        <f aca="false">HYPERLINK("#'Forrásszöveg'!A"&amp;(MATCH("VHR-S0276",Forrásszöveg!$A$6:$A$2497,0)+5),"26. § (1) eleje")</f>
        <v>26. § (1) eleje</v>
      </c>
      <c r="F1601" s="16" t="str">
        <f aca="false">HYPERLINK("https://net.jogtar.hu/jogszabaly?docid=a2400418.kor#pr277id","Jogtár megnyitása")</f>
        <v>Jogtár megnyitása</v>
      </c>
    </row>
    <row r="1602" customFormat="false" ht="38" hidden="false" customHeight="true" outlineLevel="0" collapsed="false">
      <c r="A1602" s="15" t="s">
        <v>5948</v>
      </c>
      <c r="B1602" s="15" t="s">
        <v>1471</v>
      </c>
      <c r="C1602" s="15" t="s">
        <v>5949</v>
      </c>
      <c r="D1602" s="15" t="s">
        <v>5950</v>
      </c>
      <c r="E1602" s="16" t="str">
        <f aca="false">HYPERLINK("#'Forrásszöveg'!A"&amp;(MATCH("VHR-S0276",Forrásszöveg!$A$6:$A$2497,0)+5),"26. § (1) eleje")</f>
        <v>26. § (1) eleje</v>
      </c>
      <c r="F1602" s="16" t="str">
        <f aca="false">HYPERLINK("https://net.jogtar.hu/jogszabaly?docid=a2400418.kor#pr278id","Jogtár megnyitása")</f>
        <v>Jogtár megnyitása</v>
      </c>
    </row>
    <row r="1603" customFormat="false" ht="34" hidden="false" customHeight="true" outlineLevel="0" collapsed="false">
      <c r="A1603" s="15" t="s">
        <v>5951</v>
      </c>
      <c r="B1603" s="15" t="s">
        <v>1471</v>
      </c>
      <c r="C1603" s="15" t="s">
        <v>5952</v>
      </c>
      <c r="D1603" s="15" t="s">
        <v>5953</v>
      </c>
      <c r="E1603" s="16" t="str">
        <f aca="false">HYPERLINK("#'Forrásszöveg'!A"&amp;(MATCH("VHR-S0276",Forrásszöveg!$A$6:$A$2497,0)+5),"26. § (1) eleje")</f>
        <v>26. § (1) eleje</v>
      </c>
      <c r="F1603" s="16" t="str">
        <f aca="false">HYPERLINK("https://net.jogtar.hu/jogszabaly?docid=a2400418.kor#pr279id","Jogtár megnyitása")</f>
        <v>Jogtár megnyitása</v>
      </c>
    </row>
    <row r="1604" customFormat="false" ht="38" hidden="false" customHeight="true" outlineLevel="0" collapsed="false">
      <c r="A1604" s="15" t="s">
        <v>5954</v>
      </c>
      <c r="B1604" s="15" t="s">
        <v>1471</v>
      </c>
      <c r="C1604" s="15" t="s">
        <v>5955</v>
      </c>
      <c r="D1604" s="15" t="s">
        <v>5956</v>
      </c>
      <c r="E1604" s="16" t="str">
        <f aca="false">HYPERLINK("#'Forrásszöveg'!A"&amp;(MATCH("VHR-S0276",Forrásszöveg!$A$6:$A$2497,0)+5),"26. § (1) eleje")</f>
        <v>26. § (1) eleje</v>
      </c>
      <c r="F1604" s="16" t="str">
        <f aca="false">HYPERLINK("https://net.jogtar.hu/jogszabaly?docid=a2400418.kor#pr280id","Jogtár megnyitása")</f>
        <v>Jogtár megnyitása</v>
      </c>
    </row>
    <row r="1605" customFormat="false" ht="80" hidden="false" customHeight="true" outlineLevel="0" collapsed="false">
      <c r="A1605" s="15" t="s">
        <v>5957</v>
      </c>
      <c r="B1605" s="15" t="s">
        <v>1471</v>
      </c>
      <c r="C1605" s="15" t="s">
        <v>3113</v>
      </c>
      <c r="D1605" s="15" t="s">
        <v>5958</v>
      </c>
      <c r="E1605" s="16" t="str">
        <f aca="false">HYPERLINK("#'Forrásszöveg'!A"&amp;(MATCH("VHR-S0281",Forrásszöveg!$A$6:$A$2497,0)+5),"26. § (2) eleje")</f>
        <v>26. § (2) eleje</v>
      </c>
      <c r="F1605" s="16" t="str">
        <f aca="false">HYPERLINK("https://net.jogtar.hu/jogszabaly?docid=a2400418.kor#pr281id","Jogtár megnyitása")</f>
        <v>Jogtár megnyitása</v>
      </c>
    </row>
    <row r="1606" customFormat="false" ht="52" hidden="false" customHeight="true" outlineLevel="0" collapsed="false">
      <c r="A1606" s="15" t="s">
        <v>5959</v>
      </c>
      <c r="B1606" s="15" t="s">
        <v>1471</v>
      </c>
      <c r="C1606" s="15" t="s">
        <v>3116</v>
      </c>
      <c r="D1606" s="15" t="s">
        <v>5960</v>
      </c>
      <c r="E1606" s="16" t="str">
        <f aca="false">HYPERLINK("#'Forrásszöveg'!A"&amp;(MATCH("VHR-S0282",Forrásszöveg!$A$6:$A$2497,0)+5),"26. § (3) eleje")</f>
        <v>26. § (3) eleje</v>
      </c>
      <c r="F1606" s="16" t="str">
        <f aca="false">HYPERLINK("https://net.jogtar.hu/jogszabaly?docid=a2400418.kor#pr282id","Jogtár megnyitása")</f>
        <v>Jogtár megnyitása</v>
      </c>
    </row>
    <row r="1607" customFormat="false" ht="38" hidden="false" customHeight="true" outlineLevel="0" collapsed="false">
      <c r="A1607" s="15" t="s">
        <v>5961</v>
      </c>
      <c r="B1607" s="15" t="s">
        <v>1471</v>
      </c>
      <c r="C1607" s="15" t="s">
        <v>5962</v>
      </c>
      <c r="D1607" s="15" t="s">
        <v>5963</v>
      </c>
      <c r="E1607" s="16" t="str">
        <f aca="false">HYPERLINK("#'Forrásszöveg'!A"&amp;(MATCH("VHR-S0283",Forrásszöveg!$A$6:$A$2497,0)+5),"26. § (4) eleje")</f>
        <v>26. § (4) eleje</v>
      </c>
      <c r="F1607" s="16" t="str">
        <f aca="false">HYPERLINK("https://net.jogtar.hu/jogszabaly?docid=a2400418.kor#pr283id","Jogtár megnyitása")</f>
        <v>Jogtár megnyitása</v>
      </c>
    </row>
    <row r="1608" customFormat="false" ht="52" hidden="false" customHeight="true" outlineLevel="0" collapsed="false">
      <c r="A1608" s="15" t="s">
        <v>5964</v>
      </c>
      <c r="B1608" s="15" t="s">
        <v>1471</v>
      </c>
      <c r="C1608" s="15" t="s">
        <v>5965</v>
      </c>
      <c r="D1608" s="15" t="s">
        <v>5966</v>
      </c>
      <c r="E1608" s="16" t="str">
        <f aca="false">HYPERLINK("#'Forrásszöveg'!A"&amp;(MATCH("VHR-S0284",Forrásszöveg!$A$6:$A$2497,0)+5),"26. § (5) eleje")</f>
        <v>26. § (5) eleje</v>
      </c>
      <c r="F1608" s="16" t="str">
        <f aca="false">HYPERLINK("https://net.jogtar.hu/jogszabaly?docid=a2400418.kor#pr284id","Jogtár megnyitása")</f>
        <v>Jogtár megnyitása</v>
      </c>
    </row>
    <row r="1609" customFormat="false" ht="34" hidden="false" customHeight="true" outlineLevel="0" collapsed="false">
      <c r="A1609" s="15" t="s">
        <v>5967</v>
      </c>
      <c r="B1609" s="15" t="s">
        <v>1471</v>
      </c>
      <c r="C1609" s="15" t="s">
        <v>5968</v>
      </c>
      <c r="D1609" s="15" t="s">
        <v>5969</v>
      </c>
      <c r="E1609" s="16" t="str">
        <f aca="false">HYPERLINK("#'Forrásszöveg'!A"&amp;(MATCH("VHR-S0284",Forrásszöveg!$A$6:$A$2497,0)+5),"26. § (5) eleje")</f>
        <v>26. § (5) eleje</v>
      </c>
      <c r="F1609" s="16" t="str">
        <f aca="false">HYPERLINK("https://net.jogtar.hu/jogszabaly?docid=a2400418.kor#pr285id","Jogtár megnyitása")</f>
        <v>Jogtár megnyitása</v>
      </c>
    </row>
    <row r="1610" customFormat="false" ht="38" hidden="false" customHeight="true" outlineLevel="0" collapsed="false">
      <c r="A1610" s="15" t="s">
        <v>5970</v>
      </c>
      <c r="B1610" s="15" t="s">
        <v>1471</v>
      </c>
      <c r="C1610" s="15" t="s">
        <v>5971</v>
      </c>
      <c r="D1610" s="15" t="s">
        <v>5972</v>
      </c>
      <c r="E1610" s="16" t="str">
        <f aca="false">HYPERLINK("#'Forrásszöveg'!A"&amp;(MATCH("VHR-S0284",Forrásszöveg!$A$6:$A$2497,0)+5),"26. § (5) eleje")</f>
        <v>26. § (5) eleje</v>
      </c>
      <c r="F1610" s="16" t="str">
        <f aca="false">HYPERLINK("https://net.jogtar.hu/jogszabaly?docid=a2400418.kor#pr286id","Jogtár megnyitása")</f>
        <v>Jogtár megnyitása</v>
      </c>
    </row>
    <row r="1611" customFormat="false" ht="34" hidden="false" customHeight="true" outlineLevel="0" collapsed="false">
      <c r="A1611" s="15" t="s">
        <v>5973</v>
      </c>
      <c r="B1611" s="15" t="s">
        <v>1471</v>
      </c>
      <c r="C1611" s="15" t="s">
        <v>5974</v>
      </c>
      <c r="D1611" s="15" t="s">
        <v>5975</v>
      </c>
      <c r="E1611" s="16" t="str">
        <f aca="false">HYPERLINK("#'Forrásszöveg'!A"&amp;(MATCH("VHR-S0284",Forrásszöveg!$A$6:$A$2497,0)+5),"26. § (5) eleje")</f>
        <v>26. § (5) eleje</v>
      </c>
      <c r="F1611" s="16" t="str">
        <f aca="false">HYPERLINK("https://net.jogtar.hu/jogszabaly?docid=a2400418.kor#pr287id","Jogtár megnyitása")</f>
        <v>Jogtár megnyitása</v>
      </c>
    </row>
    <row r="1612" customFormat="false" ht="38" hidden="false" customHeight="true" outlineLevel="0" collapsed="false">
      <c r="A1612" s="15" t="s">
        <v>5976</v>
      </c>
      <c r="B1612" s="15" t="s">
        <v>1471</v>
      </c>
      <c r="C1612" s="15" t="s">
        <v>5977</v>
      </c>
      <c r="D1612" s="15" t="s">
        <v>5978</v>
      </c>
      <c r="E1612" s="16" t="str">
        <f aca="false">HYPERLINK("#'Forrásszöveg'!A"&amp;(MATCH("VHR-S0284",Forrásszöveg!$A$6:$A$2497,0)+5),"26. § (5) eleje")</f>
        <v>26. § (5) eleje</v>
      </c>
      <c r="F1612" s="16" t="str">
        <f aca="false">HYPERLINK("https://net.jogtar.hu/jogszabaly?docid=a2400418.kor#pr288id","Jogtár megnyitása")</f>
        <v>Jogtár megnyitása</v>
      </c>
    </row>
    <row r="1613" customFormat="false" ht="52" hidden="false" customHeight="true" outlineLevel="0" collapsed="false">
      <c r="A1613" s="15" t="s">
        <v>5979</v>
      </c>
      <c r="B1613" s="15" t="s">
        <v>1471</v>
      </c>
      <c r="C1613" s="15" t="s">
        <v>5980</v>
      </c>
      <c r="D1613" s="15" t="s">
        <v>5981</v>
      </c>
      <c r="E1613" s="16" t="str">
        <f aca="false">HYPERLINK("#'Forrásszöveg'!A"&amp;(MATCH("VHR-S0289",Forrásszöveg!$A$6:$A$2497,0)+5),"26. § (6) eleje")</f>
        <v>26. § (6) eleje</v>
      </c>
      <c r="F1613" s="16" t="str">
        <f aca="false">HYPERLINK("https://net.jogtar.hu/jogszabaly?docid=a2400418.kor#pr289id","Jogtár megnyitása")</f>
        <v>Jogtár megnyitása</v>
      </c>
    </row>
    <row r="1614" customFormat="false" ht="34" hidden="false" customHeight="true" outlineLevel="0" collapsed="false">
      <c r="A1614" s="15" t="s">
        <v>5982</v>
      </c>
      <c r="B1614" s="15" t="s">
        <v>1471</v>
      </c>
      <c r="C1614" s="15" t="s">
        <v>3119</v>
      </c>
      <c r="D1614" s="15" t="s">
        <v>5983</v>
      </c>
      <c r="E1614" s="16" t="str">
        <f aca="false">HYPERLINK("#'Forrásszöveg'!A"&amp;(MATCH("VHR-S0290",Forrásszöveg!$A$6:$A$2497,0)+5),"27. § (1) eleje")</f>
        <v>27. § (1) eleje</v>
      </c>
      <c r="F1614" s="16" t="str">
        <f aca="false">HYPERLINK("https://net.jogtar.hu/jogszabaly?docid=a2400418.kor#pr290id","Jogtár megnyitása")</f>
        <v>Jogtár megnyitása</v>
      </c>
    </row>
    <row r="1615" customFormat="false" ht="34" hidden="false" customHeight="true" outlineLevel="0" collapsed="false">
      <c r="A1615" s="15" t="s">
        <v>5984</v>
      </c>
      <c r="B1615" s="15" t="s">
        <v>1471</v>
      </c>
      <c r="C1615" s="15" t="s">
        <v>5985</v>
      </c>
      <c r="D1615" s="15" t="s">
        <v>5986</v>
      </c>
      <c r="E1615" s="16" t="str">
        <f aca="false">HYPERLINK("#'Forrásszöveg'!A"&amp;(MATCH("VHR-S0290",Forrásszöveg!$A$6:$A$2497,0)+5),"27. § (1) eleje")</f>
        <v>27. § (1) eleje</v>
      </c>
      <c r="F1615" s="16" t="str">
        <f aca="false">HYPERLINK("https://net.jogtar.hu/jogszabaly?docid=a2400418.kor#pr291id","Jogtár megnyitása")</f>
        <v>Jogtár megnyitása</v>
      </c>
    </row>
    <row r="1616" customFormat="false" ht="34" hidden="false" customHeight="true" outlineLevel="0" collapsed="false">
      <c r="A1616" s="15" t="s">
        <v>5987</v>
      </c>
      <c r="B1616" s="15" t="s">
        <v>1471</v>
      </c>
      <c r="C1616" s="15" t="s">
        <v>5988</v>
      </c>
      <c r="D1616" s="15" t="s">
        <v>5989</v>
      </c>
      <c r="E1616" s="16" t="str">
        <f aca="false">HYPERLINK("#'Forrásszöveg'!A"&amp;(MATCH("VHR-S0290",Forrásszöveg!$A$6:$A$2497,0)+5),"27. § (1) eleje")</f>
        <v>27. § (1) eleje</v>
      </c>
      <c r="F1616" s="16" t="str">
        <f aca="false">HYPERLINK("https://net.jogtar.hu/jogszabaly?docid=a2400418.kor#pr292id","Jogtár megnyitása")</f>
        <v>Jogtár megnyitása</v>
      </c>
    </row>
    <row r="1617" customFormat="false" ht="34" hidden="false" customHeight="true" outlineLevel="0" collapsed="false">
      <c r="A1617" s="15" t="s">
        <v>5990</v>
      </c>
      <c r="B1617" s="15" t="s">
        <v>1471</v>
      </c>
      <c r="C1617" s="15" t="s">
        <v>5991</v>
      </c>
      <c r="D1617" s="15" t="s">
        <v>5992</v>
      </c>
      <c r="E1617" s="16" t="str">
        <f aca="false">HYPERLINK("#'Forrásszöveg'!A"&amp;(MATCH("VHR-S0290",Forrásszöveg!$A$6:$A$2497,0)+5),"27. § (1) eleje")</f>
        <v>27. § (1) eleje</v>
      </c>
      <c r="F1617" s="16" t="str">
        <f aca="false">HYPERLINK("https://net.jogtar.hu/jogszabaly?docid=a2400418.kor#pr293id","Jogtár megnyitása")</f>
        <v>Jogtár megnyitása</v>
      </c>
    </row>
    <row r="1618" customFormat="false" ht="34" hidden="false" customHeight="true" outlineLevel="0" collapsed="false">
      <c r="A1618" s="15" t="s">
        <v>5993</v>
      </c>
      <c r="B1618" s="15" t="s">
        <v>1471</v>
      </c>
      <c r="C1618" s="15" t="s">
        <v>3119</v>
      </c>
      <c r="D1618" s="15" t="s">
        <v>5994</v>
      </c>
      <c r="E1618" s="16" t="str">
        <f aca="false">HYPERLINK("#'Forrásszöveg'!A"&amp;(MATCH("VHR-S0290",Forrásszöveg!$A$6:$A$2497,0)+5),"27. § (1) eleje")</f>
        <v>27. § (1) eleje</v>
      </c>
      <c r="F1618" s="16" t="str">
        <f aca="false">HYPERLINK("https://net.jogtar.hu/jogszabaly?docid=a2400418.kor#pr294id","Jogtár megnyitása")</f>
        <v>Jogtár megnyitása</v>
      </c>
    </row>
    <row r="1619" customFormat="false" ht="34" hidden="false" customHeight="true" outlineLevel="0" collapsed="false">
      <c r="A1619" s="15" t="s">
        <v>5995</v>
      </c>
      <c r="B1619" s="15" t="s">
        <v>1471</v>
      </c>
      <c r="C1619" s="15" t="s">
        <v>3122</v>
      </c>
      <c r="D1619" s="15" t="s">
        <v>5996</v>
      </c>
      <c r="E1619" s="16" t="str">
        <f aca="false">HYPERLINK("#'Forrásszöveg'!A"&amp;(MATCH("VHR-S0295",Forrásszöveg!$A$6:$A$2497,0)+5),"27. § (2) eleje")</f>
        <v>27. § (2) eleje</v>
      </c>
      <c r="F1619" s="16" t="str">
        <f aca="false">HYPERLINK("https://net.jogtar.hu/jogszabaly?docid=a2400418.kor#pr295id","Jogtár megnyitása")</f>
        <v>Jogtár megnyitása</v>
      </c>
    </row>
    <row r="1620" customFormat="false" ht="52" hidden="false" customHeight="true" outlineLevel="0" collapsed="false">
      <c r="A1620" s="15" t="s">
        <v>5997</v>
      </c>
      <c r="B1620" s="15" t="s">
        <v>1471</v>
      </c>
      <c r="C1620" s="15" t="s">
        <v>1351</v>
      </c>
      <c r="D1620" s="15" t="s">
        <v>5998</v>
      </c>
      <c r="E1620" s="16" t="str">
        <f aca="false">HYPERLINK("#'Forrásszöveg'!A"&amp;(MATCH("VHR-S0296",Forrásszöveg!$A$6:$A$2497,0)+5),"28. § eleje")</f>
        <v>28. § eleje</v>
      </c>
      <c r="F1620" s="16" t="str">
        <f aca="false">HYPERLINK("https://net.jogtar.hu/jogszabaly?docid=a2400418.kor#pr296id","Jogtár megnyitása")</f>
        <v>Jogtár megnyitása</v>
      </c>
    </row>
    <row r="1621" customFormat="false" ht="34" hidden="false" customHeight="true" outlineLevel="0" collapsed="false">
      <c r="A1621" s="15" t="s">
        <v>5999</v>
      </c>
      <c r="B1621" s="15" t="s">
        <v>1471</v>
      </c>
      <c r="C1621" s="15" t="s">
        <v>1486</v>
      </c>
      <c r="D1621" s="15" t="s">
        <v>1486</v>
      </c>
      <c r="E1621" s="16" t="str">
        <f aca="false">HYPERLINK("#'Forrásszöveg'!A"&amp;(MATCH("VHR-S0296",Forrásszöveg!$A$6:$A$2497,0)+5),"28. § eleje")</f>
        <v>28. § eleje</v>
      </c>
      <c r="F1621" s="16" t="str">
        <f aca="false">HYPERLINK("https://net.jogtar.hu/jogszabaly?docid=a2400418.kor#pr297id","Jogtár megnyitása")</f>
        <v>Jogtár megnyitása</v>
      </c>
    </row>
    <row r="1622" customFormat="false" ht="52" hidden="false" customHeight="true" outlineLevel="0" collapsed="false">
      <c r="A1622" s="15" t="s">
        <v>6000</v>
      </c>
      <c r="B1622" s="15" t="s">
        <v>1471</v>
      </c>
      <c r="C1622" s="15" t="s">
        <v>3304</v>
      </c>
      <c r="D1622" s="15" t="s">
        <v>6001</v>
      </c>
      <c r="E1622" s="16" t="str">
        <f aca="false">HYPERLINK("#'Forrásszöveg'!A"&amp;(MATCH("VHR-S0298",Forrásszöveg!$A$6:$A$2497,0)+5),"29. § (1) eleje")</f>
        <v>29. § (1) eleje</v>
      </c>
      <c r="F1622" s="16" t="str">
        <f aca="false">HYPERLINK("https://net.jogtar.hu/jogszabaly?docid=a2400418.kor#pr298id","Jogtár megnyitása")</f>
        <v>Jogtár megnyitása</v>
      </c>
    </row>
    <row r="1623" customFormat="false" ht="52" hidden="false" customHeight="true" outlineLevel="0" collapsed="false">
      <c r="A1623" s="15" t="s">
        <v>6002</v>
      </c>
      <c r="B1623" s="15" t="s">
        <v>1471</v>
      </c>
      <c r="C1623" s="15" t="s">
        <v>3364</v>
      </c>
      <c r="D1623" s="15" t="s">
        <v>6003</v>
      </c>
      <c r="E1623" s="16" t="str">
        <f aca="false">HYPERLINK("#'Forrásszöveg'!A"&amp;(MATCH("VHR-S0299",Forrásszöveg!$A$6:$A$2497,0)+5),"29. § (2) eleje")</f>
        <v>29. § (2) eleje</v>
      </c>
      <c r="F1623" s="16" t="str">
        <f aca="false">HYPERLINK("https://net.jogtar.hu/jogszabaly?docid=a2400418.kor#pr299id","Jogtár megnyitása")</f>
        <v>Jogtár megnyitása</v>
      </c>
    </row>
    <row r="1624" customFormat="false" ht="38" hidden="false" customHeight="true" outlineLevel="0" collapsed="false">
      <c r="A1624" s="15" t="s">
        <v>6004</v>
      </c>
      <c r="B1624" s="15" t="s">
        <v>1471</v>
      </c>
      <c r="C1624" s="15" t="s">
        <v>3367</v>
      </c>
      <c r="D1624" s="15" t="s">
        <v>6005</v>
      </c>
      <c r="E1624" s="16" t="str">
        <f aca="false">HYPERLINK("#'Forrásszöveg'!A"&amp;(MATCH("VHR-S0300",Forrásszöveg!$A$6:$A$2497,0)+5),"29. § (3) eleje")</f>
        <v>29. § (3) eleje</v>
      </c>
      <c r="F1624" s="16" t="str">
        <f aca="false">HYPERLINK("https://net.jogtar.hu/jogszabaly?docid=a2400418.kor#pr300id","Jogtár megnyitása")</f>
        <v>Jogtár megnyitása</v>
      </c>
    </row>
    <row r="1625" customFormat="false" ht="66" hidden="false" customHeight="true" outlineLevel="0" collapsed="false">
      <c r="A1625" s="15" t="s">
        <v>6006</v>
      </c>
      <c r="B1625" s="15" t="s">
        <v>1471</v>
      </c>
      <c r="C1625" s="15" t="s">
        <v>3370</v>
      </c>
      <c r="D1625" s="15" t="s">
        <v>6007</v>
      </c>
      <c r="E1625" s="16" t="str">
        <f aca="false">HYPERLINK("#'Forrásszöveg'!A"&amp;(MATCH("VHR-S0301",Forrásszöveg!$A$6:$A$2497,0)+5),"29. § (4) eleje")</f>
        <v>29. § (4) eleje</v>
      </c>
      <c r="F1625" s="16" t="str">
        <f aca="false">HYPERLINK("https://net.jogtar.hu/jogszabaly?docid=a2400418.kor#pr301id","Jogtár megnyitása")</f>
        <v>Jogtár megnyitása</v>
      </c>
    </row>
    <row r="1626" customFormat="false" ht="38" hidden="false" customHeight="true" outlineLevel="0" collapsed="false">
      <c r="A1626" s="15" t="s">
        <v>6008</v>
      </c>
      <c r="B1626" s="15" t="s">
        <v>1471</v>
      </c>
      <c r="C1626" s="15" t="s">
        <v>1487</v>
      </c>
      <c r="D1626" s="15" t="s">
        <v>1487</v>
      </c>
      <c r="E1626" s="16" t="str">
        <f aca="false">HYPERLINK("#'Forrásszöveg'!A"&amp;(MATCH("VHR-S0298",Forrásszöveg!$A$6:$A$2497,0)+5),"29. § eleje")</f>
        <v>29. § eleje</v>
      </c>
      <c r="F1626" s="16" t="str">
        <f aca="false">HYPERLINK("https://net.jogtar.hu/jogszabaly?docid=a2400418.kor#pr302id","Jogtár megnyitása")</f>
        <v>Jogtár megnyitása</v>
      </c>
    </row>
    <row r="1627" customFormat="false" ht="38" hidden="false" customHeight="true" outlineLevel="0" collapsed="false">
      <c r="A1627" s="15" t="s">
        <v>6009</v>
      </c>
      <c r="B1627" s="15" t="s">
        <v>1471</v>
      </c>
      <c r="C1627" s="15" t="s">
        <v>3377</v>
      </c>
      <c r="D1627" s="15" t="s">
        <v>6010</v>
      </c>
      <c r="E1627" s="16" t="str">
        <f aca="false">HYPERLINK("#'Forrásszöveg'!A"&amp;(MATCH("VHR-S0303",Forrásszöveg!$A$6:$A$2497,0)+5),"30. § (1) eleje")</f>
        <v>30. § (1) eleje</v>
      </c>
      <c r="F1627" s="16" t="str">
        <f aca="false">HYPERLINK("https://net.jogtar.hu/jogszabaly?docid=a2400418.kor#pr303id","Jogtár megnyitása")</f>
        <v>Jogtár megnyitása</v>
      </c>
    </row>
    <row r="1628" customFormat="false" ht="80" hidden="false" customHeight="true" outlineLevel="0" collapsed="false">
      <c r="A1628" s="15" t="s">
        <v>6011</v>
      </c>
      <c r="B1628" s="15" t="s">
        <v>1471</v>
      </c>
      <c r="C1628" s="15" t="s">
        <v>3392</v>
      </c>
      <c r="D1628" s="15" t="s">
        <v>6012</v>
      </c>
      <c r="E1628" s="16" t="str">
        <f aca="false">HYPERLINK("#'Forrásszöveg'!A"&amp;(MATCH("VHR-S0304",Forrásszöveg!$A$6:$A$2497,0)+5),"30. § (2) eleje")</f>
        <v>30. § (2) eleje</v>
      </c>
      <c r="F1628" s="16" t="str">
        <f aca="false">HYPERLINK("https://net.jogtar.hu/jogszabaly?docid=a2400418.kor#pr304id","Jogtár megnyitása")</f>
        <v>Jogtár megnyitása</v>
      </c>
    </row>
    <row r="1629" customFormat="false" ht="38" hidden="false" customHeight="true" outlineLevel="0" collapsed="false">
      <c r="A1629" s="15" t="s">
        <v>6013</v>
      </c>
      <c r="B1629" s="15" t="s">
        <v>1471</v>
      </c>
      <c r="C1629" s="15" t="s">
        <v>3395</v>
      </c>
      <c r="D1629" s="15" t="s">
        <v>6014</v>
      </c>
      <c r="E1629" s="16" t="str">
        <f aca="false">HYPERLINK("#'Forrásszöveg'!A"&amp;(MATCH("VHR-S0305",Forrásszöveg!$A$6:$A$2497,0)+5),"30. § (3) eleje")</f>
        <v>30. § (3) eleje</v>
      </c>
      <c r="F1629" s="16" t="str">
        <f aca="false">HYPERLINK("https://net.jogtar.hu/jogszabaly?docid=a2400418.kor#pr305id","Jogtár megnyitása")</f>
        <v>Jogtár megnyitása</v>
      </c>
    </row>
    <row r="1630" customFormat="false" ht="66" hidden="false" customHeight="true" outlineLevel="0" collapsed="false">
      <c r="A1630" s="15" t="s">
        <v>6015</v>
      </c>
      <c r="B1630" s="15" t="s">
        <v>1471</v>
      </c>
      <c r="C1630" s="15" t="s">
        <v>3398</v>
      </c>
      <c r="D1630" s="15" t="s">
        <v>6016</v>
      </c>
      <c r="E1630" s="16" t="str">
        <f aca="false">HYPERLINK("#'Forrásszöveg'!A"&amp;(MATCH("VHR-S0306",Forrásszöveg!$A$6:$A$2497,0)+5),"30. § (4) eleje")</f>
        <v>30. § (4) eleje</v>
      </c>
      <c r="F1630" s="16" t="str">
        <f aca="false">HYPERLINK("https://net.jogtar.hu/jogszabaly?docid=a2400418.kor#pr306id","Jogtár megnyitása")</f>
        <v>Jogtár megnyitása</v>
      </c>
    </row>
    <row r="1631" customFormat="false" ht="38" hidden="false" customHeight="true" outlineLevel="0" collapsed="false">
      <c r="A1631" s="15" t="s">
        <v>6017</v>
      </c>
      <c r="B1631" s="15" t="s">
        <v>1471</v>
      </c>
      <c r="C1631" s="15" t="s">
        <v>3401</v>
      </c>
      <c r="D1631" s="15" t="s">
        <v>6018</v>
      </c>
      <c r="E1631" s="16" t="str">
        <f aca="false">HYPERLINK("#'Forrásszöveg'!A"&amp;(MATCH("VHR-S0307",Forrásszöveg!$A$6:$A$2497,0)+5),"30. § (5) eleje")</f>
        <v>30. § (5) eleje</v>
      </c>
      <c r="F1631" s="16" t="str">
        <f aca="false">HYPERLINK("https://net.jogtar.hu/jogszabaly?docid=a2400418.kor#pr307id","Jogtár megnyitása")</f>
        <v>Jogtár megnyitása</v>
      </c>
    </row>
    <row r="1632" customFormat="false" ht="80" hidden="false" customHeight="true" outlineLevel="0" collapsed="false">
      <c r="A1632" s="15" t="s">
        <v>6019</v>
      </c>
      <c r="B1632" s="15" t="s">
        <v>1471</v>
      </c>
      <c r="C1632" s="15" t="s">
        <v>3416</v>
      </c>
      <c r="D1632" s="15" t="s">
        <v>6020</v>
      </c>
      <c r="E1632" s="16" t="str">
        <f aca="false">HYPERLINK("#'Forrásszöveg'!A"&amp;(MATCH("VHR-S0308",Forrásszöveg!$A$6:$A$2497,0)+5),"30. § (6) eleje")</f>
        <v>30. § (6) eleje</v>
      </c>
      <c r="F1632" s="16" t="str">
        <f aca="false">HYPERLINK("https://net.jogtar.hu/jogszabaly?docid=a2400418.kor#pr308id","Jogtár megnyitása")</f>
        <v>Jogtár megnyitása</v>
      </c>
    </row>
    <row r="1633" customFormat="false" ht="38" hidden="false" customHeight="true" outlineLevel="0" collapsed="false">
      <c r="A1633" s="15" t="s">
        <v>6021</v>
      </c>
      <c r="B1633" s="15" t="s">
        <v>1471</v>
      </c>
      <c r="C1633" s="15" t="s">
        <v>1488</v>
      </c>
      <c r="D1633" s="15" t="s">
        <v>1488</v>
      </c>
      <c r="E1633" s="16" t="str">
        <f aca="false">HYPERLINK("#'Forrásszöveg'!A"&amp;(MATCH("VHR-S0303",Forrásszöveg!$A$6:$A$2497,0)+5),"30. § eleje")</f>
        <v>30. § eleje</v>
      </c>
      <c r="F1633" s="16" t="str">
        <f aca="false">HYPERLINK("https://net.jogtar.hu/jogszabaly?docid=a2400418.kor#pr309id","Jogtár megnyitása")</f>
        <v>Jogtár megnyitása</v>
      </c>
    </row>
    <row r="1634" customFormat="false" ht="52" hidden="false" customHeight="true" outlineLevel="0" collapsed="false">
      <c r="A1634" s="15" t="s">
        <v>6022</v>
      </c>
      <c r="B1634" s="15" t="s">
        <v>1471</v>
      </c>
      <c r="C1634" s="15" t="s">
        <v>3446</v>
      </c>
      <c r="D1634" s="15" t="s">
        <v>6023</v>
      </c>
      <c r="E1634" s="16" t="str">
        <f aca="false">HYPERLINK("#'Forrásszöveg'!A"&amp;(MATCH("VHR-S0310",Forrásszöveg!$A$6:$A$2497,0)+5),"31. § (1) eleje")</f>
        <v>31. § (1) eleje</v>
      </c>
      <c r="F1634" s="16" t="str">
        <f aca="false">HYPERLINK("https://net.jogtar.hu/jogszabaly?docid=a2400418.kor#pr310id","Jogtár megnyitása")</f>
        <v>Jogtár megnyitása</v>
      </c>
    </row>
    <row r="1635" customFormat="false" ht="38" hidden="false" customHeight="true" outlineLevel="0" collapsed="false">
      <c r="A1635" s="15" t="s">
        <v>6024</v>
      </c>
      <c r="B1635" s="15" t="s">
        <v>1471</v>
      </c>
      <c r="C1635" s="15" t="s">
        <v>3449</v>
      </c>
      <c r="D1635" s="15" t="s">
        <v>6025</v>
      </c>
      <c r="E1635" s="16" t="str">
        <f aca="false">HYPERLINK("#'Forrásszöveg'!A"&amp;(MATCH("VHR-S0311",Forrásszöveg!$A$6:$A$2497,0)+5),"31. § (2) eleje")</f>
        <v>31. § (2) eleje</v>
      </c>
      <c r="F1635" s="16" t="str">
        <f aca="false">HYPERLINK("https://net.jogtar.hu/jogszabaly?docid=a2400418.kor#pr311id","Jogtár megnyitása")</f>
        <v>Jogtár megnyitása</v>
      </c>
    </row>
    <row r="1636" customFormat="false" ht="38" hidden="false" customHeight="true" outlineLevel="0" collapsed="false">
      <c r="A1636" s="15" t="s">
        <v>6026</v>
      </c>
      <c r="B1636" s="15" t="s">
        <v>1471</v>
      </c>
      <c r="C1636" s="15" t="s">
        <v>6027</v>
      </c>
      <c r="D1636" s="15" t="s">
        <v>6028</v>
      </c>
      <c r="E1636" s="16" t="str">
        <f aca="false">HYPERLINK("#'Forrásszöveg'!A"&amp;(MATCH("VHR-S0312",Forrásszöveg!$A$6:$A$2497,0)+5),"31. § (3) eleje")</f>
        <v>31. § (3) eleje</v>
      </c>
      <c r="F1636" s="16" t="str">
        <f aca="false">HYPERLINK("https://net.jogtar.hu/jogszabaly?docid=a2400418.kor#pr312id","Jogtár megnyitása")</f>
        <v>Jogtár megnyitása</v>
      </c>
    </row>
    <row r="1637" customFormat="false" ht="66" hidden="false" customHeight="true" outlineLevel="0" collapsed="false">
      <c r="A1637" s="15" t="s">
        <v>6029</v>
      </c>
      <c r="B1637" s="15" t="s">
        <v>1471</v>
      </c>
      <c r="C1637" s="15" t="s">
        <v>6030</v>
      </c>
      <c r="D1637" s="15" t="s">
        <v>6031</v>
      </c>
      <c r="E1637" s="16" t="str">
        <f aca="false">HYPERLINK("#'Forrásszöveg'!A"&amp;(MATCH("VHR-S0313",Forrásszöveg!$A$6:$A$2497,0)+5),"31. § (4) eleje")</f>
        <v>31. § (4) eleje</v>
      </c>
      <c r="F1637" s="16" t="str">
        <f aca="false">HYPERLINK("https://net.jogtar.hu/jogszabaly?docid=a2400418.kor#pr313id","Jogtár megnyitása")</f>
        <v>Jogtár megnyitása</v>
      </c>
    </row>
    <row r="1638" customFormat="false" ht="52" hidden="false" customHeight="true" outlineLevel="0" collapsed="false">
      <c r="A1638" s="15" t="s">
        <v>6032</v>
      </c>
      <c r="B1638" s="15" t="s">
        <v>1471</v>
      </c>
      <c r="C1638" s="15" t="s">
        <v>6033</v>
      </c>
      <c r="D1638" s="15" t="s">
        <v>6034</v>
      </c>
      <c r="E1638" s="16" t="str">
        <f aca="false">HYPERLINK("#'Forrásszöveg'!A"&amp;(MATCH("VHR-S0314",Forrásszöveg!$A$6:$A$2497,0)+5),"31. § (5) eleje")</f>
        <v>31. § (5) eleje</v>
      </c>
      <c r="F1638" s="16" t="str">
        <f aca="false">HYPERLINK("https://net.jogtar.hu/jogszabaly?docid=a2400418.kor#pr314id","Jogtár megnyitása")</f>
        <v>Jogtár megnyitása</v>
      </c>
    </row>
    <row r="1639" customFormat="false" ht="38" hidden="false" customHeight="true" outlineLevel="0" collapsed="false">
      <c r="A1639" s="15" t="s">
        <v>6035</v>
      </c>
      <c r="B1639" s="15" t="s">
        <v>1471</v>
      </c>
      <c r="C1639" s="15" t="s">
        <v>1489</v>
      </c>
      <c r="D1639" s="15" t="s">
        <v>1489</v>
      </c>
      <c r="E1639" s="16" t="str">
        <f aca="false">HYPERLINK("#'Forrásszöveg'!A"&amp;(MATCH("VHR-S0310",Forrásszöveg!$A$6:$A$2497,0)+5),"31. § eleje")</f>
        <v>31. § eleje</v>
      </c>
      <c r="F1639" s="16" t="str">
        <f aca="false">HYPERLINK("https://net.jogtar.hu/jogszabaly?docid=a2400418.kor#pr315id","Jogtár megnyitása")</f>
        <v>Jogtár megnyitása</v>
      </c>
    </row>
    <row r="1640" customFormat="false" ht="34" hidden="false" customHeight="true" outlineLevel="0" collapsed="false">
      <c r="A1640" s="15" t="s">
        <v>6036</v>
      </c>
      <c r="B1640" s="15" t="s">
        <v>1471</v>
      </c>
      <c r="C1640" s="15" t="s">
        <v>3460</v>
      </c>
      <c r="D1640" s="15" t="s">
        <v>6037</v>
      </c>
      <c r="E1640" s="16" t="str">
        <f aca="false">HYPERLINK("#'Forrásszöveg'!A"&amp;(MATCH("VHR-S0316",Forrásszöveg!$A$6:$A$2497,0)+5),"32. § (1) eleje")</f>
        <v>32. § (1) eleje</v>
      </c>
      <c r="F1640" s="16" t="str">
        <f aca="false">HYPERLINK("https://net.jogtar.hu/jogszabaly?docid=a2400418.kor#pr316id","Jogtár megnyitása")</f>
        <v>Jogtár megnyitása</v>
      </c>
    </row>
    <row r="1641" customFormat="false" ht="34" hidden="false" customHeight="true" outlineLevel="0" collapsed="false">
      <c r="A1641" s="15" t="s">
        <v>6038</v>
      </c>
      <c r="B1641" s="15" t="s">
        <v>1471</v>
      </c>
      <c r="C1641" s="15" t="s">
        <v>3463</v>
      </c>
      <c r="D1641" s="15" t="s">
        <v>6039</v>
      </c>
      <c r="E1641" s="16" t="str">
        <f aca="false">HYPERLINK("#'Forrásszöveg'!A"&amp;(MATCH("VHR-S0316",Forrásszöveg!$A$6:$A$2497,0)+5),"32. § (1) eleje")</f>
        <v>32. § (1) eleje</v>
      </c>
      <c r="F1641" s="16" t="str">
        <f aca="false">HYPERLINK("https://net.jogtar.hu/jogszabaly?docid=a2400418.kor#pr317id","Jogtár megnyitása")</f>
        <v>Jogtár megnyitása</v>
      </c>
    </row>
    <row r="1642" customFormat="false" ht="34" hidden="false" customHeight="true" outlineLevel="0" collapsed="false">
      <c r="A1642" s="15" t="s">
        <v>6040</v>
      </c>
      <c r="B1642" s="15" t="s">
        <v>1471</v>
      </c>
      <c r="C1642" s="15" t="s">
        <v>3466</v>
      </c>
      <c r="D1642" s="15" t="s">
        <v>6041</v>
      </c>
      <c r="E1642" s="16" t="str">
        <f aca="false">HYPERLINK("#'Forrásszöveg'!A"&amp;(MATCH("VHR-S0316",Forrásszöveg!$A$6:$A$2497,0)+5),"32. § (1) eleje")</f>
        <v>32. § (1) eleje</v>
      </c>
      <c r="F1642" s="16" t="str">
        <f aca="false">HYPERLINK("https://net.jogtar.hu/jogszabaly?docid=a2400418.kor#pr318id","Jogtár megnyitása")</f>
        <v>Jogtár megnyitása</v>
      </c>
    </row>
    <row r="1643" customFormat="false" ht="34" hidden="false" customHeight="true" outlineLevel="0" collapsed="false">
      <c r="A1643" s="15" t="s">
        <v>6042</v>
      </c>
      <c r="B1643" s="15" t="s">
        <v>1471</v>
      </c>
      <c r="C1643" s="15" t="s">
        <v>3460</v>
      </c>
      <c r="D1643" s="15" t="s">
        <v>6043</v>
      </c>
      <c r="E1643" s="16" t="str">
        <f aca="false">HYPERLINK("#'Forrásszöveg'!A"&amp;(MATCH("VHR-S0316",Forrásszöveg!$A$6:$A$2497,0)+5),"32. § (1) eleje")</f>
        <v>32. § (1) eleje</v>
      </c>
      <c r="F1643" s="16" t="str">
        <f aca="false">HYPERLINK("https://net.jogtar.hu/jogszabaly?docid=a2400418.kor#pr319id","Jogtár megnyitása")</f>
        <v>Jogtár megnyitása</v>
      </c>
    </row>
    <row r="1644" customFormat="false" ht="52" hidden="false" customHeight="true" outlineLevel="0" collapsed="false">
      <c r="A1644" s="15" t="s">
        <v>6044</v>
      </c>
      <c r="B1644" s="15" t="s">
        <v>1471</v>
      </c>
      <c r="C1644" s="15" t="s">
        <v>3472</v>
      </c>
      <c r="D1644" s="15" t="s">
        <v>6045</v>
      </c>
      <c r="E1644" s="16" t="str">
        <f aca="false">HYPERLINK("#'Forrásszöveg'!A"&amp;(MATCH("VHR-S0320",Forrásszöveg!$A$6:$A$2497,0)+5),"32. § (2) eleje")</f>
        <v>32. § (2) eleje</v>
      </c>
      <c r="F1644" s="16" t="str">
        <f aca="false">HYPERLINK("https://net.jogtar.hu/jogszabaly?docid=a2400418.kor#pr320id","Jogtár megnyitása")</f>
        <v>Jogtár megnyitása</v>
      </c>
    </row>
    <row r="1645" customFormat="false" ht="66" hidden="false" customHeight="true" outlineLevel="0" collapsed="false">
      <c r="A1645" s="15" t="s">
        <v>6046</v>
      </c>
      <c r="B1645" s="15" t="s">
        <v>1471</v>
      </c>
      <c r="C1645" s="15" t="s">
        <v>3479</v>
      </c>
      <c r="D1645" s="15" t="s">
        <v>6047</v>
      </c>
      <c r="E1645" s="16" t="str">
        <f aca="false">HYPERLINK("#'Forrásszöveg'!A"&amp;(MATCH("VHR-S0321",Forrásszöveg!$A$6:$A$2497,0)+5),"33. § (1) eleje")</f>
        <v>33. § (1) eleje</v>
      </c>
      <c r="F1645" s="16" t="str">
        <f aca="false">HYPERLINK("https://net.jogtar.hu/jogszabaly?docid=a2400418.kor#pr321id","Jogtár megnyitása")</f>
        <v>Jogtár megnyitása</v>
      </c>
    </row>
    <row r="1646" customFormat="false" ht="34" hidden="false" customHeight="true" outlineLevel="0" collapsed="false">
      <c r="A1646" s="15" t="s">
        <v>6048</v>
      </c>
      <c r="B1646" s="15" t="s">
        <v>1471</v>
      </c>
      <c r="C1646" s="15" t="s">
        <v>3482</v>
      </c>
      <c r="D1646" s="15" t="s">
        <v>6049</v>
      </c>
      <c r="E1646" s="16" t="str">
        <f aca="false">HYPERLINK("#'Forrásszöveg'!A"&amp;(MATCH("VHR-S0322",Forrásszöveg!$A$6:$A$2497,0)+5),"33. § (2) eleje")</f>
        <v>33. § (2) eleje</v>
      </c>
      <c r="F1646" s="16" t="str">
        <f aca="false">HYPERLINK("https://net.jogtar.hu/jogszabaly?docid=a2400418.kor#pr322id","Jogtár megnyitása")</f>
        <v>Jogtár megnyitása</v>
      </c>
    </row>
    <row r="1647" customFormat="false" ht="34" hidden="false" customHeight="true" outlineLevel="0" collapsed="false">
      <c r="A1647" s="15" t="s">
        <v>6050</v>
      </c>
      <c r="B1647" s="15" t="s">
        <v>1471</v>
      </c>
      <c r="C1647" s="15" t="s">
        <v>6051</v>
      </c>
      <c r="D1647" s="15" t="s">
        <v>6052</v>
      </c>
      <c r="E1647" s="16" t="str">
        <f aca="false">HYPERLINK("#'Forrásszöveg'!A"&amp;(MATCH("VHR-S0322",Forrásszöveg!$A$6:$A$2497,0)+5),"33. § (2) eleje")</f>
        <v>33. § (2) eleje</v>
      </c>
      <c r="F1647" s="16" t="str">
        <f aca="false">HYPERLINK("https://net.jogtar.hu/jogszabaly?docid=a2400418.kor#pr323id","Jogtár megnyitása")</f>
        <v>Jogtár megnyitása</v>
      </c>
    </row>
    <row r="1648" customFormat="false" ht="34" hidden="false" customHeight="true" outlineLevel="0" collapsed="false">
      <c r="A1648" s="15" t="s">
        <v>6053</v>
      </c>
      <c r="B1648" s="15" t="s">
        <v>1471</v>
      </c>
      <c r="C1648" s="15" t="s">
        <v>6054</v>
      </c>
      <c r="D1648" s="15" t="s">
        <v>6055</v>
      </c>
      <c r="E1648" s="16" t="str">
        <f aca="false">HYPERLINK("#'Forrásszöveg'!A"&amp;(MATCH("VHR-S0322",Forrásszöveg!$A$6:$A$2497,0)+5),"33. § (2) eleje")</f>
        <v>33. § (2) eleje</v>
      </c>
      <c r="F1648" s="16" t="str">
        <f aca="false">HYPERLINK("https://net.jogtar.hu/jogszabaly?docid=a2400418.kor#pr324id","Jogtár megnyitása")</f>
        <v>Jogtár megnyitása</v>
      </c>
    </row>
    <row r="1649" customFormat="false" ht="34" hidden="false" customHeight="true" outlineLevel="0" collapsed="false">
      <c r="A1649" s="15" t="s">
        <v>6056</v>
      </c>
      <c r="B1649" s="15" t="s">
        <v>1471</v>
      </c>
      <c r="C1649" s="15" t="s">
        <v>6057</v>
      </c>
      <c r="D1649" s="15" t="s">
        <v>6058</v>
      </c>
      <c r="E1649" s="16" t="str">
        <f aca="false">HYPERLINK("#'Forrásszöveg'!A"&amp;(MATCH("VHR-S0322",Forrásszöveg!$A$6:$A$2497,0)+5),"33. § (2) eleje")</f>
        <v>33. § (2) eleje</v>
      </c>
      <c r="F1649" s="16" t="str">
        <f aca="false">HYPERLINK("https://net.jogtar.hu/jogszabaly?docid=a2400418.kor#pr325id","Jogtár megnyitása")</f>
        <v>Jogtár megnyitása</v>
      </c>
    </row>
    <row r="1650" customFormat="false" ht="38" hidden="false" customHeight="true" outlineLevel="0" collapsed="false">
      <c r="A1650" s="15" t="s">
        <v>6059</v>
      </c>
      <c r="B1650" s="15" t="s">
        <v>1471</v>
      </c>
      <c r="C1650" s="15" t="s">
        <v>6060</v>
      </c>
      <c r="D1650" s="15" t="s">
        <v>6061</v>
      </c>
      <c r="E1650" s="16" t="str">
        <f aca="false">HYPERLINK("#'Forrásszöveg'!A"&amp;(MATCH("VHR-S0322",Forrásszöveg!$A$6:$A$2497,0)+5),"33. § (2) eleje")</f>
        <v>33. § (2) eleje</v>
      </c>
      <c r="F1650" s="16" t="str">
        <f aca="false">HYPERLINK("https://net.jogtar.hu/jogszabaly?docid=a2400418.kor#pr326id","Jogtár megnyitása")</f>
        <v>Jogtár megnyitása</v>
      </c>
    </row>
    <row r="1651" customFormat="false" ht="34" hidden="false" customHeight="true" outlineLevel="0" collapsed="false">
      <c r="A1651" s="15" t="s">
        <v>6062</v>
      </c>
      <c r="B1651" s="15" t="s">
        <v>1471</v>
      </c>
      <c r="C1651" s="15" t="s">
        <v>3485</v>
      </c>
      <c r="D1651" s="15" t="s">
        <v>6063</v>
      </c>
      <c r="E1651" s="16" t="str">
        <f aca="false">HYPERLINK("#'Forrásszöveg'!A"&amp;(MATCH("VHR-S0327",Forrásszöveg!$A$6:$A$2497,0)+5),"33. § (3) eleje")</f>
        <v>33. § (3) eleje</v>
      </c>
      <c r="F1651" s="16" t="str">
        <f aca="false">HYPERLINK("https://net.jogtar.hu/jogszabaly?docid=a2400418.kor#pr327id","Jogtár megnyitása")</f>
        <v>Jogtár megnyitása</v>
      </c>
    </row>
    <row r="1652" customFormat="false" ht="52" hidden="false" customHeight="true" outlineLevel="0" collapsed="false">
      <c r="A1652" s="15" t="s">
        <v>6064</v>
      </c>
      <c r="B1652" s="15" t="s">
        <v>1471</v>
      </c>
      <c r="C1652" s="15" t="s">
        <v>3521</v>
      </c>
      <c r="D1652" s="15" t="s">
        <v>6065</v>
      </c>
      <c r="E1652" s="16" t="str">
        <f aca="false">HYPERLINK("#'Forrásszöveg'!A"&amp;(MATCH("VHR-S0328",Forrásszöveg!$A$6:$A$2497,0)+5),"34. § (1) eleje")</f>
        <v>34. § (1) eleje</v>
      </c>
      <c r="F1652" s="16" t="str">
        <f aca="false">HYPERLINK("https://net.jogtar.hu/jogszabaly?docid=a2400418.kor#pr328id","Jogtár megnyitása")</f>
        <v>Jogtár megnyitása</v>
      </c>
    </row>
    <row r="1653" customFormat="false" ht="34" hidden="false" customHeight="true" outlineLevel="0" collapsed="false">
      <c r="A1653" s="15" t="s">
        <v>6066</v>
      </c>
      <c r="B1653" s="15" t="s">
        <v>1471</v>
      </c>
      <c r="C1653" s="15" t="s">
        <v>6067</v>
      </c>
      <c r="D1653" s="15" t="s">
        <v>6068</v>
      </c>
      <c r="E1653" s="16" t="str">
        <f aca="false">HYPERLINK("#'Forrásszöveg'!A"&amp;(MATCH("VHR-S0328",Forrásszöveg!$A$6:$A$2497,0)+5),"34. § (1) eleje")</f>
        <v>34. § (1) eleje</v>
      </c>
      <c r="F1653" s="16" t="str">
        <f aca="false">HYPERLINK("https://net.jogtar.hu/jogszabaly?docid=a2400418.kor#pr329id","Jogtár megnyitása")</f>
        <v>Jogtár megnyitása</v>
      </c>
    </row>
    <row r="1654" customFormat="false" ht="38" hidden="false" customHeight="true" outlineLevel="0" collapsed="false">
      <c r="A1654" s="15" t="s">
        <v>6069</v>
      </c>
      <c r="B1654" s="15" t="s">
        <v>1471</v>
      </c>
      <c r="C1654" s="15" t="s">
        <v>6070</v>
      </c>
      <c r="D1654" s="15" t="s">
        <v>6071</v>
      </c>
      <c r="E1654" s="16" t="str">
        <f aca="false">HYPERLINK("#'Forrásszöveg'!A"&amp;(MATCH("VHR-S0328",Forrásszöveg!$A$6:$A$2497,0)+5),"34. § (1) eleje")</f>
        <v>34. § (1) eleje</v>
      </c>
      <c r="F1654" s="16" t="str">
        <f aca="false">HYPERLINK("https://net.jogtar.hu/jogszabaly?docid=a2400418.kor#pr330id","Jogtár megnyitása")</f>
        <v>Jogtár megnyitása</v>
      </c>
    </row>
    <row r="1655" customFormat="false" ht="52" hidden="false" customHeight="true" outlineLevel="0" collapsed="false">
      <c r="A1655" s="15" t="s">
        <v>6072</v>
      </c>
      <c r="B1655" s="15" t="s">
        <v>1471</v>
      </c>
      <c r="C1655" s="15" t="s">
        <v>6073</v>
      </c>
      <c r="D1655" s="15" t="s">
        <v>6074</v>
      </c>
      <c r="E1655" s="16" t="str">
        <f aca="false">HYPERLINK("#'Forrásszöveg'!A"&amp;(MATCH("VHR-S0328",Forrásszöveg!$A$6:$A$2497,0)+5),"34. § (1) eleje")</f>
        <v>34. § (1) eleje</v>
      </c>
      <c r="F1655" s="16" t="str">
        <f aca="false">HYPERLINK("https://net.jogtar.hu/jogszabaly?docid=a2400418.kor#pr331id","Jogtár megnyitása")</f>
        <v>Jogtár megnyitása</v>
      </c>
    </row>
    <row r="1656" customFormat="false" ht="38" hidden="false" customHeight="true" outlineLevel="0" collapsed="false">
      <c r="A1656" s="15" t="s">
        <v>6075</v>
      </c>
      <c r="B1656" s="15" t="s">
        <v>1471</v>
      </c>
      <c r="C1656" s="15" t="s">
        <v>6076</v>
      </c>
      <c r="D1656" s="15" t="s">
        <v>6077</v>
      </c>
      <c r="E1656" s="16" t="str">
        <f aca="false">HYPERLINK("#'Forrásszöveg'!A"&amp;(MATCH("VHR-S0328",Forrásszöveg!$A$6:$A$2497,0)+5),"34. § (1) eleje")</f>
        <v>34. § (1) eleje</v>
      </c>
      <c r="F1656" s="16" t="str">
        <f aca="false">HYPERLINK("https://net.jogtar.hu/jogszabaly?docid=a2400418.kor#pr332id","Jogtár megnyitása")</f>
        <v>Jogtár megnyitása</v>
      </c>
    </row>
    <row r="1657" customFormat="false" ht="52" hidden="false" customHeight="true" outlineLevel="0" collapsed="false">
      <c r="A1657" s="15" t="s">
        <v>6078</v>
      </c>
      <c r="B1657" s="15" t="s">
        <v>1471</v>
      </c>
      <c r="C1657" s="15" t="s">
        <v>3524</v>
      </c>
      <c r="D1657" s="15" t="s">
        <v>6079</v>
      </c>
      <c r="E1657" s="16" t="str">
        <f aca="false">HYPERLINK("#'Forrásszöveg'!A"&amp;(MATCH("VHR-S0333",Forrásszöveg!$A$6:$A$2497,0)+5),"34. § (2) eleje")</f>
        <v>34. § (2) eleje</v>
      </c>
      <c r="F1657" s="16" t="str">
        <f aca="false">HYPERLINK("https://net.jogtar.hu/jogszabaly?docid=a2400418.kor#pr333id","Jogtár megnyitása")</f>
        <v>Jogtár megnyitása</v>
      </c>
    </row>
    <row r="1658" customFormat="false" ht="52" hidden="false" customHeight="true" outlineLevel="0" collapsed="false">
      <c r="A1658" s="15" t="s">
        <v>6080</v>
      </c>
      <c r="B1658" s="15" t="s">
        <v>1471</v>
      </c>
      <c r="C1658" s="15" t="s">
        <v>6081</v>
      </c>
      <c r="D1658" s="15" t="s">
        <v>6082</v>
      </c>
      <c r="E1658" s="16" t="str">
        <f aca="false">HYPERLINK("#'Forrásszöveg'!A"&amp;(MATCH("VHR-S0334",Forrásszöveg!$A$6:$A$2497,0)+5),"34. § (3) eleje")</f>
        <v>34. § (3) eleje</v>
      </c>
      <c r="F1658" s="16" t="str">
        <f aca="false">HYPERLINK("https://net.jogtar.hu/jogszabaly?docid=a2400418.kor#pr334id","Jogtár megnyitása")</f>
        <v>Jogtár megnyitása</v>
      </c>
    </row>
    <row r="1659" customFormat="false" ht="52" hidden="false" customHeight="true" outlineLevel="0" collapsed="false">
      <c r="A1659" s="15" t="s">
        <v>6083</v>
      </c>
      <c r="B1659" s="15" t="s">
        <v>1471</v>
      </c>
      <c r="C1659" s="15" t="s">
        <v>3527</v>
      </c>
      <c r="D1659" s="15" t="s">
        <v>6084</v>
      </c>
      <c r="E1659" s="16" t="str">
        <f aca="false">HYPERLINK("#'Forrásszöveg'!A"&amp;(MATCH("VHR-S0335",Forrásszöveg!$A$6:$A$2497,0)+5),"35. § (1) eleje")</f>
        <v>35. § (1) eleje</v>
      </c>
      <c r="F1659" s="16" t="str">
        <f aca="false">HYPERLINK("https://net.jogtar.hu/jogszabaly?docid=a2400418.kor#pr335id","Jogtár megnyitása")</f>
        <v>Jogtár megnyitása</v>
      </c>
    </row>
    <row r="1660" customFormat="false" ht="34" hidden="false" customHeight="true" outlineLevel="0" collapsed="false">
      <c r="A1660" s="15" t="s">
        <v>6085</v>
      </c>
      <c r="B1660" s="15" t="s">
        <v>1471</v>
      </c>
      <c r="C1660" s="15" t="s">
        <v>3530</v>
      </c>
      <c r="D1660" s="15" t="s">
        <v>6086</v>
      </c>
      <c r="E1660" s="16" t="str">
        <f aca="false">HYPERLINK("#'Forrásszöveg'!A"&amp;(MATCH("VHR-S0336",Forrásszöveg!$A$6:$A$2497,0)+5),"35. § (2) eleje")</f>
        <v>35. § (2) eleje</v>
      </c>
      <c r="F1660" s="16" t="str">
        <f aca="false">HYPERLINK("https://net.jogtar.hu/jogszabaly?docid=a2400418.kor#pr336id","Jogtár megnyitása")</f>
        <v>Jogtár megnyitása</v>
      </c>
    </row>
    <row r="1661" customFormat="false" ht="38" hidden="false" customHeight="true" outlineLevel="0" collapsed="false">
      <c r="A1661" s="15" t="s">
        <v>6087</v>
      </c>
      <c r="B1661" s="15" t="s">
        <v>1471</v>
      </c>
      <c r="C1661" s="15" t="s">
        <v>6088</v>
      </c>
      <c r="D1661" s="15" t="s">
        <v>6089</v>
      </c>
      <c r="E1661" s="16" t="str">
        <f aca="false">HYPERLINK("#'Forrásszöveg'!A"&amp;(MATCH("VHR-S0337",Forrásszöveg!$A$6:$A$2497,0)+5),"35. § (3) eleje")</f>
        <v>35. § (3) eleje</v>
      </c>
      <c r="F1661" s="16" t="str">
        <f aca="false">HYPERLINK("https://net.jogtar.hu/jogszabaly?docid=a2400418.kor#pr337id","Jogtár megnyitása")</f>
        <v>Jogtár megnyitása</v>
      </c>
    </row>
    <row r="1662" customFormat="false" ht="66" hidden="false" customHeight="true" outlineLevel="0" collapsed="false">
      <c r="A1662" s="15" t="s">
        <v>6090</v>
      </c>
      <c r="B1662" s="15" t="s">
        <v>1471</v>
      </c>
      <c r="C1662" s="15" t="s">
        <v>1362</v>
      </c>
      <c r="D1662" s="15" t="s">
        <v>6091</v>
      </c>
      <c r="E1662" s="16" t="str">
        <f aca="false">HYPERLINK("#'Forrásszöveg'!A"&amp;(MATCH("VHR-S0338",Forrásszöveg!$A$6:$A$2497,0)+5),"36. § eleje")</f>
        <v>36. § eleje</v>
      </c>
      <c r="F1662" s="16" t="str">
        <f aca="false">HYPERLINK("https://net.jogtar.hu/jogszabaly?docid=a2400418.kor#pr338id","Jogtár megnyitása")</f>
        <v>Jogtár megnyitása</v>
      </c>
    </row>
    <row r="1663" customFormat="false" ht="34" hidden="false" customHeight="true" outlineLevel="0" collapsed="false">
      <c r="A1663" s="15" t="s">
        <v>6092</v>
      </c>
      <c r="B1663" s="15" t="s">
        <v>1471</v>
      </c>
      <c r="C1663" s="15" t="s">
        <v>1490</v>
      </c>
      <c r="D1663" s="15" t="s">
        <v>1490</v>
      </c>
      <c r="E1663" s="16" t="str">
        <f aca="false">HYPERLINK("#'Forrásszöveg'!A"&amp;(MATCH("VHR-S0338",Forrásszöveg!$A$6:$A$2497,0)+5),"36. § eleje")</f>
        <v>36. § eleje</v>
      </c>
      <c r="F1663" s="16" t="str">
        <f aca="false">HYPERLINK("https://net.jogtar.hu/jogszabaly?docid=a2400418.kor#pr339id","Jogtár megnyitása")</f>
        <v>Jogtár megnyitása</v>
      </c>
    </row>
    <row r="1664" customFormat="false" ht="66" hidden="false" customHeight="true" outlineLevel="0" collapsed="false">
      <c r="A1664" s="15" t="s">
        <v>6093</v>
      </c>
      <c r="B1664" s="15" t="s">
        <v>1471</v>
      </c>
      <c r="C1664" s="15" t="s">
        <v>6094</v>
      </c>
      <c r="D1664" s="15" t="s">
        <v>6095</v>
      </c>
      <c r="E1664" s="16" t="str">
        <f aca="false">HYPERLINK("#'Forrásszöveg'!A"&amp;(MATCH("VHR-S0340",Forrásszöveg!$A$6:$A$2497,0)+5),"37. § (1) eleje")</f>
        <v>37. § (1) eleje</v>
      </c>
      <c r="F1664" s="16" t="str">
        <f aca="false">HYPERLINK("https://net.jogtar.hu/jogszabaly?docid=a2400418.kor#pr340id","Jogtár megnyitása")</f>
        <v>Jogtár megnyitása</v>
      </c>
    </row>
    <row r="1665" customFormat="false" ht="66" hidden="false" customHeight="true" outlineLevel="0" collapsed="false">
      <c r="A1665" s="15" t="s">
        <v>6096</v>
      </c>
      <c r="B1665" s="15" t="s">
        <v>1471</v>
      </c>
      <c r="C1665" s="15" t="s">
        <v>6097</v>
      </c>
      <c r="D1665" s="15" t="s">
        <v>6098</v>
      </c>
      <c r="E1665" s="16" t="str">
        <f aca="false">HYPERLINK("#'Forrásszöveg'!A"&amp;(MATCH("VHR-S0341",Forrásszöveg!$A$6:$A$2497,0)+5),"37. § (2) eleje")</f>
        <v>37. § (2) eleje</v>
      </c>
      <c r="F1665" s="16" t="str">
        <f aca="false">HYPERLINK("https://net.jogtar.hu/jogszabaly?docid=a2400418.kor#pr341id","Jogtár megnyitása")</f>
        <v>Jogtár megnyitása</v>
      </c>
    </row>
    <row r="1666" customFormat="false" ht="52" hidden="false" customHeight="true" outlineLevel="0" collapsed="false">
      <c r="A1666" s="15" t="s">
        <v>6099</v>
      </c>
      <c r="B1666" s="15" t="s">
        <v>1471</v>
      </c>
      <c r="C1666" s="15" t="s">
        <v>6100</v>
      </c>
      <c r="D1666" s="15" t="s">
        <v>6101</v>
      </c>
      <c r="E1666" s="16" t="str">
        <f aca="false">HYPERLINK("#'Forrásszöveg'!A"&amp;(MATCH("VHR-S0342",Forrásszöveg!$A$6:$A$2497,0)+5),"37. § (3) eleje")</f>
        <v>37. § (3) eleje</v>
      </c>
      <c r="F1666" s="16" t="str">
        <f aca="false">HYPERLINK("https://net.jogtar.hu/jogszabaly?docid=a2400418.kor#pr342id","Jogtár megnyitása")</f>
        <v>Jogtár megnyitása</v>
      </c>
    </row>
    <row r="1667" customFormat="false" ht="52" hidden="false" customHeight="true" outlineLevel="0" collapsed="false">
      <c r="A1667" s="15" t="s">
        <v>6102</v>
      </c>
      <c r="B1667" s="15" t="s">
        <v>1471</v>
      </c>
      <c r="C1667" s="15" t="s">
        <v>6103</v>
      </c>
      <c r="D1667" s="15" t="s">
        <v>6104</v>
      </c>
      <c r="E1667" s="16" t="str">
        <f aca="false">HYPERLINK("#'Forrásszöveg'!A"&amp;(MATCH("VHR-S0343",Forrásszöveg!$A$6:$A$2497,0)+5),"37. § (4) eleje")</f>
        <v>37. § (4) eleje</v>
      </c>
      <c r="F1667" s="16" t="str">
        <f aca="false">HYPERLINK("https://net.jogtar.hu/jogszabaly?docid=a2400418.kor#pr343id","Jogtár megnyitása")</f>
        <v>Jogtár megnyitása</v>
      </c>
    </row>
    <row r="1668" customFormat="false" ht="38" hidden="false" customHeight="true" outlineLevel="0" collapsed="false">
      <c r="A1668" s="15" t="s">
        <v>6105</v>
      </c>
      <c r="B1668" s="15" t="s">
        <v>1471</v>
      </c>
      <c r="C1668" s="15" t="s">
        <v>6106</v>
      </c>
      <c r="D1668" s="15" t="s">
        <v>6107</v>
      </c>
      <c r="E1668" s="16" t="str">
        <f aca="false">HYPERLINK("#'Forrásszöveg'!A"&amp;(MATCH("VHR-S0344",Forrásszöveg!$A$6:$A$2497,0)+5),"38. § (1) eleje")</f>
        <v>38. § (1) eleje</v>
      </c>
      <c r="F1668" s="16" t="str">
        <f aca="false">HYPERLINK("https://net.jogtar.hu/jogszabaly?docid=a2400418.kor#pr344id","Jogtár megnyitása")</f>
        <v>Jogtár megnyitása</v>
      </c>
    </row>
    <row r="1669" customFormat="false" ht="38" hidden="false" customHeight="true" outlineLevel="0" collapsed="false">
      <c r="A1669" s="15" t="s">
        <v>6108</v>
      </c>
      <c r="B1669" s="15" t="s">
        <v>1471</v>
      </c>
      <c r="C1669" s="15" t="s">
        <v>6109</v>
      </c>
      <c r="D1669" s="15" t="s">
        <v>6110</v>
      </c>
      <c r="E1669" s="16" t="str">
        <f aca="false">HYPERLINK("#'Forrásszöveg'!A"&amp;(MATCH("VHR-S0344",Forrásszöveg!$A$6:$A$2497,0)+5),"38. § (1) eleje")</f>
        <v>38. § (1) eleje</v>
      </c>
      <c r="F1669" s="16" t="str">
        <f aca="false">HYPERLINK("https://net.jogtar.hu/jogszabaly?docid=a2400418.kor#pr345id","Jogtár megnyitása")</f>
        <v>Jogtár megnyitása</v>
      </c>
    </row>
    <row r="1670" customFormat="false" ht="34" hidden="false" customHeight="true" outlineLevel="0" collapsed="false">
      <c r="A1670" s="15" t="s">
        <v>6111</v>
      </c>
      <c r="B1670" s="15" t="s">
        <v>1471</v>
      </c>
      <c r="C1670" s="15" t="s">
        <v>6112</v>
      </c>
      <c r="D1670" s="15" t="s">
        <v>6113</v>
      </c>
      <c r="E1670" s="16" t="str">
        <f aca="false">HYPERLINK("#'Forrásszöveg'!A"&amp;(MATCH("VHR-S0344",Forrásszöveg!$A$6:$A$2497,0)+5),"38. § (1) eleje")</f>
        <v>38. § (1) eleje</v>
      </c>
      <c r="F1670" s="16" t="str">
        <f aca="false">HYPERLINK("https://net.jogtar.hu/jogszabaly?docid=a2400418.kor#pr346id","Jogtár megnyitása")</f>
        <v>Jogtár megnyitása</v>
      </c>
    </row>
    <row r="1671" customFormat="false" ht="38" hidden="false" customHeight="true" outlineLevel="0" collapsed="false">
      <c r="A1671" s="15" t="s">
        <v>6114</v>
      </c>
      <c r="B1671" s="15" t="s">
        <v>1471</v>
      </c>
      <c r="C1671" s="15" t="s">
        <v>6115</v>
      </c>
      <c r="D1671" s="15" t="s">
        <v>6116</v>
      </c>
      <c r="E1671" s="16" t="str">
        <f aca="false">HYPERLINK("#'Forrásszöveg'!A"&amp;(MATCH("VHR-S0344",Forrásszöveg!$A$6:$A$2497,0)+5),"38. § (1) eleje")</f>
        <v>38. § (1) eleje</v>
      </c>
      <c r="F1671" s="16" t="str">
        <f aca="false">HYPERLINK("https://net.jogtar.hu/jogszabaly?docid=a2400418.kor#pr347id","Jogtár megnyitása")</f>
        <v>Jogtár megnyitása</v>
      </c>
    </row>
    <row r="1672" customFormat="false" ht="34" hidden="false" customHeight="true" outlineLevel="0" collapsed="false">
      <c r="A1672" s="15" t="s">
        <v>6117</v>
      </c>
      <c r="B1672" s="15" t="s">
        <v>1471</v>
      </c>
      <c r="C1672" s="15" t="s">
        <v>6118</v>
      </c>
      <c r="D1672" s="15" t="s">
        <v>6119</v>
      </c>
      <c r="E1672" s="16" t="str">
        <f aca="false">HYPERLINK("#'Forrásszöveg'!A"&amp;(MATCH("VHR-S0344",Forrásszöveg!$A$6:$A$2497,0)+5),"38. § (1) eleje")</f>
        <v>38. § (1) eleje</v>
      </c>
      <c r="F1672" s="16" t="str">
        <f aca="false">HYPERLINK("https://net.jogtar.hu/jogszabaly?docid=a2400418.kor#pr348id","Jogtár megnyitása")</f>
        <v>Jogtár megnyitása</v>
      </c>
    </row>
    <row r="1673" customFormat="false" ht="38" hidden="false" customHeight="true" outlineLevel="0" collapsed="false">
      <c r="A1673" s="15" t="s">
        <v>6120</v>
      </c>
      <c r="B1673" s="15" t="s">
        <v>1471</v>
      </c>
      <c r="C1673" s="15" t="s">
        <v>6121</v>
      </c>
      <c r="D1673" s="15" t="s">
        <v>6122</v>
      </c>
      <c r="E1673" s="16" t="str">
        <f aca="false">HYPERLINK("#'Forrásszöveg'!A"&amp;(MATCH("VHR-S0344",Forrásszöveg!$A$6:$A$2497,0)+5),"38. § (1) eleje")</f>
        <v>38. § (1) eleje</v>
      </c>
      <c r="F1673" s="16" t="str">
        <f aca="false">HYPERLINK("https://net.jogtar.hu/jogszabaly?docid=a2400418.kor#pr349id","Jogtár megnyitása")</f>
        <v>Jogtár megnyitása</v>
      </c>
    </row>
    <row r="1674" customFormat="false" ht="34" hidden="false" customHeight="true" outlineLevel="0" collapsed="false">
      <c r="A1674" s="15" t="s">
        <v>6123</v>
      </c>
      <c r="B1674" s="15" t="s">
        <v>1471</v>
      </c>
      <c r="C1674" s="15" t="s">
        <v>6124</v>
      </c>
      <c r="D1674" s="15" t="s">
        <v>6125</v>
      </c>
      <c r="E1674" s="16" t="str">
        <f aca="false">HYPERLINK("#'Forrásszöveg'!A"&amp;(MATCH("VHR-S0344",Forrásszöveg!$A$6:$A$2497,0)+5),"38. § (1) eleje")</f>
        <v>38. § (1) eleje</v>
      </c>
      <c r="F1674" s="16" t="str">
        <f aca="false">HYPERLINK("https://net.jogtar.hu/jogszabaly?docid=a2400418.kor#pr350id","Jogtár megnyitása")</f>
        <v>Jogtár megnyitása</v>
      </c>
    </row>
    <row r="1675" customFormat="false" ht="34" hidden="false" customHeight="true" outlineLevel="0" collapsed="false">
      <c r="A1675" s="15" t="s">
        <v>6126</v>
      </c>
      <c r="B1675" s="15" t="s">
        <v>1471</v>
      </c>
      <c r="C1675" s="15" t="s">
        <v>6127</v>
      </c>
      <c r="D1675" s="15" t="s">
        <v>6128</v>
      </c>
      <c r="E1675" s="16" t="str">
        <f aca="false">HYPERLINK("#'Forrásszöveg'!A"&amp;(MATCH("VHR-S0344",Forrásszöveg!$A$6:$A$2497,0)+5),"38. § (1) eleje")</f>
        <v>38. § (1) eleje</v>
      </c>
      <c r="F1675" s="16" t="str">
        <f aca="false">HYPERLINK("https://net.jogtar.hu/jogszabaly?docid=a2400418.kor#pr351id","Jogtár megnyitása")</f>
        <v>Jogtár megnyitása</v>
      </c>
    </row>
    <row r="1676" customFormat="false" ht="34" hidden="false" customHeight="true" outlineLevel="0" collapsed="false">
      <c r="A1676" s="15" t="s">
        <v>6129</v>
      </c>
      <c r="B1676" s="15" t="s">
        <v>1471</v>
      </c>
      <c r="C1676" s="15" t="s">
        <v>6130</v>
      </c>
      <c r="D1676" s="15" t="s">
        <v>6131</v>
      </c>
      <c r="E1676" s="16" t="str">
        <f aca="false">HYPERLINK("#'Forrásszöveg'!A"&amp;(MATCH("VHR-S0344",Forrásszöveg!$A$6:$A$2497,0)+5),"38. § (1) eleje")</f>
        <v>38. § (1) eleje</v>
      </c>
      <c r="F1676" s="16" t="str">
        <f aca="false">HYPERLINK("https://net.jogtar.hu/jogszabaly?docid=a2400418.kor#pr352id","Jogtár megnyitása")</f>
        <v>Jogtár megnyitása</v>
      </c>
    </row>
    <row r="1677" customFormat="false" ht="38" hidden="false" customHeight="true" outlineLevel="0" collapsed="false">
      <c r="A1677" s="15" t="s">
        <v>6132</v>
      </c>
      <c r="B1677" s="15" t="s">
        <v>1471</v>
      </c>
      <c r="C1677" s="15" t="s">
        <v>6133</v>
      </c>
      <c r="D1677" s="15" t="s">
        <v>6134</v>
      </c>
      <c r="E1677" s="16" t="str">
        <f aca="false">HYPERLINK("#'Forrásszöveg'!A"&amp;(MATCH("VHR-S0344",Forrásszöveg!$A$6:$A$2497,0)+5),"38. § (1) eleje")</f>
        <v>38. § (1) eleje</v>
      </c>
      <c r="F1677" s="16" t="str">
        <f aca="false">HYPERLINK("https://net.jogtar.hu/jogszabaly?docid=a2400418.kor#pr353id","Jogtár megnyitása")</f>
        <v>Jogtár megnyitása</v>
      </c>
    </row>
    <row r="1678" customFormat="false" ht="34" hidden="false" customHeight="true" outlineLevel="0" collapsed="false">
      <c r="A1678" s="15" t="s">
        <v>6135</v>
      </c>
      <c r="B1678" s="15" t="s">
        <v>1471</v>
      </c>
      <c r="C1678" s="15" t="s">
        <v>6136</v>
      </c>
      <c r="D1678" s="15" t="s">
        <v>6137</v>
      </c>
      <c r="E1678" s="16" t="str">
        <f aca="false">HYPERLINK("#'Forrásszöveg'!A"&amp;(MATCH("VHR-S0344",Forrásszöveg!$A$6:$A$2497,0)+5),"38. § (1) eleje")</f>
        <v>38. § (1) eleje</v>
      </c>
      <c r="F1678" s="16" t="str">
        <f aca="false">HYPERLINK("https://net.jogtar.hu/jogszabaly?docid=a2400418.kor#pr354id","Jogtár megnyitása")</f>
        <v>Jogtár megnyitása</v>
      </c>
    </row>
    <row r="1679" customFormat="false" ht="38" hidden="false" customHeight="true" outlineLevel="0" collapsed="false">
      <c r="A1679" s="15" t="s">
        <v>6138</v>
      </c>
      <c r="B1679" s="15" t="s">
        <v>1471</v>
      </c>
      <c r="C1679" s="15" t="s">
        <v>6139</v>
      </c>
      <c r="D1679" s="15" t="s">
        <v>6140</v>
      </c>
      <c r="E1679" s="16" t="str">
        <f aca="false">HYPERLINK("#'Forrásszöveg'!A"&amp;(MATCH("VHR-S0344",Forrásszöveg!$A$6:$A$2497,0)+5),"38. § (1) eleje")</f>
        <v>38. § (1) eleje</v>
      </c>
      <c r="F1679" s="16" t="str">
        <f aca="false">HYPERLINK("https://net.jogtar.hu/jogszabaly?docid=a2400418.kor#pr355id","Jogtár megnyitása")</f>
        <v>Jogtár megnyitása</v>
      </c>
    </row>
    <row r="1680" customFormat="false" ht="34" hidden="false" customHeight="true" outlineLevel="0" collapsed="false">
      <c r="A1680" s="15" t="s">
        <v>6141</v>
      </c>
      <c r="B1680" s="15" t="s">
        <v>1471</v>
      </c>
      <c r="C1680" s="15" t="s">
        <v>6142</v>
      </c>
      <c r="D1680" s="15" t="s">
        <v>6143</v>
      </c>
      <c r="E1680" s="16" t="str">
        <f aca="false">HYPERLINK("#'Forrásszöveg'!A"&amp;(MATCH("VHR-S0344",Forrásszöveg!$A$6:$A$2497,0)+5),"38. § (1) eleje")</f>
        <v>38. § (1) eleje</v>
      </c>
      <c r="F1680" s="16" t="str">
        <f aca="false">HYPERLINK("https://net.jogtar.hu/jogszabaly?docid=a2400418.kor#pr356id","Jogtár megnyitása")</f>
        <v>Jogtár megnyitása</v>
      </c>
    </row>
    <row r="1681" customFormat="false" ht="34" hidden="false" customHeight="true" outlineLevel="0" collapsed="false">
      <c r="A1681" s="15" t="s">
        <v>6144</v>
      </c>
      <c r="B1681" s="15" t="s">
        <v>1471</v>
      </c>
      <c r="C1681" s="15" t="s">
        <v>6145</v>
      </c>
      <c r="D1681" s="15" t="s">
        <v>6146</v>
      </c>
      <c r="E1681" s="16" t="str">
        <f aca="false">HYPERLINK("#'Forrásszöveg'!A"&amp;(MATCH("VHR-S0357",Forrásszöveg!$A$6:$A$2497,0)+5),"38. § (2) eleje")</f>
        <v>38. § (2) eleje</v>
      </c>
      <c r="F1681" s="16" t="str">
        <f aca="false">HYPERLINK("https://net.jogtar.hu/jogszabaly?docid=a2400418.kor#pr357id","Jogtár megnyitása")</f>
        <v>Jogtár megnyitása</v>
      </c>
    </row>
    <row r="1682" customFormat="false" ht="34" hidden="false" customHeight="true" outlineLevel="0" collapsed="false">
      <c r="A1682" s="15" t="s">
        <v>6147</v>
      </c>
      <c r="B1682" s="15" t="s">
        <v>1471</v>
      </c>
      <c r="C1682" s="15" t="s">
        <v>6148</v>
      </c>
      <c r="D1682" s="15" t="s">
        <v>6149</v>
      </c>
      <c r="E1682" s="16" t="str">
        <f aca="false">HYPERLINK("#'Forrásszöveg'!A"&amp;(MATCH("VHR-S0357",Forrásszöveg!$A$6:$A$2497,0)+5),"38. § (2) eleje")</f>
        <v>38. § (2) eleje</v>
      </c>
      <c r="F1682" s="16" t="str">
        <f aca="false">HYPERLINK("https://net.jogtar.hu/jogszabaly?docid=a2400418.kor#pr358id","Jogtár megnyitása")</f>
        <v>Jogtár megnyitása</v>
      </c>
    </row>
    <row r="1683" customFormat="false" ht="34" hidden="false" customHeight="true" outlineLevel="0" collapsed="false">
      <c r="A1683" s="15" t="s">
        <v>6150</v>
      </c>
      <c r="B1683" s="15" t="s">
        <v>1471</v>
      </c>
      <c r="C1683" s="15" t="s">
        <v>6151</v>
      </c>
      <c r="D1683" s="15" t="s">
        <v>6152</v>
      </c>
      <c r="E1683" s="16" t="str">
        <f aca="false">HYPERLINK("#'Forrásszöveg'!A"&amp;(MATCH("VHR-S0357",Forrásszöveg!$A$6:$A$2497,0)+5),"38. § (2) eleje")</f>
        <v>38. § (2) eleje</v>
      </c>
      <c r="F1683" s="16" t="str">
        <f aca="false">HYPERLINK("https://net.jogtar.hu/jogszabaly?docid=a2400418.kor#pr359id","Jogtár megnyitása")</f>
        <v>Jogtár megnyitása</v>
      </c>
    </row>
    <row r="1684" customFormat="false" ht="34" hidden="false" customHeight="true" outlineLevel="0" collapsed="false">
      <c r="A1684" s="15" t="s">
        <v>6153</v>
      </c>
      <c r="B1684" s="15" t="s">
        <v>1471</v>
      </c>
      <c r="C1684" s="15" t="s">
        <v>6154</v>
      </c>
      <c r="D1684" s="15" t="s">
        <v>6155</v>
      </c>
      <c r="E1684" s="16" t="str">
        <f aca="false">HYPERLINK("#'Forrásszöveg'!A"&amp;(MATCH("VHR-S0357",Forrásszöveg!$A$6:$A$2497,0)+5),"38. § (2) eleje")</f>
        <v>38. § (2) eleje</v>
      </c>
      <c r="F1684" s="16" t="str">
        <f aca="false">HYPERLINK("https://net.jogtar.hu/jogszabaly?docid=a2400418.kor#pr360id","Jogtár megnyitása")</f>
        <v>Jogtár megnyitása</v>
      </c>
    </row>
    <row r="1685" customFormat="false" ht="38" hidden="false" customHeight="true" outlineLevel="0" collapsed="false">
      <c r="A1685" s="15" t="s">
        <v>6156</v>
      </c>
      <c r="B1685" s="15" t="s">
        <v>1471</v>
      </c>
      <c r="C1685" s="15" t="s">
        <v>6157</v>
      </c>
      <c r="D1685" s="15" t="s">
        <v>6158</v>
      </c>
      <c r="E1685" s="16" t="str">
        <f aca="false">HYPERLINK("#'Forrásszöveg'!A"&amp;(MATCH("VHR-S0357",Forrásszöveg!$A$6:$A$2497,0)+5),"38. § (2) eleje")</f>
        <v>38. § (2) eleje</v>
      </c>
      <c r="F1685" s="16" t="str">
        <f aca="false">HYPERLINK("https://net.jogtar.hu/jogszabaly?docid=a2400418.kor#pr361id","Jogtár megnyitása")</f>
        <v>Jogtár megnyitása</v>
      </c>
    </row>
    <row r="1686" customFormat="false" ht="34" hidden="false" customHeight="true" outlineLevel="0" collapsed="false">
      <c r="A1686" s="15" t="s">
        <v>6159</v>
      </c>
      <c r="B1686" s="15" t="s">
        <v>1471</v>
      </c>
      <c r="C1686" s="15" t="s">
        <v>6160</v>
      </c>
      <c r="D1686" s="15" t="s">
        <v>6161</v>
      </c>
      <c r="E1686" s="16" t="str">
        <f aca="false">HYPERLINK("#'Forrásszöveg'!A"&amp;(MATCH("VHR-S0357",Forrásszöveg!$A$6:$A$2497,0)+5),"38. § (2) eleje")</f>
        <v>38. § (2) eleje</v>
      </c>
      <c r="F1686" s="16" t="str">
        <f aca="false">HYPERLINK("https://net.jogtar.hu/jogszabaly?docid=a2400418.kor#pr362id","Jogtár megnyitása")</f>
        <v>Jogtár megnyitása</v>
      </c>
    </row>
    <row r="1687" customFormat="false" ht="66" hidden="false" customHeight="true" outlineLevel="0" collapsed="false">
      <c r="A1687" s="15" t="s">
        <v>6162</v>
      </c>
      <c r="B1687" s="15" t="s">
        <v>1471</v>
      </c>
      <c r="C1687" s="15" t="s">
        <v>3585</v>
      </c>
      <c r="D1687" s="15" t="s">
        <v>6163</v>
      </c>
      <c r="E1687" s="16" t="str">
        <f aca="false">HYPERLINK("#'Forrásszöveg'!A"&amp;(MATCH("VHR-S0363",Forrásszöveg!$A$6:$A$2497,0)+5),"39. § (1) eleje")</f>
        <v>39. § (1) eleje</v>
      </c>
      <c r="F1687" s="16" t="str">
        <f aca="false">HYPERLINK("https://net.jogtar.hu/jogszabaly?docid=a2400418.kor#pr363id","Jogtár megnyitása")</f>
        <v>Jogtár megnyitása</v>
      </c>
    </row>
    <row r="1688" customFormat="false" ht="34" hidden="false" customHeight="true" outlineLevel="0" collapsed="false">
      <c r="A1688" s="15" t="s">
        <v>6164</v>
      </c>
      <c r="B1688" s="15" t="s">
        <v>1471</v>
      </c>
      <c r="C1688" s="15" t="s">
        <v>3618</v>
      </c>
      <c r="D1688" s="15" t="s">
        <v>6165</v>
      </c>
      <c r="E1688" s="16" t="str">
        <f aca="false">HYPERLINK("#'Forrásszöveg'!A"&amp;(MATCH("VHR-S0364",Forrásszöveg!$A$6:$A$2497,0)+5),"39. § (2) eleje")</f>
        <v>39. § (2) eleje</v>
      </c>
      <c r="F1688" s="16" t="str">
        <f aca="false">HYPERLINK("https://net.jogtar.hu/jogszabaly?docid=a2400418.kor#pr364id","Jogtár megnyitása")</f>
        <v>Jogtár megnyitása</v>
      </c>
    </row>
    <row r="1689" customFormat="false" ht="34" hidden="false" customHeight="true" outlineLevel="0" collapsed="false">
      <c r="A1689" s="15" t="s">
        <v>6166</v>
      </c>
      <c r="B1689" s="15" t="s">
        <v>1471</v>
      </c>
      <c r="C1689" s="15" t="s">
        <v>6167</v>
      </c>
      <c r="D1689" s="15" t="s">
        <v>6168</v>
      </c>
      <c r="E1689" s="16" t="str">
        <f aca="false">HYPERLINK("#'Forrásszöveg'!A"&amp;(MATCH("VHR-S0364",Forrásszöveg!$A$6:$A$2497,0)+5),"39. § (2) eleje")</f>
        <v>39. § (2) eleje</v>
      </c>
      <c r="F1689" s="16" t="str">
        <f aca="false">HYPERLINK("https://net.jogtar.hu/jogszabaly?docid=a2400418.kor#pr365id","Jogtár megnyitása")</f>
        <v>Jogtár megnyitása</v>
      </c>
    </row>
    <row r="1690" customFormat="false" ht="34" hidden="false" customHeight="true" outlineLevel="0" collapsed="false">
      <c r="A1690" s="15" t="s">
        <v>6169</v>
      </c>
      <c r="B1690" s="15" t="s">
        <v>1471</v>
      </c>
      <c r="C1690" s="15" t="s">
        <v>6170</v>
      </c>
      <c r="D1690" s="15" t="s">
        <v>6171</v>
      </c>
      <c r="E1690" s="16" t="str">
        <f aca="false">HYPERLINK("#'Forrásszöveg'!A"&amp;(MATCH("VHR-S0364",Forrásszöveg!$A$6:$A$2497,0)+5),"39. § (2) eleje")</f>
        <v>39. § (2) eleje</v>
      </c>
      <c r="F1690" s="16" t="str">
        <f aca="false">HYPERLINK("https://net.jogtar.hu/jogszabaly?docid=a2400418.kor#pr366id","Jogtár megnyitása")</f>
        <v>Jogtár megnyitása</v>
      </c>
    </row>
    <row r="1691" customFormat="false" ht="38" hidden="false" customHeight="true" outlineLevel="0" collapsed="false">
      <c r="A1691" s="15" t="s">
        <v>6172</v>
      </c>
      <c r="B1691" s="15" t="s">
        <v>1471</v>
      </c>
      <c r="C1691" s="15" t="s">
        <v>3618</v>
      </c>
      <c r="D1691" s="15" t="s">
        <v>6173</v>
      </c>
      <c r="E1691" s="16" t="str">
        <f aca="false">HYPERLINK("#'Forrásszöveg'!A"&amp;(MATCH("VHR-S0364",Forrásszöveg!$A$6:$A$2497,0)+5),"39. § (2) eleje")</f>
        <v>39. § (2) eleje</v>
      </c>
      <c r="F1691" s="16" t="str">
        <f aca="false">HYPERLINK("https://net.jogtar.hu/jogszabaly?docid=a2400418.kor#pr367id","Jogtár megnyitása")</f>
        <v>Jogtár megnyitása</v>
      </c>
    </row>
    <row r="1692" customFormat="false" ht="122" hidden="false" customHeight="true" outlineLevel="0" collapsed="false">
      <c r="A1692" s="15" t="s">
        <v>6174</v>
      </c>
      <c r="B1692" s="15" t="s">
        <v>1471</v>
      </c>
      <c r="C1692" s="15" t="s">
        <v>3621</v>
      </c>
      <c r="D1692" s="15" t="s">
        <v>6175</v>
      </c>
      <c r="E1692" s="16" t="str">
        <f aca="false">HYPERLINK("#'Forrásszöveg'!A"&amp;(MATCH("VHR-S0368",Forrásszöveg!$A$6:$A$2497,0)+5),"39. § (3) eleje")</f>
        <v>39. § (3) eleje</v>
      </c>
      <c r="F1692" s="16" t="str">
        <f aca="false">HYPERLINK("https://net.jogtar.hu/jogszabaly?docid=a2400418.kor#pr368id","Jogtár megnyitása")</f>
        <v>Jogtár megnyitása</v>
      </c>
    </row>
    <row r="1693" customFormat="false" ht="52" hidden="false" customHeight="true" outlineLevel="0" collapsed="false">
      <c r="A1693" s="15" t="s">
        <v>6176</v>
      </c>
      <c r="B1693" s="15" t="s">
        <v>1471</v>
      </c>
      <c r="C1693" s="15" t="s">
        <v>6177</v>
      </c>
      <c r="D1693" s="15" t="s">
        <v>6178</v>
      </c>
      <c r="E1693" s="16" t="str">
        <f aca="false">HYPERLINK("#'Forrásszöveg'!A"&amp;(MATCH("VHR-S0369",Forrásszöveg!$A$6:$A$2497,0)+5),"39. § (4) eleje")</f>
        <v>39. § (4) eleje</v>
      </c>
      <c r="F1693" s="16" t="str">
        <f aca="false">HYPERLINK("https://net.jogtar.hu/jogszabaly?docid=a2400418.kor#pr369id","Jogtár megnyitása")</f>
        <v>Jogtár megnyitása</v>
      </c>
    </row>
    <row r="1694" customFormat="false" ht="52" hidden="false" customHeight="true" outlineLevel="0" collapsed="false">
      <c r="A1694" s="15" t="s">
        <v>6179</v>
      </c>
      <c r="B1694" s="15" t="s">
        <v>1471</v>
      </c>
      <c r="C1694" s="15" t="s">
        <v>6180</v>
      </c>
      <c r="D1694" s="15" t="s">
        <v>6181</v>
      </c>
      <c r="E1694" s="16" t="str">
        <f aca="false">HYPERLINK("#'Forrásszöveg'!A"&amp;(MATCH("VHR-S0370",Forrásszöveg!$A$6:$A$2497,0)+5),"39. § (5) eleje")</f>
        <v>39. § (5) eleje</v>
      </c>
      <c r="F1694" s="16" t="str">
        <f aca="false">HYPERLINK("https://net.jogtar.hu/jogszabaly?docid=a2400418.kor#pr370id","Jogtár megnyitása")</f>
        <v>Jogtár megnyitása</v>
      </c>
    </row>
    <row r="1695" customFormat="false" ht="38" hidden="false" customHeight="true" outlineLevel="0" collapsed="false">
      <c r="A1695" s="15" t="s">
        <v>6182</v>
      </c>
      <c r="B1695" s="15" t="s">
        <v>1471</v>
      </c>
      <c r="C1695" s="15" t="s">
        <v>1491</v>
      </c>
      <c r="D1695" s="15" t="s">
        <v>1491</v>
      </c>
      <c r="E1695" s="16" t="str">
        <f aca="false">HYPERLINK("#'Forrásszöveg'!A"&amp;(MATCH("VHR-S0363",Forrásszöveg!$A$6:$A$2497,0)+5),"39. § eleje")</f>
        <v>39. § eleje</v>
      </c>
      <c r="F1695" s="16" t="str">
        <f aca="false">HYPERLINK("https://net.jogtar.hu/jogszabaly?docid=a2400418.kor#pr371id","Jogtár megnyitása")</f>
        <v>Jogtár megnyitása</v>
      </c>
    </row>
    <row r="1696" customFormat="false" ht="38" hidden="false" customHeight="true" outlineLevel="0" collapsed="false">
      <c r="A1696" s="15" t="s">
        <v>6183</v>
      </c>
      <c r="B1696" s="15" t="s">
        <v>1471</v>
      </c>
      <c r="C1696" s="15" t="s">
        <v>3634</v>
      </c>
      <c r="D1696" s="15" t="s">
        <v>6184</v>
      </c>
      <c r="E1696" s="16" t="str">
        <f aca="false">HYPERLINK("#'Forrásszöveg'!A"&amp;(MATCH("VHR-S0372",Forrásszöveg!$A$6:$A$2497,0)+5),"40. § (1) eleje")</f>
        <v>40. § (1) eleje</v>
      </c>
      <c r="F1696" s="16" t="str">
        <f aca="false">HYPERLINK("https://net.jogtar.hu/jogszabaly?docid=a2400418.kor#pr372id","Jogtár megnyitása")</f>
        <v>Jogtár megnyitása</v>
      </c>
    </row>
    <row r="1697" customFormat="false" ht="38" hidden="false" customHeight="true" outlineLevel="0" collapsed="false">
      <c r="A1697" s="15" t="s">
        <v>6185</v>
      </c>
      <c r="B1697" s="15" t="s">
        <v>1471</v>
      </c>
      <c r="C1697" s="15" t="s">
        <v>3637</v>
      </c>
      <c r="D1697" s="15" t="s">
        <v>6186</v>
      </c>
      <c r="E1697" s="16" t="str">
        <f aca="false">HYPERLINK("#'Forrásszöveg'!A"&amp;(MATCH("VHR-S0373",Forrásszöveg!$A$6:$A$2497,0)+5),"40. § (2) eleje")</f>
        <v>40. § (2) eleje</v>
      </c>
      <c r="F1697" s="16" t="str">
        <f aca="false">HYPERLINK("https://net.jogtar.hu/jogszabaly?docid=a2400418.kor#pr373id","Jogtár megnyitása")</f>
        <v>Jogtár megnyitása</v>
      </c>
    </row>
    <row r="1698" customFormat="false" ht="66" hidden="false" customHeight="true" outlineLevel="0" collapsed="false">
      <c r="A1698" s="15" t="s">
        <v>6187</v>
      </c>
      <c r="B1698" s="15" t="s">
        <v>1471</v>
      </c>
      <c r="C1698" s="15" t="s">
        <v>3651</v>
      </c>
      <c r="D1698" s="15" t="s">
        <v>6188</v>
      </c>
      <c r="E1698" s="16" t="str">
        <f aca="false">HYPERLINK("#'Forrásszöveg'!A"&amp;(MATCH("VHR-S0374",Forrásszöveg!$A$6:$A$2497,0)+5),"40. § (3) eleje")</f>
        <v>40. § (3) eleje</v>
      </c>
      <c r="F1698" s="16" t="str">
        <f aca="false">HYPERLINK("https://net.jogtar.hu/jogszabaly?docid=a2400418.kor#pr374id","Jogtár megnyitása")</f>
        <v>Jogtár megnyitása</v>
      </c>
    </row>
    <row r="1699" customFormat="false" ht="66" hidden="false" customHeight="true" outlineLevel="0" collapsed="false">
      <c r="A1699" s="15" t="s">
        <v>6189</v>
      </c>
      <c r="B1699" s="15" t="s">
        <v>1471</v>
      </c>
      <c r="C1699" s="15" t="s">
        <v>3654</v>
      </c>
      <c r="D1699" s="15" t="s">
        <v>6190</v>
      </c>
      <c r="E1699" s="16" t="str">
        <f aca="false">HYPERLINK("#'Forrásszöveg'!A"&amp;(MATCH("VHR-S0375",Forrásszöveg!$A$6:$A$2497,0)+5),"40. § (4) eleje")</f>
        <v>40. § (4) eleje</v>
      </c>
      <c r="F1699" s="16" t="str">
        <f aca="false">HYPERLINK("https://net.jogtar.hu/jogszabaly?docid=a2400418.kor#pr375id","Jogtár megnyitása")</f>
        <v>Jogtár megnyitása</v>
      </c>
    </row>
    <row r="1700" customFormat="false" ht="66" hidden="false" customHeight="true" outlineLevel="0" collapsed="false">
      <c r="A1700" s="15" t="s">
        <v>6191</v>
      </c>
      <c r="B1700" s="15" t="s">
        <v>1471</v>
      </c>
      <c r="C1700" s="15" t="s">
        <v>6192</v>
      </c>
      <c r="D1700" s="15" t="s">
        <v>6193</v>
      </c>
      <c r="E1700" s="16" t="str">
        <f aca="false">HYPERLINK("#'Forrásszöveg'!A"&amp;(MATCH("VHR-S0376",Forrásszöveg!$A$6:$A$2497,0)+5),"40. § (5) eleje")</f>
        <v>40. § (5) eleje</v>
      </c>
      <c r="F1700" s="16" t="str">
        <f aca="false">HYPERLINK("https://net.jogtar.hu/jogszabaly?docid=a2400418.kor#pr376id","Jogtár megnyitása")</f>
        <v>Jogtár megnyitása</v>
      </c>
    </row>
    <row r="1701" customFormat="false" ht="34" hidden="false" customHeight="true" outlineLevel="0" collapsed="false">
      <c r="A1701" s="15" t="s">
        <v>6194</v>
      </c>
      <c r="B1701" s="15" t="s">
        <v>1471</v>
      </c>
      <c r="C1701" s="15" t="s">
        <v>6195</v>
      </c>
      <c r="D1701" s="15" t="s">
        <v>6196</v>
      </c>
      <c r="E1701" s="16" t="str">
        <f aca="false">HYPERLINK("#'Forrásszöveg'!A"&amp;(MATCH("VHR-S0377",Forrásszöveg!$A$6:$A$2497,0)+5),"40. § (6) eleje")</f>
        <v>40. § (6) eleje</v>
      </c>
      <c r="F1701" s="16" t="str">
        <f aca="false">HYPERLINK("https://net.jogtar.hu/jogszabaly?docid=a2400418.kor#pr377id","Jogtár megnyitása")</f>
        <v>Jogtár megnyitása</v>
      </c>
    </row>
    <row r="1702" customFormat="false" ht="34" hidden="false" customHeight="true" outlineLevel="0" collapsed="false">
      <c r="A1702" s="15" t="s">
        <v>6197</v>
      </c>
      <c r="B1702" s="15" t="s">
        <v>1471</v>
      </c>
      <c r="C1702" s="15" t="s">
        <v>6198</v>
      </c>
      <c r="D1702" s="15" t="s">
        <v>6199</v>
      </c>
      <c r="E1702" s="16" t="str">
        <f aca="false">HYPERLINK("#'Forrásszöveg'!A"&amp;(MATCH("VHR-S0377",Forrásszöveg!$A$6:$A$2497,0)+5),"40. § (6) eleje")</f>
        <v>40. § (6) eleje</v>
      </c>
      <c r="F1702" s="16" t="str">
        <f aca="false">HYPERLINK("https://net.jogtar.hu/jogszabaly?docid=a2400418.kor#pr378id","Jogtár megnyitása")</f>
        <v>Jogtár megnyitása</v>
      </c>
    </row>
    <row r="1703" customFormat="false" ht="34" hidden="false" customHeight="true" outlineLevel="0" collapsed="false">
      <c r="A1703" s="15" t="s">
        <v>6200</v>
      </c>
      <c r="B1703" s="15" t="s">
        <v>1471</v>
      </c>
      <c r="C1703" s="15" t="s">
        <v>6201</v>
      </c>
      <c r="D1703" s="15" t="s">
        <v>6202</v>
      </c>
      <c r="E1703" s="16" t="str">
        <f aca="false">HYPERLINK("#'Forrásszöveg'!A"&amp;(MATCH("VHR-S0377",Forrásszöveg!$A$6:$A$2497,0)+5),"40. § (6) eleje")</f>
        <v>40. § (6) eleje</v>
      </c>
      <c r="F1703" s="16" t="str">
        <f aca="false">HYPERLINK("https://net.jogtar.hu/jogszabaly?docid=a2400418.kor#pr379id","Jogtár megnyitása")</f>
        <v>Jogtár megnyitása</v>
      </c>
    </row>
    <row r="1704" customFormat="false" ht="38" hidden="false" customHeight="true" outlineLevel="0" collapsed="false">
      <c r="A1704" s="15" t="s">
        <v>6203</v>
      </c>
      <c r="B1704" s="15" t="s">
        <v>1471</v>
      </c>
      <c r="C1704" s="15" t="s">
        <v>6204</v>
      </c>
      <c r="D1704" s="15" t="s">
        <v>6205</v>
      </c>
      <c r="E1704" s="16" t="str">
        <f aca="false">HYPERLINK("#'Forrásszöveg'!A"&amp;(MATCH("VHR-S0377",Forrásszöveg!$A$6:$A$2497,0)+5),"40. § (6) eleje")</f>
        <v>40. § (6) eleje</v>
      </c>
      <c r="F1704" s="16" t="str">
        <f aca="false">HYPERLINK("https://net.jogtar.hu/jogszabaly?docid=a2400418.kor#pr380id","Jogtár megnyitása")</f>
        <v>Jogtár megnyitása</v>
      </c>
    </row>
    <row r="1705" customFormat="false" ht="38" hidden="false" customHeight="true" outlineLevel="0" collapsed="false">
      <c r="A1705" s="15" t="s">
        <v>6206</v>
      </c>
      <c r="B1705" s="15" t="s">
        <v>1471</v>
      </c>
      <c r="C1705" s="15" t="s">
        <v>6207</v>
      </c>
      <c r="D1705" s="15" t="s">
        <v>6208</v>
      </c>
      <c r="E1705" s="16" t="str">
        <f aca="false">HYPERLINK("#'Forrásszöveg'!A"&amp;(MATCH("VHR-S0377",Forrásszöveg!$A$6:$A$2497,0)+5),"40. § (6) eleje")</f>
        <v>40. § (6) eleje</v>
      </c>
      <c r="F1705" s="16" t="str">
        <f aca="false">HYPERLINK("https://net.jogtar.hu/jogszabaly?docid=a2400418.kor#pr381id","Jogtár megnyitása")</f>
        <v>Jogtár megnyitása</v>
      </c>
    </row>
    <row r="1706" customFormat="false" ht="38" hidden="false" customHeight="true" outlineLevel="0" collapsed="false">
      <c r="A1706" s="15" t="s">
        <v>6209</v>
      </c>
      <c r="B1706" s="15" t="s">
        <v>1471</v>
      </c>
      <c r="C1706" s="15" t="s">
        <v>6210</v>
      </c>
      <c r="D1706" s="15" t="s">
        <v>6211</v>
      </c>
      <c r="E1706" s="16" t="str">
        <f aca="false">HYPERLINK("#'Forrásszöveg'!A"&amp;(MATCH("VHR-S0377",Forrásszöveg!$A$6:$A$2497,0)+5),"40. § (6) eleje")</f>
        <v>40. § (6) eleje</v>
      </c>
      <c r="F1706" s="16" t="str">
        <f aca="false">HYPERLINK("https://net.jogtar.hu/jogszabaly?docid=a2400418.kor#pr382id","Jogtár megnyitása")</f>
        <v>Jogtár megnyitása</v>
      </c>
    </row>
    <row r="1707" customFormat="false" ht="38" hidden="false" customHeight="true" outlineLevel="0" collapsed="false">
      <c r="A1707" s="15" t="s">
        <v>6212</v>
      </c>
      <c r="B1707" s="15" t="s">
        <v>1471</v>
      </c>
      <c r="C1707" s="15" t="s">
        <v>6213</v>
      </c>
      <c r="D1707" s="15" t="s">
        <v>6214</v>
      </c>
      <c r="E1707" s="16" t="str">
        <f aca="false">HYPERLINK("#'Forrásszöveg'!A"&amp;(MATCH("VHR-S0377",Forrásszöveg!$A$6:$A$2497,0)+5),"40. § (6) eleje")</f>
        <v>40. § (6) eleje</v>
      </c>
      <c r="F1707" s="16" t="str">
        <f aca="false">HYPERLINK("https://net.jogtar.hu/jogszabaly?docid=a2400418.kor#pr383id","Jogtár megnyitása")</f>
        <v>Jogtár megnyitása</v>
      </c>
    </row>
    <row r="1708" customFormat="false" ht="38" hidden="false" customHeight="true" outlineLevel="0" collapsed="false">
      <c r="A1708" s="15" t="s">
        <v>6215</v>
      </c>
      <c r="B1708" s="15" t="s">
        <v>1471</v>
      </c>
      <c r="C1708" s="15" t="s">
        <v>3688</v>
      </c>
      <c r="D1708" s="15" t="s">
        <v>6216</v>
      </c>
      <c r="E1708" s="16" t="str">
        <f aca="false">HYPERLINK("#'Forrásszöveg'!A"&amp;(MATCH("VHR-S0384",Forrásszöveg!$A$6:$A$2497,0)+5),"41. § (1) eleje")</f>
        <v>41. § (1) eleje</v>
      </c>
      <c r="F1708" s="16" t="str">
        <f aca="false">HYPERLINK("https://net.jogtar.hu/jogszabaly?docid=a2400418.kor#pr384id","Jogtár megnyitása")</f>
        <v>Jogtár megnyitása</v>
      </c>
    </row>
    <row r="1709" customFormat="false" ht="38" hidden="false" customHeight="true" outlineLevel="0" collapsed="false">
      <c r="A1709" s="15" t="s">
        <v>6217</v>
      </c>
      <c r="B1709" s="15" t="s">
        <v>1471</v>
      </c>
      <c r="C1709" s="15" t="s">
        <v>3691</v>
      </c>
      <c r="D1709" s="15" t="s">
        <v>6218</v>
      </c>
      <c r="E1709" s="16" t="str">
        <f aca="false">HYPERLINK("#'Forrásszöveg'!A"&amp;(MATCH("VHR-S0384",Forrásszöveg!$A$6:$A$2497,0)+5),"41. § (1) eleje")</f>
        <v>41. § (1) eleje</v>
      </c>
      <c r="F1709" s="16" t="str">
        <f aca="false">HYPERLINK("https://net.jogtar.hu/jogszabaly?docid=a2400418.kor#pr385id","Jogtár megnyitása")</f>
        <v>Jogtár megnyitása</v>
      </c>
    </row>
    <row r="1710" customFormat="false" ht="38" hidden="false" customHeight="true" outlineLevel="0" collapsed="false">
      <c r="A1710" s="15" t="s">
        <v>6219</v>
      </c>
      <c r="B1710" s="15" t="s">
        <v>1471</v>
      </c>
      <c r="C1710" s="15" t="s">
        <v>3694</v>
      </c>
      <c r="D1710" s="15" t="s">
        <v>6220</v>
      </c>
      <c r="E1710" s="16" t="str">
        <f aca="false">HYPERLINK("#'Forrásszöveg'!A"&amp;(MATCH("VHR-S0384",Forrásszöveg!$A$6:$A$2497,0)+5),"41. § (1) eleje")</f>
        <v>41. § (1) eleje</v>
      </c>
      <c r="F1710" s="16" t="str">
        <f aca="false">HYPERLINK("https://net.jogtar.hu/jogszabaly?docid=a2400418.kor#pr386id","Jogtár megnyitása")</f>
        <v>Jogtár megnyitása</v>
      </c>
    </row>
    <row r="1711" customFormat="false" ht="34" hidden="false" customHeight="true" outlineLevel="0" collapsed="false">
      <c r="A1711" s="15" t="s">
        <v>6221</v>
      </c>
      <c r="B1711" s="15" t="s">
        <v>1471</v>
      </c>
      <c r="C1711" s="15" t="s">
        <v>3697</v>
      </c>
      <c r="D1711" s="15" t="s">
        <v>6222</v>
      </c>
      <c r="E1711" s="16" t="str">
        <f aca="false">HYPERLINK("#'Forrásszöveg'!A"&amp;(MATCH("VHR-S0384",Forrásszöveg!$A$6:$A$2497,0)+5),"41. § (1) eleje")</f>
        <v>41. § (1) eleje</v>
      </c>
      <c r="F1711" s="16" t="str">
        <f aca="false">HYPERLINK("https://net.jogtar.hu/jogszabaly?docid=a2400418.kor#pr387id","Jogtár megnyitása")</f>
        <v>Jogtár megnyitása</v>
      </c>
    </row>
    <row r="1712" customFormat="false" ht="38" hidden="false" customHeight="true" outlineLevel="0" collapsed="false">
      <c r="A1712" s="15" t="s">
        <v>6223</v>
      </c>
      <c r="B1712" s="15" t="s">
        <v>1471</v>
      </c>
      <c r="C1712" s="15" t="s">
        <v>6224</v>
      </c>
      <c r="D1712" s="15" t="s">
        <v>6225</v>
      </c>
      <c r="E1712" s="16" t="str">
        <f aca="false">HYPERLINK("#'Forrásszöveg'!A"&amp;(MATCH("VHR-S0384",Forrásszöveg!$A$6:$A$2497,0)+5),"41. § (1) eleje")</f>
        <v>41. § (1) eleje</v>
      </c>
      <c r="F1712" s="16" t="str">
        <f aca="false">HYPERLINK("https://net.jogtar.hu/jogszabaly?docid=a2400418.kor#pr388id","Jogtár megnyitása")</f>
        <v>Jogtár megnyitása</v>
      </c>
    </row>
    <row r="1713" customFormat="false" ht="38" hidden="false" customHeight="true" outlineLevel="0" collapsed="false">
      <c r="A1713" s="15" t="s">
        <v>6226</v>
      </c>
      <c r="B1713" s="15" t="s">
        <v>1471</v>
      </c>
      <c r="C1713" s="15" t="s">
        <v>6227</v>
      </c>
      <c r="D1713" s="15" t="s">
        <v>6228</v>
      </c>
      <c r="E1713" s="16" t="str">
        <f aca="false">HYPERLINK("#'Forrásszöveg'!A"&amp;(MATCH("VHR-S0384",Forrásszöveg!$A$6:$A$2497,0)+5),"41. § (1) eleje")</f>
        <v>41. § (1) eleje</v>
      </c>
      <c r="F1713" s="16" t="str">
        <f aca="false">HYPERLINK("https://net.jogtar.hu/jogszabaly?docid=a2400418.kor#pr389id","Jogtár megnyitása")</f>
        <v>Jogtár megnyitása</v>
      </c>
    </row>
    <row r="1714" customFormat="false" ht="38" hidden="false" customHeight="true" outlineLevel="0" collapsed="false">
      <c r="A1714" s="15" t="s">
        <v>6229</v>
      </c>
      <c r="B1714" s="15" t="s">
        <v>1471</v>
      </c>
      <c r="C1714" s="15" t="s">
        <v>6230</v>
      </c>
      <c r="D1714" s="15" t="s">
        <v>6231</v>
      </c>
      <c r="E1714" s="16" t="str">
        <f aca="false">HYPERLINK("#'Forrásszöveg'!A"&amp;(MATCH("VHR-S0384",Forrásszöveg!$A$6:$A$2497,0)+5),"41. § (1) eleje")</f>
        <v>41. § (1) eleje</v>
      </c>
      <c r="F1714" s="16" t="str">
        <f aca="false">HYPERLINK("https://net.jogtar.hu/jogszabaly?docid=a2400418.kor#pr390id","Jogtár megnyitása")</f>
        <v>Jogtár megnyitása</v>
      </c>
    </row>
    <row r="1715" customFormat="false" ht="34" hidden="false" customHeight="true" outlineLevel="0" collapsed="false">
      <c r="A1715" s="15" t="s">
        <v>6232</v>
      </c>
      <c r="B1715" s="15" t="s">
        <v>1471</v>
      </c>
      <c r="C1715" s="15" t="s">
        <v>6233</v>
      </c>
      <c r="D1715" s="15" t="s">
        <v>6234</v>
      </c>
      <c r="E1715" s="16" t="str">
        <f aca="false">HYPERLINK("#'Forrásszöveg'!A"&amp;(MATCH("VHR-S0384",Forrásszöveg!$A$6:$A$2497,0)+5),"41. § (1) eleje")</f>
        <v>41. § (1) eleje</v>
      </c>
      <c r="F1715" s="16" t="str">
        <f aca="false">HYPERLINK("https://net.jogtar.hu/jogszabaly?docid=a2400418.kor#pr391id","Jogtár megnyitása")</f>
        <v>Jogtár megnyitása</v>
      </c>
    </row>
    <row r="1716" customFormat="false" ht="34" hidden="false" customHeight="true" outlineLevel="0" collapsed="false">
      <c r="A1716" s="15" t="s">
        <v>6235</v>
      </c>
      <c r="B1716" s="15" t="s">
        <v>1471</v>
      </c>
      <c r="C1716" s="15" t="s">
        <v>3700</v>
      </c>
      <c r="D1716" s="15" t="s">
        <v>6236</v>
      </c>
      <c r="E1716" s="16" t="str">
        <f aca="false">HYPERLINK("#'Forrásszöveg'!A"&amp;(MATCH("VHR-S0392",Forrásszöveg!$A$6:$A$2497,0)+5),"41. § (2) eleje")</f>
        <v>41. § (2) eleje</v>
      </c>
      <c r="F1716" s="16" t="str">
        <f aca="false">HYPERLINK("https://net.jogtar.hu/jogszabaly?docid=a2400418.kor#pr392id","Jogtár megnyitása")</f>
        <v>Jogtár megnyitása</v>
      </c>
    </row>
    <row r="1717" customFormat="false" ht="34" hidden="false" customHeight="true" outlineLevel="0" collapsed="false">
      <c r="A1717" s="15" t="s">
        <v>6237</v>
      </c>
      <c r="B1717" s="15" t="s">
        <v>1471</v>
      </c>
      <c r="C1717" s="15" t="s">
        <v>3727</v>
      </c>
      <c r="D1717" s="15" t="s">
        <v>6238</v>
      </c>
      <c r="E1717" s="16" t="str">
        <f aca="false">HYPERLINK("#'Forrásszöveg'!A"&amp;(MATCH("VHR-S0393",Forrásszöveg!$A$6:$A$2497,0)+5),"41. § (3) eleje")</f>
        <v>41. § (3) eleje</v>
      </c>
      <c r="F1717" s="16" t="str">
        <f aca="false">HYPERLINK("https://net.jogtar.hu/jogszabaly?docid=a2400418.kor#pr393id","Jogtár megnyitása")</f>
        <v>Jogtár megnyitása</v>
      </c>
    </row>
    <row r="1718" customFormat="false" ht="34" hidden="false" customHeight="true" outlineLevel="0" collapsed="false">
      <c r="A1718" s="15" t="s">
        <v>6239</v>
      </c>
      <c r="B1718" s="15" t="s">
        <v>1471</v>
      </c>
      <c r="C1718" s="15" t="s">
        <v>6240</v>
      </c>
      <c r="D1718" s="15" t="s">
        <v>6241</v>
      </c>
      <c r="E1718" s="16" t="str">
        <f aca="false">HYPERLINK("#'Forrásszöveg'!A"&amp;(MATCH("VHR-S0393",Forrásszöveg!$A$6:$A$2497,0)+5),"41. § (3) eleje")</f>
        <v>41. § (3) eleje</v>
      </c>
      <c r="F1718" s="16" t="str">
        <f aca="false">HYPERLINK("https://net.jogtar.hu/jogszabaly?docid=a2400418.kor#pr394id","Jogtár megnyitása")</f>
        <v>Jogtár megnyitása</v>
      </c>
    </row>
    <row r="1719" customFormat="false" ht="38" hidden="false" customHeight="true" outlineLevel="0" collapsed="false">
      <c r="A1719" s="15" t="s">
        <v>6242</v>
      </c>
      <c r="B1719" s="15" t="s">
        <v>1471</v>
      </c>
      <c r="C1719" s="15" t="s">
        <v>6243</v>
      </c>
      <c r="D1719" s="15" t="s">
        <v>6244</v>
      </c>
      <c r="E1719" s="16" t="str">
        <f aca="false">HYPERLINK("#'Forrásszöveg'!A"&amp;(MATCH("VHR-S0393",Forrásszöveg!$A$6:$A$2497,0)+5),"41. § (3) eleje")</f>
        <v>41. § (3) eleje</v>
      </c>
      <c r="F1719" s="16" t="str">
        <f aca="false">HYPERLINK("https://net.jogtar.hu/jogszabaly?docid=a2400418.kor#pr395id","Jogtár megnyitása")</f>
        <v>Jogtár megnyitása</v>
      </c>
    </row>
    <row r="1720" customFormat="false" ht="34" hidden="false" customHeight="true" outlineLevel="0" collapsed="false">
      <c r="A1720" s="15" t="s">
        <v>6245</v>
      </c>
      <c r="B1720" s="15" t="s">
        <v>1471</v>
      </c>
      <c r="C1720" s="15" t="s">
        <v>6246</v>
      </c>
      <c r="D1720" s="15" t="s">
        <v>6247</v>
      </c>
      <c r="E1720" s="16" t="str">
        <f aca="false">HYPERLINK("#'Forrásszöveg'!A"&amp;(MATCH("VHR-S0393",Forrásszöveg!$A$6:$A$2497,0)+5),"41. § (3) eleje")</f>
        <v>41. § (3) eleje</v>
      </c>
      <c r="F1720" s="16" t="str">
        <f aca="false">HYPERLINK("https://net.jogtar.hu/jogszabaly?docid=a2400418.kor#pr396id","Jogtár megnyitása")</f>
        <v>Jogtár megnyitása</v>
      </c>
    </row>
    <row r="1721" customFormat="false" ht="38" hidden="false" customHeight="true" outlineLevel="0" collapsed="false">
      <c r="A1721" s="15" t="s">
        <v>6248</v>
      </c>
      <c r="B1721" s="15" t="s">
        <v>1471</v>
      </c>
      <c r="C1721" s="15" t="s">
        <v>6249</v>
      </c>
      <c r="D1721" s="15" t="s">
        <v>6250</v>
      </c>
      <c r="E1721" s="16" t="str">
        <f aca="false">HYPERLINK("#'Forrásszöveg'!A"&amp;(MATCH("VHR-S0393",Forrásszöveg!$A$6:$A$2497,0)+5),"41. § (3) eleje")</f>
        <v>41. § (3) eleje</v>
      </c>
      <c r="F1721" s="16" t="str">
        <f aca="false">HYPERLINK("https://net.jogtar.hu/jogszabaly?docid=a2400418.kor#pr397id","Jogtár megnyitása")</f>
        <v>Jogtár megnyitása</v>
      </c>
    </row>
    <row r="1722" customFormat="false" ht="38" hidden="false" customHeight="true" outlineLevel="0" collapsed="false">
      <c r="A1722" s="15" t="s">
        <v>6251</v>
      </c>
      <c r="B1722" s="15" t="s">
        <v>1471</v>
      </c>
      <c r="C1722" s="15" t="s">
        <v>6252</v>
      </c>
      <c r="D1722" s="15" t="s">
        <v>6253</v>
      </c>
      <c r="E1722" s="16" t="str">
        <f aca="false">HYPERLINK("#'Forrásszöveg'!A"&amp;(MATCH("VHR-S0393",Forrásszöveg!$A$6:$A$2497,0)+5),"41. § (3) eleje")</f>
        <v>41. § (3) eleje</v>
      </c>
      <c r="F1722" s="16" t="str">
        <f aca="false">HYPERLINK("https://net.jogtar.hu/jogszabaly?docid=a2400418.kor#pr398id","Jogtár megnyitása")</f>
        <v>Jogtár megnyitása</v>
      </c>
    </row>
    <row r="1723" customFormat="false" ht="34" hidden="false" customHeight="true" outlineLevel="0" collapsed="false">
      <c r="A1723" s="15" t="s">
        <v>6254</v>
      </c>
      <c r="B1723" s="15" t="s">
        <v>1471</v>
      </c>
      <c r="C1723" s="15" t="s">
        <v>6255</v>
      </c>
      <c r="D1723" s="15" t="s">
        <v>6256</v>
      </c>
      <c r="E1723" s="16" t="str">
        <f aca="false">HYPERLINK("#'Forrásszöveg'!A"&amp;(MATCH("VHR-S0393",Forrásszöveg!$A$6:$A$2497,0)+5),"41. § (3) eleje")</f>
        <v>41. § (3) eleje</v>
      </c>
      <c r="F1723" s="16" t="str">
        <f aca="false">HYPERLINK("https://net.jogtar.hu/jogszabaly?docid=a2400418.kor#pr399id","Jogtár megnyitása")</f>
        <v>Jogtár megnyitása</v>
      </c>
    </row>
    <row r="1724" customFormat="false" ht="52" hidden="false" customHeight="true" outlineLevel="0" collapsed="false">
      <c r="A1724" s="15" t="s">
        <v>6257</v>
      </c>
      <c r="B1724" s="15" t="s">
        <v>1471</v>
      </c>
      <c r="C1724" s="15" t="s">
        <v>6258</v>
      </c>
      <c r="D1724" s="15" t="s">
        <v>6259</v>
      </c>
      <c r="E1724" s="16" t="str">
        <f aca="false">HYPERLINK("#'Forrásszöveg'!A"&amp;(MATCH("VHR-S0393",Forrásszöveg!$A$6:$A$2497,0)+5),"41. § (3) eleje")</f>
        <v>41. § (3) eleje</v>
      </c>
      <c r="F1724" s="16" t="str">
        <f aca="false">HYPERLINK("https://net.jogtar.hu/jogszabaly?docid=a2400418.kor#pr400id","Jogtár megnyitása")</f>
        <v>Jogtár megnyitása</v>
      </c>
    </row>
    <row r="1725" customFormat="false" ht="52" hidden="false" customHeight="true" outlineLevel="0" collapsed="false">
      <c r="A1725" s="15" t="s">
        <v>6260</v>
      </c>
      <c r="B1725" s="15" t="s">
        <v>1471</v>
      </c>
      <c r="C1725" s="15" t="s">
        <v>6261</v>
      </c>
      <c r="D1725" s="15" t="s">
        <v>6262</v>
      </c>
      <c r="E1725" s="16" t="str">
        <f aca="false">HYPERLINK("#'Forrásszöveg'!A"&amp;(MATCH("VHR-S0393",Forrásszöveg!$A$6:$A$2497,0)+5),"41. § (3) eleje")</f>
        <v>41. § (3) eleje</v>
      </c>
      <c r="F1725" s="16" t="str">
        <f aca="false">HYPERLINK("https://net.jogtar.hu/jogszabaly?docid=a2400418.kor#pr401id","Jogtár megnyitása")</f>
        <v>Jogtár megnyitása</v>
      </c>
    </row>
    <row r="1726" customFormat="false" ht="52" hidden="false" customHeight="true" outlineLevel="0" collapsed="false">
      <c r="A1726" s="15" t="s">
        <v>6263</v>
      </c>
      <c r="B1726" s="15" t="s">
        <v>1471</v>
      </c>
      <c r="C1726" s="15" t="s">
        <v>6264</v>
      </c>
      <c r="D1726" s="15" t="s">
        <v>6265</v>
      </c>
      <c r="E1726" s="16" t="str">
        <f aca="false">HYPERLINK("#'Forrásszöveg'!A"&amp;(MATCH("VHR-S0402",Forrásszöveg!$A$6:$A$2497,0)+5),"41. § (4) eleje")</f>
        <v>41. § (4) eleje</v>
      </c>
      <c r="F1726" s="16" t="str">
        <f aca="false">HYPERLINK("https://net.jogtar.hu/jogszabaly?docid=a2400418.kor#pr402id","Jogtár megnyitása")</f>
        <v>Jogtár megnyitása</v>
      </c>
    </row>
    <row r="1727" customFormat="false" ht="38" hidden="false" customHeight="true" outlineLevel="0" collapsed="false">
      <c r="A1727" s="15" t="s">
        <v>6266</v>
      </c>
      <c r="B1727" s="15" t="s">
        <v>1471</v>
      </c>
      <c r="C1727" s="15" t="s">
        <v>6267</v>
      </c>
      <c r="D1727" s="15" t="s">
        <v>6268</v>
      </c>
      <c r="E1727" s="16" t="str">
        <f aca="false">HYPERLINK("#'Forrásszöveg'!A"&amp;(MATCH("VHR-S0403",Forrásszöveg!$A$6:$A$2497,0)+5),"41. § (5) eleje")</f>
        <v>41. § (5) eleje</v>
      </c>
      <c r="F1727" s="16" t="str">
        <f aca="false">HYPERLINK("https://net.jogtar.hu/jogszabaly?docid=a2400418.kor#pr403id","Jogtár megnyitása")</f>
        <v>Jogtár megnyitása</v>
      </c>
    </row>
    <row r="1728" customFormat="false" ht="38" hidden="false" customHeight="true" outlineLevel="0" collapsed="false">
      <c r="A1728" s="15" t="s">
        <v>6269</v>
      </c>
      <c r="B1728" s="15" t="s">
        <v>1471</v>
      </c>
      <c r="C1728" s="15" t="s">
        <v>6270</v>
      </c>
      <c r="D1728" s="15" t="s">
        <v>6271</v>
      </c>
      <c r="E1728" s="16" t="str">
        <f aca="false">HYPERLINK("#'Forrásszöveg'!A"&amp;(MATCH("VHR-S0404",Forrásszöveg!$A$6:$A$2497,0)+5),"41. § (6) eleje")</f>
        <v>41. § (6) eleje</v>
      </c>
      <c r="F1728" s="16" t="str">
        <f aca="false">HYPERLINK("https://net.jogtar.hu/jogszabaly?docid=a2400418.kor#pr404id","Jogtár megnyitása")</f>
        <v>Jogtár megnyitása</v>
      </c>
    </row>
    <row r="1729" customFormat="false" ht="38" hidden="false" customHeight="true" outlineLevel="0" collapsed="false">
      <c r="A1729" s="15" t="s">
        <v>6272</v>
      </c>
      <c r="B1729" s="15" t="s">
        <v>1471</v>
      </c>
      <c r="C1729" s="15" t="s">
        <v>6273</v>
      </c>
      <c r="D1729" s="15" t="s">
        <v>6274</v>
      </c>
      <c r="E1729" s="16" t="str">
        <f aca="false">HYPERLINK("#'Forrásszöveg'!A"&amp;(MATCH("VHR-S0404",Forrásszöveg!$A$6:$A$2497,0)+5),"41. § (6) eleje")</f>
        <v>41. § (6) eleje</v>
      </c>
      <c r="F1729" s="16" t="str">
        <f aca="false">HYPERLINK("https://net.jogtar.hu/jogszabaly?docid=a2400418.kor#pr405id","Jogtár megnyitása")</f>
        <v>Jogtár megnyitása</v>
      </c>
    </row>
    <row r="1730" customFormat="false" ht="34" hidden="false" customHeight="true" outlineLevel="0" collapsed="false">
      <c r="A1730" s="15" t="s">
        <v>6275</v>
      </c>
      <c r="B1730" s="15" t="s">
        <v>1471</v>
      </c>
      <c r="C1730" s="15" t="s">
        <v>6276</v>
      </c>
      <c r="D1730" s="15" t="s">
        <v>6277</v>
      </c>
      <c r="E1730" s="16" t="str">
        <f aca="false">HYPERLINK("#'Forrásszöveg'!A"&amp;(MATCH("VHR-S0404",Forrásszöveg!$A$6:$A$2497,0)+5),"41. § (6) eleje")</f>
        <v>41. § (6) eleje</v>
      </c>
      <c r="F1730" s="16" t="str">
        <f aca="false">HYPERLINK("https://net.jogtar.hu/jogszabaly?docid=a2400418.kor#pr406id","Jogtár megnyitása")</f>
        <v>Jogtár megnyitása</v>
      </c>
    </row>
    <row r="1731" customFormat="false" ht="34" hidden="false" customHeight="true" outlineLevel="0" collapsed="false">
      <c r="A1731" s="15" t="s">
        <v>6278</v>
      </c>
      <c r="B1731" s="15" t="s">
        <v>1471</v>
      </c>
      <c r="C1731" s="15" t="s">
        <v>6279</v>
      </c>
      <c r="D1731" s="15" t="s">
        <v>6280</v>
      </c>
      <c r="E1731" s="16" t="str">
        <f aca="false">HYPERLINK("#'Forrásszöveg'!A"&amp;(MATCH("VHR-S0407",Forrásszöveg!$A$6:$A$2497,0)+5),"41. § (7) eleje")</f>
        <v>41. § (7) eleje</v>
      </c>
      <c r="F1731" s="16" t="str">
        <f aca="false">HYPERLINK("https://net.jogtar.hu/jogszabaly?docid=a2400418.kor#pr407id","Jogtár megnyitása")</f>
        <v>Jogtár megnyitása</v>
      </c>
    </row>
    <row r="1732" customFormat="false" ht="38" hidden="false" customHeight="true" outlineLevel="0" collapsed="false">
      <c r="A1732" s="15" t="s">
        <v>6281</v>
      </c>
      <c r="B1732" s="15" t="s">
        <v>1471</v>
      </c>
      <c r="C1732" s="15" t="s">
        <v>6282</v>
      </c>
      <c r="D1732" s="15" t="s">
        <v>6283</v>
      </c>
      <c r="E1732" s="16" t="str">
        <f aca="false">HYPERLINK("#'Forrásszöveg'!A"&amp;(MATCH("VHR-S0407",Forrásszöveg!$A$6:$A$2497,0)+5),"41. § (7) eleje")</f>
        <v>41. § (7) eleje</v>
      </c>
      <c r="F1732" s="16" t="str">
        <f aca="false">HYPERLINK("https://net.jogtar.hu/jogszabaly?docid=a2400418.kor#pr408id","Jogtár megnyitása")</f>
        <v>Jogtár megnyitása</v>
      </c>
    </row>
    <row r="1733" customFormat="false" ht="38" hidden="false" customHeight="true" outlineLevel="0" collapsed="false">
      <c r="A1733" s="15" t="s">
        <v>6284</v>
      </c>
      <c r="B1733" s="15" t="s">
        <v>1471</v>
      </c>
      <c r="C1733" s="15" t="s">
        <v>6285</v>
      </c>
      <c r="D1733" s="15" t="s">
        <v>6286</v>
      </c>
      <c r="E1733" s="16" t="str">
        <f aca="false">HYPERLINK("#'Forrásszöveg'!A"&amp;(MATCH("VHR-S0407",Forrásszöveg!$A$6:$A$2497,0)+5),"41. § (7) eleje")</f>
        <v>41. § (7) eleje</v>
      </c>
      <c r="F1733" s="16" t="str">
        <f aca="false">HYPERLINK("https://net.jogtar.hu/jogszabaly?docid=a2400418.kor#pr409id","Jogtár megnyitása")</f>
        <v>Jogtár megnyitása</v>
      </c>
    </row>
    <row r="1734" customFormat="false" ht="38" hidden="false" customHeight="true" outlineLevel="0" collapsed="false">
      <c r="A1734" s="15" t="s">
        <v>6287</v>
      </c>
      <c r="B1734" s="15" t="s">
        <v>1471</v>
      </c>
      <c r="C1734" s="15" t="s">
        <v>6288</v>
      </c>
      <c r="D1734" s="15" t="s">
        <v>6289</v>
      </c>
      <c r="E1734" s="16" t="str">
        <f aca="false">HYPERLINK("#'Forrásszöveg'!A"&amp;(MATCH("VHR-S0410",Forrásszöveg!$A$6:$A$2497,0)+5),"41. § (8) eleje")</f>
        <v>41. § (8) eleje</v>
      </c>
      <c r="F1734" s="16" t="str">
        <f aca="false">HYPERLINK("https://net.jogtar.hu/jogszabaly?docid=a2400418.kor#pr410id","Jogtár megnyitása")</f>
        <v>Jogtár megnyitása</v>
      </c>
    </row>
    <row r="1735" customFormat="false" ht="38" hidden="false" customHeight="true" outlineLevel="0" collapsed="false">
      <c r="A1735" s="15" t="s">
        <v>6290</v>
      </c>
      <c r="B1735" s="15" t="s">
        <v>1471</v>
      </c>
      <c r="C1735" s="15" t="s">
        <v>6291</v>
      </c>
      <c r="D1735" s="15" t="s">
        <v>6292</v>
      </c>
      <c r="E1735" s="16" t="str">
        <f aca="false">HYPERLINK("#'Forrásszöveg'!A"&amp;(MATCH("VHR-S0411",Forrásszöveg!$A$6:$A$2497,0)+5),"41. § (9) eleje")</f>
        <v>41. § (9) eleje</v>
      </c>
      <c r="F1735" s="16" t="str">
        <f aca="false">HYPERLINK("https://net.jogtar.hu/jogszabaly?docid=a2400418.kor#pr411id","Jogtár megnyitása")</f>
        <v>Jogtár megnyitása</v>
      </c>
    </row>
    <row r="1736" customFormat="false" ht="52" hidden="false" customHeight="true" outlineLevel="0" collapsed="false">
      <c r="A1736" s="15" t="s">
        <v>6293</v>
      </c>
      <c r="B1736" s="15" t="s">
        <v>1471</v>
      </c>
      <c r="C1736" s="15" t="s">
        <v>6294</v>
      </c>
      <c r="D1736" s="15" t="s">
        <v>6295</v>
      </c>
      <c r="E1736" s="16" t="str">
        <f aca="false">HYPERLINK("#'Forrásszöveg'!A"&amp;(MATCH("VHR-S0412",Forrásszöveg!$A$6:$A$2497,0)+5),"41. § (10) eleje")</f>
        <v>41. § (10) eleje</v>
      </c>
      <c r="F1736" s="16" t="str">
        <f aca="false">HYPERLINK("https://net.jogtar.hu/jogszabaly?docid=a2400418.kor#pr412id","Jogtár megnyitása")</f>
        <v>Jogtár megnyitása</v>
      </c>
    </row>
    <row r="1737" customFormat="false" ht="34" hidden="false" customHeight="true" outlineLevel="0" collapsed="false">
      <c r="A1737" s="15" t="s">
        <v>6296</v>
      </c>
      <c r="B1737" s="15" t="s">
        <v>1471</v>
      </c>
      <c r="C1737" s="15" t="s">
        <v>6297</v>
      </c>
      <c r="D1737" s="15" t="s">
        <v>6298</v>
      </c>
      <c r="E1737" s="16" t="str">
        <f aca="false">HYPERLINK("#'Forrásszöveg'!A"&amp;(MATCH("VHR-S0413",Forrásszöveg!$A$6:$A$2497,0)+5),"41. § (11) eleje")</f>
        <v>41. § (11) eleje</v>
      </c>
      <c r="F1737" s="16" t="str">
        <f aca="false">HYPERLINK("https://net.jogtar.hu/jogszabaly?docid=a2400418.kor#pr413id","Jogtár megnyitása")</f>
        <v>Jogtár megnyitása</v>
      </c>
    </row>
    <row r="1738" customFormat="false" ht="34" hidden="false" customHeight="true" outlineLevel="0" collapsed="false">
      <c r="A1738" s="15" t="s">
        <v>6299</v>
      </c>
      <c r="B1738" s="15" t="s">
        <v>1471</v>
      </c>
      <c r="C1738" s="15" t="s">
        <v>1492</v>
      </c>
      <c r="D1738" s="15" t="s">
        <v>1492</v>
      </c>
      <c r="E1738" s="16" t="str">
        <f aca="false">HYPERLINK("#'Forrásszöveg'!A"&amp;(MATCH("VHR-S0384",Forrásszöveg!$A$6:$A$2497,0)+5),"41. § eleje")</f>
        <v>41. § eleje</v>
      </c>
      <c r="F1738" s="16" t="str">
        <f aca="false">HYPERLINK("https://net.jogtar.hu/jogszabaly?docid=a2400418.kor#pr414id","Jogtár megnyitása")</f>
        <v>Jogtár megnyitása</v>
      </c>
    </row>
    <row r="1739" customFormat="false" ht="34" hidden="false" customHeight="true" outlineLevel="0" collapsed="false">
      <c r="A1739" s="15" t="s">
        <v>6300</v>
      </c>
      <c r="B1739" s="15" t="s">
        <v>1471</v>
      </c>
      <c r="C1739" s="15" t="s">
        <v>3730</v>
      </c>
      <c r="D1739" s="15" t="s">
        <v>6301</v>
      </c>
      <c r="E1739" s="16" t="str">
        <f aca="false">HYPERLINK("#'Forrásszöveg'!A"&amp;(MATCH("VHR-S0415",Forrásszöveg!$A$6:$A$2497,0)+5),"42. § (1) eleje")</f>
        <v>42. § (1) eleje</v>
      </c>
      <c r="F1739" s="16" t="str">
        <f aca="false">HYPERLINK("https://net.jogtar.hu/jogszabaly?docid=a2400418.kor#pr415id","Jogtár megnyitása")</f>
        <v>Jogtár megnyitása</v>
      </c>
    </row>
    <row r="1740" customFormat="false" ht="38" hidden="false" customHeight="true" outlineLevel="0" collapsed="false">
      <c r="A1740" s="15" t="s">
        <v>6302</v>
      </c>
      <c r="B1740" s="15" t="s">
        <v>1471</v>
      </c>
      <c r="C1740" s="15" t="s">
        <v>6303</v>
      </c>
      <c r="D1740" s="15" t="s">
        <v>6304</v>
      </c>
      <c r="E1740" s="16" t="str">
        <f aca="false">HYPERLINK("#'Forrásszöveg'!A"&amp;(MATCH("VHR-S0415",Forrásszöveg!$A$6:$A$2497,0)+5),"42. § (1) eleje")</f>
        <v>42. § (1) eleje</v>
      </c>
      <c r="F1740" s="16" t="str">
        <f aca="false">HYPERLINK("https://net.jogtar.hu/jogszabaly?docid=a2400418.kor#pr416id","Jogtár megnyitása")</f>
        <v>Jogtár megnyitása</v>
      </c>
    </row>
    <row r="1741" customFormat="false" ht="38" hidden="false" customHeight="true" outlineLevel="0" collapsed="false">
      <c r="A1741" s="15" t="s">
        <v>6305</v>
      </c>
      <c r="B1741" s="15" t="s">
        <v>1471</v>
      </c>
      <c r="C1741" s="15" t="s">
        <v>6306</v>
      </c>
      <c r="D1741" s="15" t="s">
        <v>6307</v>
      </c>
      <c r="E1741" s="16" t="str">
        <f aca="false">HYPERLINK("#'Forrásszöveg'!A"&amp;(MATCH("VHR-S0415",Forrásszöveg!$A$6:$A$2497,0)+5),"42. § (1) eleje")</f>
        <v>42. § (1) eleje</v>
      </c>
      <c r="F1741" s="16" t="str">
        <f aca="false">HYPERLINK("https://net.jogtar.hu/jogszabaly?docid=a2400418.kor#pr417id","Jogtár megnyitása")</f>
        <v>Jogtár megnyitása</v>
      </c>
    </row>
    <row r="1742" customFormat="false" ht="34" hidden="false" customHeight="true" outlineLevel="0" collapsed="false">
      <c r="A1742" s="15" t="s">
        <v>6308</v>
      </c>
      <c r="B1742" s="15" t="s">
        <v>1471</v>
      </c>
      <c r="C1742" s="15" t="s">
        <v>3730</v>
      </c>
      <c r="D1742" s="15" t="s">
        <v>6309</v>
      </c>
      <c r="E1742" s="16" t="str">
        <f aca="false">HYPERLINK("#'Forrásszöveg'!A"&amp;(MATCH("VHR-S0415",Forrásszöveg!$A$6:$A$2497,0)+5),"42. § (1) eleje")</f>
        <v>42. § (1) eleje</v>
      </c>
      <c r="F1742" s="16" t="str">
        <f aca="false">HYPERLINK("https://net.jogtar.hu/jogszabaly?docid=a2400418.kor#pr418id","Jogtár megnyitása")</f>
        <v>Jogtár megnyitása</v>
      </c>
    </row>
    <row r="1743" customFormat="false" ht="34" hidden="false" customHeight="true" outlineLevel="0" collapsed="false">
      <c r="A1743" s="15" t="s">
        <v>6310</v>
      </c>
      <c r="B1743" s="15" t="s">
        <v>1471</v>
      </c>
      <c r="C1743" s="15" t="s">
        <v>3733</v>
      </c>
      <c r="D1743" s="15" t="s">
        <v>6311</v>
      </c>
      <c r="E1743" s="16" t="str">
        <f aca="false">HYPERLINK("#'Forrásszöveg'!A"&amp;(MATCH("VHR-S0419",Forrásszöveg!$A$6:$A$2497,0)+5),"42. § (2) eleje")</f>
        <v>42. § (2) eleje</v>
      </c>
      <c r="F1743" s="16" t="str">
        <f aca="false">HYPERLINK("https://net.jogtar.hu/jogszabaly?docid=a2400418.kor#pr419id","Jogtár megnyitása")</f>
        <v>Jogtár megnyitása</v>
      </c>
    </row>
    <row r="1744" customFormat="false" ht="38" hidden="false" customHeight="true" outlineLevel="0" collapsed="false">
      <c r="A1744" s="15" t="s">
        <v>6312</v>
      </c>
      <c r="B1744" s="15" t="s">
        <v>1471</v>
      </c>
      <c r="C1744" s="15" t="s">
        <v>6313</v>
      </c>
      <c r="D1744" s="15" t="s">
        <v>6314</v>
      </c>
      <c r="E1744" s="16" t="str">
        <f aca="false">HYPERLINK("#'Forrásszöveg'!A"&amp;(MATCH("VHR-S0419",Forrásszöveg!$A$6:$A$2497,0)+5),"42. § (2) eleje")</f>
        <v>42. § (2) eleje</v>
      </c>
      <c r="F1744" s="16" t="str">
        <f aca="false">HYPERLINK("https://net.jogtar.hu/jogszabaly?docid=a2400418.kor#pr420id","Jogtár megnyitása")</f>
        <v>Jogtár megnyitása</v>
      </c>
    </row>
    <row r="1745" customFormat="false" ht="38" hidden="false" customHeight="true" outlineLevel="0" collapsed="false">
      <c r="A1745" s="15" t="s">
        <v>6315</v>
      </c>
      <c r="B1745" s="15" t="s">
        <v>1471</v>
      </c>
      <c r="C1745" s="15" t="s">
        <v>6316</v>
      </c>
      <c r="D1745" s="15" t="s">
        <v>6317</v>
      </c>
      <c r="E1745" s="16" t="str">
        <f aca="false">HYPERLINK("#'Forrásszöveg'!A"&amp;(MATCH("VHR-S0419",Forrásszöveg!$A$6:$A$2497,0)+5),"42. § (2) eleje")</f>
        <v>42. § (2) eleje</v>
      </c>
      <c r="F1745" s="16" t="str">
        <f aca="false">HYPERLINK("https://net.jogtar.hu/jogszabaly?docid=a2400418.kor#pr421id","Jogtár megnyitása")</f>
        <v>Jogtár megnyitása</v>
      </c>
    </row>
    <row r="1746" customFormat="false" ht="38" hidden="false" customHeight="true" outlineLevel="0" collapsed="false">
      <c r="A1746" s="15" t="s">
        <v>6318</v>
      </c>
      <c r="B1746" s="15" t="s">
        <v>1471</v>
      </c>
      <c r="C1746" s="15" t="s">
        <v>6319</v>
      </c>
      <c r="D1746" s="15" t="s">
        <v>6320</v>
      </c>
      <c r="E1746" s="16" t="str">
        <f aca="false">HYPERLINK("#'Forrásszöveg'!A"&amp;(MATCH("VHR-S0422",Forrásszöveg!$A$6:$A$2497,0)+5),"42. § (3) eleje")</f>
        <v>42. § (3) eleje</v>
      </c>
      <c r="F1746" s="16" t="str">
        <f aca="false">HYPERLINK("https://net.jogtar.hu/jogszabaly?docid=a2400418.kor#pr422id","Jogtár megnyitása")</f>
        <v>Jogtár megnyitása</v>
      </c>
    </row>
    <row r="1747" customFormat="false" ht="38" hidden="false" customHeight="true" outlineLevel="0" collapsed="false">
      <c r="A1747" s="15" t="s">
        <v>6321</v>
      </c>
      <c r="B1747" s="15" t="s">
        <v>1471</v>
      </c>
      <c r="C1747" s="15" t="s">
        <v>6322</v>
      </c>
      <c r="D1747" s="15" t="s">
        <v>6323</v>
      </c>
      <c r="E1747" s="16" t="str">
        <f aca="false">HYPERLINK("#'Forrásszöveg'!A"&amp;(MATCH("VHR-S0423",Forrásszöveg!$A$6:$A$2497,0)+5),"42. § (4) eleje")</f>
        <v>42. § (4) eleje</v>
      </c>
      <c r="F1747" s="16" t="str">
        <f aca="false">HYPERLINK("https://net.jogtar.hu/jogszabaly?docid=a2400418.kor#pr423id","Jogtár megnyitása")</f>
        <v>Jogtár megnyitása</v>
      </c>
    </row>
    <row r="1748" customFormat="false" ht="52" hidden="false" customHeight="true" outlineLevel="0" collapsed="false">
      <c r="A1748" s="15" t="s">
        <v>6324</v>
      </c>
      <c r="B1748" s="15" t="s">
        <v>1471</v>
      </c>
      <c r="C1748" s="15" t="s">
        <v>1373</v>
      </c>
      <c r="D1748" s="15" t="s">
        <v>6325</v>
      </c>
      <c r="E1748" s="16" t="str">
        <f aca="false">HYPERLINK("#'Forrásszöveg'!A"&amp;(MATCH("VHR-S0424",Forrásszöveg!$A$6:$A$2497,0)+5),"43. § eleje")</f>
        <v>43. § eleje</v>
      </c>
      <c r="F1748" s="16" t="str">
        <f aca="false">HYPERLINK("https://net.jogtar.hu/jogszabaly?docid=a2400418.kor#pr424id","Jogtár megnyitása")</f>
        <v>Jogtár megnyitása</v>
      </c>
    </row>
    <row r="1749" customFormat="false" ht="38" hidden="false" customHeight="true" outlineLevel="0" collapsed="false">
      <c r="A1749" s="15" t="s">
        <v>6326</v>
      </c>
      <c r="B1749" s="15" t="s">
        <v>1471</v>
      </c>
      <c r="C1749" s="15" t="s">
        <v>3746</v>
      </c>
      <c r="D1749" s="15" t="s">
        <v>6327</v>
      </c>
      <c r="E1749" s="16" t="str">
        <f aca="false">HYPERLINK("#'Forrásszöveg'!A"&amp;(MATCH("VHR-S0425",Forrásszöveg!$A$6:$A$2497,0)+5),"44. § (1) eleje")</f>
        <v>44. § (1) eleje</v>
      </c>
      <c r="F1749" s="16" t="str">
        <f aca="false">HYPERLINK("https://net.jogtar.hu/jogszabaly?docid=a2400418.kor#pr425id","Jogtár megnyitása")</f>
        <v>Jogtár megnyitása</v>
      </c>
    </row>
    <row r="1750" customFormat="false" ht="38" hidden="false" customHeight="true" outlineLevel="0" collapsed="false">
      <c r="A1750" s="15" t="s">
        <v>6328</v>
      </c>
      <c r="B1750" s="15" t="s">
        <v>1471</v>
      </c>
      <c r="C1750" s="15" t="s">
        <v>3758</v>
      </c>
      <c r="D1750" s="15" t="s">
        <v>6329</v>
      </c>
      <c r="E1750" s="16" t="str">
        <f aca="false">HYPERLINK("#'Forrásszöveg'!A"&amp;(MATCH("VHR-S0426",Forrásszöveg!$A$6:$A$2497,0)+5),"44. § (2) eleje")</f>
        <v>44. § (2) eleje</v>
      </c>
      <c r="F1750" s="16" t="str">
        <f aca="false">HYPERLINK("https://net.jogtar.hu/jogszabaly?docid=a2400418.kor#pr426id","Jogtár megnyitása")</f>
        <v>Jogtár megnyitása</v>
      </c>
    </row>
    <row r="1751" customFormat="false" ht="38" hidden="false" customHeight="true" outlineLevel="0" collapsed="false">
      <c r="A1751" s="15" t="s">
        <v>6330</v>
      </c>
      <c r="B1751" s="15" t="s">
        <v>1471</v>
      </c>
      <c r="C1751" s="15" t="s">
        <v>3769</v>
      </c>
      <c r="D1751" s="15" t="s">
        <v>6331</v>
      </c>
      <c r="E1751" s="16" t="str">
        <f aca="false">HYPERLINK("#'Forrásszöveg'!A"&amp;(MATCH("VHR-S0427",Forrásszöveg!$A$6:$A$2497,0)+5),"44. § (3) eleje")</f>
        <v>44. § (3) eleje</v>
      </c>
      <c r="F1751" s="16" t="str">
        <f aca="false">HYPERLINK("https://net.jogtar.hu/jogszabaly?docid=a2400418.kor#pr427id","Jogtár megnyitása")</f>
        <v>Jogtár megnyitása</v>
      </c>
    </row>
    <row r="1752" customFormat="false" ht="38" hidden="false" customHeight="true" outlineLevel="0" collapsed="false">
      <c r="A1752" s="15" t="s">
        <v>6332</v>
      </c>
      <c r="B1752" s="15" t="s">
        <v>1471</v>
      </c>
      <c r="C1752" s="15" t="s">
        <v>6333</v>
      </c>
      <c r="D1752" s="15" t="s">
        <v>6334</v>
      </c>
      <c r="E1752" s="16" t="str">
        <f aca="false">HYPERLINK("#'Forrásszöveg'!A"&amp;(MATCH("VHR-S0428",Forrásszöveg!$A$6:$A$2497,0)+5),"44. § (4) eleje")</f>
        <v>44. § (4) eleje</v>
      </c>
      <c r="F1752" s="16" t="str">
        <f aca="false">HYPERLINK("https://net.jogtar.hu/jogszabaly?docid=a2400418.kor#pr428id","Jogtár megnyitása")</f>
        <v>Jogtár megnyitása</v>
      </c>
    </row>
    <row r="1753" customFormat="false" ht="38" hidden="false" customHeight="true" outlineLevel="0" collapsed="false">
      <c r="A1753" s="15" t="s">
        <v>6335</v>
      </c>
      <c r="B1753" s="15" t="s">
        <v>1471</v>
      </c>
      <c r="C1753" s="15" t="s">
        <v>6336</v>
      </c>
      <c r="D1753" s="15" t="s">
        <v>6337</v>
      </c>
      <c r="E1753" s="16" t="str">
        <f aca="false">HYPERLINK("#'Forrásszöveg'!A"&amp;(MATCH("VHR-S0429",Forrásszöveg!$A$6:$A$2497,0)+5),"44. § (5) eleje")</f>
        <v>44. § (5) eleje</v>
      </c>
      <c r="F1753" s="16" t="str">
        <f aca="false">HYPERLINK("https://net.jogtar.hu/jogszabaly?docid=a2400418.kor#pr429id","Jogtár megnyitása")</f>
        <v>Jogtár megnyitása</v>
      </c>
    </row>
    <row r="1754" customFormat="false" ht="34" hidden="false" customHeight="true" outlineLevel="0" collapsed="false">
      <c r="A1754" s="15" t="s">
        <v>6338</v>
      </c>
      <c r="B1754" s="15" t="s">
        <v>1471</v>
      </c>
      <c r="C1754" s="15" t="s">
        <v>3543</v>
      </c>
      <c r="D1754" s="15" t="s">
        <v>3543</v>
      </c>
      <c r="E1754" s="16" t="str">
        <f aca="false">HYPERLINK("#'Forrásszöveg'!A"&amp;(MATCH("VHR-S0425",Forrásszöveg!$A$6:$A$2497,0)+5),"44. § eleje")</f>
        <v>44. § eleje</v>
      </c>
      <c r="F1754" s="16" t="str">
        <f aca="false">HYPERLINK("https://net.jogtar.hu/jogszabaly?docid=a2400418.kor#pr430id","Jogtár megnyitása")</f>
        <v>Jogtár megnyitása</v>
      </c>
    </row>
    <row r="1755" customFormat="false" ht="34" hidden="false" customHeight="true" outlineLevel="0" collapsed="false">
      <c r="A1755" s="15" t="s">
        <v>6339</v>
      </c>
      <c r="B1755" s="15" t="s">
        <v>1471</v>
      </c>
      <c r="C1755" s="15" t="s">
        <v>6340</v>
      </c>
      <c r="D1755" s="15" t="s">
        <v>6340</v>
      </c>
      <c r="E1755" s="16" t="str">
        <f aca="false">HYPERLINK("#'Forrásszöveg'!A"&amp;(MATCH("VHR-S0425",Forrásszöveg!$A$6:$A$2497,0)+5),"44. § eleje")</f>
        <v>44. § eleje</v>
      </c>
      <c r="F1755" s="16" t="str">
        <f aca="false">HYPERLINK("https://net.jogtar.hu/jogszabaly?docid=a2400418.kor#pr431id","Jogtár megnyitása")</f>
        <v>Jogtár megnyitása</v>
      </c>
    </row>
    <row r="1756" customFormat="false" ht="52" hidden="false" customHeight="true" outlineLevel="0" collapsed="false">
      <c r="A1756" s="15" t="s">
        <v>6341</v>
      </c>
      <c r="B1756" s="15" t="s">
        <v>1471</v>
      </c>
      <c r="C1756" s="15" t="s">
        <v>1493</v>
      </c>
      <c r="D1756" s="15" t="s">
        <v>1493</v>
      </c>
      <c r="E1756" s="16" t="str">
        <f aca="false">HYPERLINK("#'Forrásszöveg'!A"&amp;(MATCH("VHR-S0425",Forrásszöveg!$A$6:$A$2497,0)+5),"44. § eleje")</f>
        <v>44. § eleje</v>
      </c>
      <c r="F1756" s="16" t="str">
        <f aca="false">HYPERLINK("https://net.jogtar.hu/jogszabaly?docid=a2400418.kor#pr432id","Jogtár megnyitása")</f>
        <v>Jogtár megnyitása</v>
      </c>
    </row>
    <row r="1757" customFormat="false" ht="52" hidden="false" customHeight="true" outlineLevel="0" collapsed="false">
      <c r="A1757" s="15" t="s">
        <v>6342</v>
      </c>
      <c r="B1757" s="15" t="s">
        <v>1471</v>
      </c>
      <c r="C1757" s="15" t="s">
        <v>1376</v>
      </c>
      <c r="D1757" s="15" t="s">
        <v>6343</v>
      </c>
      <c r="E1757" s="16" t="str">
        <f aca="false">HYPERLINK("#'Forrásszöveg'!A"&amp;(MATCH("VHR-S0433",Forrásszöveg!$A$6:$A$2497,0)+5),"45. § eleje")</f>
        <v>45. § eleje</v>
      </c>
      <c r="F1757" s="16" t="str">
        <f aca="false">HYPERLINK("https://net.jogtar.hu/jogszabaly?docid=a2400418.kor#pr433id","Jogtár megnyitása")</f>
        <v>Jogtár megnyitása</v>
      </c>
    </row>
    <row r="1758" customFormat="false" ht="94" hidden="false" customHeight="true" outlineLevel="0" collapsed="false">
      <c r="A1758" s="15" t="s">
        <v>6344</v>
      </c>
      <c r="B1758" s="15" t="s">
        <v>1471</v>
      </c>
      <c r="C1758" s="15" t="s">
        <v>3785</v>
      </c>
      <c r="D1758" s="15" t="s">
        <v>6345</v>
      </c>
      <c r="E1758" s="16" t="str">
        <f aca="false">HYPERLINK("#'Forrásszöveg'!A"&amp;(MATCH("VHR-S0434",Forrásszöveg!$A$6:$A$2497,0)+5),"46. § (1) eleje")</f>
        <v>46. § (1) eleje</v>
      </c>
      <c r="F1758" s="16" t="str">
        <f aca="false">HYPERLINK("https://net.jogtar.hu/jogszabaly?docid=a2400418.kor#pr434id","Jogtár megnyitása")</f>
        <v>Jogtár megnyitása</v>
      </c>
    </row>
    <row r="1759" customFormat="false" ht="38" hidden="false" customHeight="true" outlineLevel="0" collapsed="false">
      <c r="A1759" s="15" t="s">
        <v>6346</v>
      </c>
      <c r="B1759" s="15" t="s">
        <v>1471</v>
      </c>
      <c r="C1759" s="15" t="s">
        <v>3803</v>
      </c>
      <c r="D1759" s="15" t="s">
        <v>6347</v>
      </c>
      <c r="E1759" s="16" t="str">
        <f aca="false">HYPERLINK("#'Forrásszöveg'!A"&amp;(MATCH("VHR-S0435",Forrásszöveg!$A$6:$A$2497,0)+5),"46. § (2) eleje")</f>
        <v>46. § (2) eleje</v>
      </c>
      <c r="F1759" s="16" t="str">
        <f aca="false">HYPERLINK("https://net.jogtar.hu/jogszabaly?docid=a2400418.kor#pr435id","Jogtár megnyitása")</f>
        <v>Jogtár megnyitása</v>
      </c>
    </row>
    <row r="1760" customFormat="false" ht="38" hidden="false" customHeight="true" outlineLevel="0" collapsed="false">
      <c r="A1760" s="15" t="s">
        <v>6348</v>
      </c>
      <c r="B1760" s="15" t="s">
        <v>1471</v>
      </c>
      <c r="C1760" s="15" t="s">
        <v>3815</v>
      </c>
      <c r="D1760" s="15" t="s">
        <v>6349</v>
      </c>
      <c r="E1760" s="16" t="str">
        <f aca="false">HYPERLINK("#'Forrásszöveg'!A"&amp;(MATCH("VHR-S0436",Forrásszöveg!$A$6:$A$2497,0)+5),"46. § (3) eleje")</f>
        <v>46. § (3) eleje</v>
      </c>
      <c r="F1760" s="16" t="str">
        <f aca="false">HYPERLINK("https://net.jogtar.hu/jogszabaly?docid=a2400418.kor#pr436id","Jogtár megnyitása")</f>
        <v>Jogtár megnyitása</v>
      </c>
    </row>
    <row r="1761" customFormat="false" ht="38" hidden="false" customHeight="true" outlineLevel="0" collapsed="false">
      <c r="A1761" s="15" t="s">
        <v>6350</v>
      </c>
      <c r="B1761" s="15" t="s">
        <v>1471</v>
      </c>
      <c r="C1761" s="15" t="s">
        <v>6351</v>
      </c>
      <c r="D1761" s="15" t="s">
        <v>6352</v>
      </c>
      <c r="E1761" s="16" t="str">
        <f aca="false">HYPERLINK("#'Forrásszöveg'!A"&amp;(MATCH("VHR-S0437",Forrásszöveg!$A$6:$A$2497,0)+5),"46. § (4) eleje")</f>
        <v>46. § (4) eleje</v>
      </c>
      <c r="F1761" s="16" t="str">
        <f aca="false">HYPERLINK("https://net.jogtar.hu/jogszabaly?docid=a2400418.kor#pr437id","Jogtár megnyitása")</f>
        <v>Jogtár megnyitása</v>
      </c>
    </row>
    <row r="1762" customFormat="false" ht="38" hidden="false" customHeight="true" outlineLevel="0" collapsed="false">
      <c r="A1762" s="15" t="s">
        <v>6353</v>
      </c>
      <c r="B1762" s="15" t="s">
        <v>1471</v>
      </c>
      <c r="C1762" s="15" t="s">
        <v>1379</v>
      </c>
      <c r="D1762" s="15" t="s">
        <v>6354</v>
      </c>
      <c r="E1762" s="16" t="str">
        <f aca="false">HYPERLINK("#'Forrásszöveg'!A"&amp;(MATCH("VHR-S0438",Forrásszöveg!$A$6:$A$2497,0)+5),"47. § eleje")</f>
        <v>47. § eleje</v>
      </c>
      <c r="F1762" s="16" t="str">
        <f aca="false">HYPERLINK("https://net.jogtar.hu/jogszabaly?docid=a2400418.kor#pr438id","Jogtár megnyitása")</f>
        <v>Jogtár megnyitása</v>
      </c>
    </row>
    <row r="1763" customFormat="false" ht="34" hidden="false" customHeight="true" outlineLevel="0" collapsed="false">
      <c r="A1763" s="15" t="s">
        <v>6355</v>
      </c>
      <c r="B1763" s="15" t="s">
        <v>1471</v>
      </c>
      <c r="C1763" s="15" t="s">
        <v>3958</v>
      </c>
      <c r="D1763" s="15" t="s">
        <v>3958</v>
      </c>
      <c r="E1763" s="16" t="str">
        <f aca="false">HYPERLINK("#'Forrásszöveg'!A"&amp;(MATCH("VHR-S0438",Forrásszöveg!$A$6:$A$2497,0)+5),"47. § eleje")</f>
        <v>47. § eleje</v>
      </c>
      <c r="F1763" s="16" t="str">
        <f aca="false">HYPERLINK("https://net.jogtar.hu/jogszabaly?docid=a2400418.kor#pr439id","Jogtár megnyitása")</f>
        <v>Jogtár megnyitása</v>
      </c>
    </row>
    <row r="1764" customFormat="false" ht="34" hidden="false" customHeight="true" outlineLevel="0" collapsed="false">
      <c r="A1764" s="15" t="s">
        <v>6356</v>
      </c>
      <c r="B1764" s="15" t="s">
        <v>1471</v>
      </c>
      <c r="C1764" s="15" t="s">
        <v>4065</v>
      </c>
      <c r="D1764" s="15" t="s">
        <v>4065</v>
      </c>
      <c r="E1764" s="16" t="str">
        <f aca="false">HYPERLINK("#'Forrásszöveg'!A"&amp;(MATCH("VHR-S0438",Forrásszöveg!$A$6:$A$2497,0)+5),"47. § eleje")</f>
        <v>47. § eleje</v>
      </c>
      <c r="F1764" s="16" t="str">
        <f aca="false">HYPERLINK("https://net.jogtar.hu/jogszabaly?docid=a2400418.kor#pr440id","Jogtár megnyitása")</f>
        <v>Jogtár megnyitása</v>
      </c>
    </row>
    <row r="1765" customFormat="false" ht="52" hidden="false" customHeight="true" outlineLevel="0" collapsed="false">
      <c r="A1765" s="15" t="s">
        <v>6357</v>
      </c>
      <c r="B1765" s="15" t="s">
        <v>1471</v>
      </c>
      <c r="C1765" s="15" t="s">
        <v>1494</v>
      </c>
      <c r="D1765" s="15" t="s">
        <v>1494</v>
      </c>
      <c r="E1765" s="16" t="str">
        <f aca="false">HYPERLINK("#'Forrásszöveg'!A"&amp;(MATCH("VHR-S0438",Forrásszöveg!$A$6:$A$2497,0)+5),"47. § eleje")</f>
        <v>47. § eleje</v>
      </c>
      <c r="F1765" s="16" t="str">
        <f aca="false">HYPERLINK("https://net.jogtar.hu/jogszabaly?docid=a2400418.kor#pr441id","Jogtár megnyitása")</f>
        <v>Jogtár megnyitása</v>
      </c>
    </row>
    <row r="1766" customFormat="false" ht="38" hidden="false" customHeight="true" outlineLevel="0" collapsed="false">
      <c r="A1766" s="15" t="s">
        <v>6358</v>
      </c>
      <c r="B1766" s="15" t="s">
        <v>1471</v>
      </c>
      <c r="C1766" s="15" t="s">
        <v>3860</v>
      </c>
      <c r="D1766" s="15" t="s">
        <v>6359</v>
      </c>
      <c r="E1766" s="16" t="str">
        <f aca="false">HYPERLINK("#'Forrásszöveg'!A"&amp;(MATCH("VHR-S0442",Forrásszöveg!$A$6:$A$2497,0)+5),"48. § (1) eleje")</f>
        <v>48. § (1) eleje</v>
      </c>
      <c r="F1766" s="16" t="str">
        <f aca="false">HYPERLINK("https://net.jogtar.hu/jogszabaly?docid=a2400418.kor#pr442id","Jogtár megnyitása")</f>
        <v>Jogtár megnyitása</v>
      </c>
    </row>
    <row r="1767" customFormat="false" ht="38" hidden="false" customHeight="true" outlineLevel="0" collapsed="false">
      <c r="A1767" s="15" t="s">
        <v>6360</v>
      </c>
      <c r="B1767" s="15" t="s">
        <v>1471</v>
      </c>
      <c r="C1767" s="15" t="s">
        <v>3911</v>
      </c>
      <c r="D1767" s="15" t="s">
        <v>6361</v>
      </c>
      <c r="E1767" s="16" t="str">
        <f aca="false">HYPERLINK("#'Forrásszöveg'!A"&amp;(MATCH("VHR-S0443",Forrásszöveg!$A$6:$A$2497,0)+5),"48. § (2) eleje")</f>
        <v>48. § (2) eleje</v>
      </c>
      <c r="F1767" s="16" t="str">
        <f aca="false">HYPERLINK("https://net.jogtar.hu/jogszabaly?docid=a2400418.kor#pr443id","Jogtár megnyitása")</f>
        <v>Jogtár megnyitása</v>
      </c>
    </row>
    <row r="1768" customFormat="false" ht="38" hidden="false" customHeight="true" outlineLevel="0" collapsed="false">
      <c r="A1768" s="15" t="s">
        <v>6362</v>
      </c>
      <c r="B1768" s="15" t="s">
        <v>1471</v>
      </c>
      <c r="C1768" s="15" t="s">
        <v>3914</v>
      </c>
      <c r="D1768" s="15" t="s">
        <v>6363</v>
      </c>
      <c r="E1768" s="16" t="str">
        <f aca="false">HYPERLINK("#'Forrásszöveg'!A"&amp;(MATCH("VHR-S0444",Forrásszöveg!$A$6:$A$2497,0)+5),"48. § (3) eleje")</f>
        <v>48. § (3) eleje</v>
      </c>
      <c r="F1768" s="16" t="str">
        <f aca="false">HYPERLINK("https://net.jogtar.hu/jogszabaly?docid=a2400418.kor#pr444id","Jogtár megnyitása")</f>
        <v>Jogtár megnyitása</v>
      </c>
    </row>
    <row r="1769" customFormat="false" ht="38" hidden="false" customHeight="true" outlineLevel="0" collapsed="false">
      <c r="A1769" s="15" t="s">
        <v>6364</v>
      </c>
      <c r="B1769" s="15" t="s">
        <v>1471</v>
      </c>
      <c r="C1769" s="15" t="s">
        <v>3917</v>
      </c>
      <c r="D1769" s="15" t="s">
        <v>6365</v>
      </c>
      <c r="E1769" s="16" t="str">
        <f aca="false">HYPERLINK("#'Forrásszöveg'!A"&amp;(MATCH("VHR-S0445",Forrásszöveg!$A$6:$A$2497,0)+5),"48. § (4) eleje")</f>
        <v>48. § (4) eleje</v>
      </c>
      <c r="F1769" s="16" t="str">
        <f aca="false">HYPERLINK("https://net.jogtar.hu/jogszabaly?docid=a2400418.kor#pr445id","Jogtár megnyitása")</f>
        <v>Jogtár megnyitása</v>
      </c>
    </row>
    <row r="1770" customFormat="false" ht="52" hidden="false" customHeight="true" outlineLevel="0" collapsed="false">
      <c r="A1770" s="15" t="s">
        <v>6366</v>
      </c>
      <c r="B1770" s="15" t="s">
        <v>1471</v>
      </c>
      <c r="C1770" s="15" t="s">
        <v>3934</v>
      </c>
      <c r="D1770" s="15" t="s">
        <v>6367</v>
      </c>
      <c r="E1770" s="16" t="str">
        <f aca="false">HYPERLINK("#'Forrásszöveg'!A"&amp;(MATCH("VHR-S0446",Forrásszöveg!$A$6:$A$2497,0)+5),"49. § (1) eleje")</f>
        <v>49. § (1) eleje</v>
      </c>
      <c r="F1770" s="16" t="str">
        <f aca="false">HYPERLINK("https://net.jogtar.hu/jogszabaly?docid=a2400418.kor#pr446id","Jogtár megnyitása")</f>
        <v>Jogtár megnyitása</v>
      </c>
    </row>
    <row r="1771" customFormat="false" ht="52" hidden="false" customHeight="true" outlineLevel="0" collapsed="false">
      <c r="A1771" s="15" t="s">
        <v>6368</v>
      </c>
      <c r="B1771" s="15" t="s">
        <v>1471</v>
      </c>
      <c r="C1771" s="15" t="s">
        <v>3937</v>
      </c>
      <c r="D1771" s="15" t="s">
        <v>6369</v>
      </c>
      <c r="E1771" s="16" t="str">
        <f aca="false">HYPERLINK("#'Forrásszöveg'!A"&amp;(MATCH("VHR-S0447",Forrásszöveg!$A$6:$A$2497,0)+5),"49. § (2) eleje")</f>
        <v>49. § (2) eleje</v>
      </c>
      <c r="F1771" s="16" t="str">
        <f aca="false">HYPERLINK("https://net.jogtar.hu/jogszabaly?docid=a2400418.kor#pr447id","Jogtár megnyitása")</f>
        <v>Jogtár megnyitása</v>
      </c>
    </row>
    <row r="1772" customFormat="false" ht="34" hidden="false" customHeight="true" outlineLevel="0" collapsed="false">
      <c r="A1772" s="15" t="s">
        <v>6370</v>
      </c>
      <c r="B1772" s="15" t="s">
        <v>1471</v>
      </c>
      <c r="C1772" s="15" t="s">
        <v>1495</v>
      </c>
      <c r="D1772" s="15" t="s">
        <v>1495</v>
      </c>
      <c r="E1772" s="16" t="str">
        <f aca="false">HYPERLINK("#'Forrásszöveg'!A"&amp;(MATCH("VHR-S0446",Forrásszöveg!$A$6:$A$2497,0)+5),"49. § eleje")</f>
        <v>49. § eleje</v>
      </c>
      <c r="F1772" s="16" t="str">
        <f aca="false">HYPERLINK("https://net.jogtar.hu/jogszabaly?docid=a2400418.kor#pr448id","Jogtár megnyitása")</f>
        <v>Jogtár megnyitása</v>
      </c>
    </row>
    <row r="1773" customFormat="false" ht="38" hidden="false" customHeight="true" outlineLevel="0" collapsed="false">
      <c r="A1773" s="15" t="s">
        <v>6371</v>
      </c>
      <c r="B1773" s="15" t="s">
        <v>1471</v>
      </c>
      <c r="C1773" s="15" t="s">
        <v>3943</v>
      </c>
      <c r="D1773" s="15" t="s">
        <v>6372</v>
      </c>
      <c r="E1773" s="16" t="str">
        <f aca="false">HYPERLINK("#'Forrásszöveg'!A"&amp;(MATCH("VHR-S0449",Forrásszöveg!$A$6:$A$2497,0)+5),"50. § (1) eleje")</f>
        <v>50. § (1) eleje</v>
      </c>
      <c r="F1773" s="16" t="str">
        <f aca="false">HYPERLINK("https://net.jogtar.hu/jogszabaly?docid=a2400418.kor#pr449id","Jogtár megnyitása")</f>
        <v>Jogtár megnyitása</v>
      </c>
    </row>
    <row r="1774" customFormat="false" ht="34" hidden="false" customHeight="true" outlineLevel="0" collapsed="false">
      <c r="A1774" s="15" t="s">
        <v>6373</v>
      </c>
      <c r="B1774" s="15" t="s">
        <v>1471</v>
      </c>
      <c r="C1774" s="15" t="s">
        <v>6374</v>
      </c>
      <c r="D1774" s="15" t="s">
        <v>6375</v>
      </c>
      <c r="E1774" s="16" t="str">
        <f aca="false">HYPERLINK("#'Forrásszöveg'!A"&amp;(MATCH("VHR-S0449",Forrásszöveg!$A$6:$A$2497,0)+5),"50. § (1) eleje")</f>
        <v>50. § (1) eleje</v>
      </c>
      <c r="F1774" s="16" t="str">
        <f aca="false">HYPERLINK("https://net.jogtar.hu/jogszabaly?docid=a2400418.kor#pr450id","Jogtár megnyitása")</f>
        <v>Jogtár megnyitása</v>
      </c>
    </row>
    <row r="1775" customFormat="false" ht="34" hidden="false" customHeight="true" outlineLevel="0" collapsed="false">
      <c r="A1775" s="15" t="s">
        <v>6376</v>
      </c>
      <c r="B1775" s="15" t="s">
        <v>1471</v>
      </c>
      <c r="C1775" s="15" t="s">
        <v>6377</v>
      </c>
      <c r="D1775" s="15" t="s">
        <v>6378</v>
      </c>
      <c r="E1775" s="16" t="str">
        <f aca="false">HYPERLINK("#'Forrásszöveg'!A"&amp;(MATCH("VHR-S0449",Forrásszöveg!$A$6:$A$2497,0)+5),"50. § (1) eleje")</f>
        <v>50. § (1) eleje</v>
      </c>
      <c r="F1775" s="16" t="str">
        <f aca="false">HYPERLINK("https://net.jogtar.hu/jogszabaly?docid=a2400418.kor#pr451id","Jogtár megnyitása")</f>
        <v>Jogtár megnyitása</v>
      </c>
    </row>
    <row r="1776" customFormat="false" ht="34" hidden="false" customHeight="true" outlineLevel="0" collapsed="false">
      <c r="A1776" s="15" t="s">
        <v>6379</v>
      </c>
      <c r="B1776" s="15" t="s">
        <v>1471</v>
      </c>
      <c r="C1776" s="15" t="s">
        <v>6380</v>
      </c>
      <c r="D1776" s="15" t="s">
        <v>6381</v>
      </c>
      <c r="E1776" s="16" t="str">
        <f aca="false">HYPERLINK("#'Forrásszöveg'!A"&amp;(MATCH("VHR-S0449",Forrásszöveg!$A$6:$A$2497,0)+5),"50. § (1) eleje")</f>
        <v>50. § (1) eleje</v>
      </c>
      <c r="F1776" s="16" t="str">
        <f aca="false">HYPERLINK("https://net.jogtar.hu/jogszabaly?docid=a2400418.kor#pr452id","Jogtár megnyitása")</f>
        <v>Jogtár megnyitása</v>
      </c>
    </row>
    <row r="1777" customFormat="false" ht="34" hidden="false" customHeight="true" outlineLevel="0" collapsed="false">
      <c r="A1777" s="15" t="s">
        <v>6382</v>
      </c>
      <c r="B1777" s="15" t="s">
        <v>1471</v>
      </c>
      <c r="C1777" s="15" t="s">
        <v>6383</v>
      </c>
      <c r="D1777" s="15" t="s">
        <v>6384</v>
      </c>
      <c r="E1777" s="16" t="str">
        <f aca="false">HYPERLINK("#'Forrásszöveg'!A"&amp;(MATCH("VHR-S0449",Forrásszöveg!$A$6:$A$2497,0)+5),"50. § (1) eleje")</f>
        <v>50. § (1) eleje</v>
      </c>
      <c r="F1777" s="16" t="str">
        <f aca="false">HYPERLINK("https://net.jogtar.hu/jogszabaly?docid=a2400418.kor#pr453id","Jogtár megnyitása")</f>
        <v>Jogtár megnyitása</v>
      </c>
    </row>
    <row r="1778" customFormat="false" ht="34" hidden="false" customHeight="true" outlineLevel="0" collapsed="false">
      <c r="A1778" s="15" t="s">
        <v>6385</v>
      </c>
      <c r="B1778" s="15" t="s">
        <v>1471</v>
      </c>
      <c r="C1778" s="15" t="s">
        <v>6386</v>
      </c>
      <c r="D1778" s="15" t="s">
        <v>6387</v>
      </c>
      <c r="E1778" s="16" t="str">
        <f aca="false">HYPERLINK("#'Forrásszöveg'!A"&amp;(MATCH("VHR-S0449",Forrásszöveg!$A$6:$A$2497,0)+5),"50. § (1) eleje")</f>
        <v>50. § (1) eleje</v>
      </c>
      <c r="F1778" s="16" t="str">
        <f aca="false">HYPERLINK("https://net.jogtar.hu/jogszabaly?docid=a2400418.kor#pr454id","Jogtár megnyitása")</f>
        <v>Jogtár megnyitása</v>
      </c>
    </row>
    <row r="1779" customFormat="false" ht="38" hidden="false" customHeight="true" outlineLevel="0" collapsed="false">
      <c r="A1779" s="15" t="s">
        <v>6388</v>
      </c>
      <c r="B1779" s="15" t="s">
        <v>1471</v>
      </c>
      <c r="C1779" s="15" t="s">
        <v>3946</v>
      </c>
      <c r="D1779" s="15" t="s">
        <v>6389</v>
      </c>
      <c r="E1779" s="16" t="str">
        <f aca="false">HYPERLINK("#'Forrásszöveg'!A"&amp;(MATCH("VHR-S0455",Forrásszöveg!$A$6:$A$2497,0)+5),"50. § (2) eleje")</f>
        <v>50. § (2) eleje</v>
      </c>
      <c r="F1779" s="16" t="str">
        <f aca="false">HYPERLINK("https://net.jogtar.hu/jogszabaly?docid=a2400418.kor#pr455id","Jogtár megnyitása")</f>
        <v>Jogtár megnyitása</v>
      </c>
    </row>
    <row r="1780" customFormat="false" ht="34" hidden="false" customHeight="true" outlineLevel="0" collapsed="false">
      <c r="A1780" s="15" t="s">
        <v>6390</v>
      </c>
      <c r="B1780" s="15" t="s">
        <v>1471</v>
      </c>
      <c r="C1780" s="15" t="s">
        <v>6391</v>
      </c>
      <c r="D1780" s="15" t="s">
        <v>6392</v>
      </c>
      <c r="E1780" s="16" t="str">
        <f aca="false">HYPERLINK("#'Forrásszöveg'!A"&amp;(MATCH("VHR-S0455",Forrásszöveg!$A$6:$A$2497,0)+5),"50. § (2) eleje")</f>
        <v>50. § (2) eleje</v>
      </c>
      <c r="F1780" s="16" t="str">
        <f aca="false">HYPERLINK("https://net.jogtar.hu/jogszabaly?docid=a2400418.kor#pr456id","Jogtár megnyitása")</f>
        <v>Jogtár megnyitása</v>
      </c>
    </row>
    <row r="1781" customFormat="false" ht="34" hidden="false" customHeight="true" outlineLevel="0" collapsed="false">
      <c r="A1781" s="15" t="s">
        <v>6393</v>
      </c>
      <c r="B1781" s="15" t="s">
        <v>1471</v>
      </c>
      <c r="C1781" s="15" t="s">
        <v>6394</v>
      </c>
      <c r="D1781" s="15" t="s">
        <v>6395</v>
      </c>
      <c r="E1781" s="16" t="str">
        <f aca="false">HYPERLINK("#'Forrásszöveg'!A"&amp;(MATCH("VHR-S0455",Forrásszöveg!$A$6:$A$2497,0)+5),"50. § (2) eleje")</f>
        <v>50. § (2) eleje</v>
      </c>
      <c r="F1781" s="16" t="str">
        <f aca="false">HYPERLINK("https://net.jogtar.hu/jogszabaly?docid=a2400418.kor#pr457id","Jogtár megnyitása")</f>
        <v>Jogtár megnyitása</v>
      </c>
    </row>
    <row r="1782" customFormat="false" ht="34" hidden="false" customHeight="true" outlineLevel="0" collapsed="false">
      <c r="A1782" s="15" t="s">
        <v>6396</v>
      </c>
      <c r="B1782" s="15" t="s">
        <v>1471</v>
      </c>
      <c r="C1782" s="15" t="s">
        <v>6397</v>
      </c>
      <c r="D1782" s="15" t="s">
        <v>6398</v>
      </c>
      <c r="E1782" s="16" t="str">
        <f aca="false">HYPERLINK("#'Forrásszöveg'!A"&amp;(MATCH("VHR-S0455",Forrásszöveg!$A$6:$A$2497,0)+5),"50. § (2) eleje")</f>
        <v>50. § (2) eleje</v>
      </c>
      <c r="F1782" s="16" t="str">
        <f aca="false">HYPERLINK("https://net.jogtar.hu/jogszabaly?docid=a2400418.kor#pr458id","Jogtár megnyitása")</f>
        <v>Jogtár megnyitása</v>
      </c>
    </row>
    <row r="1783" customFormat="false" ht="34" hidden="false" customHeight="true" outlineLevel="0" collapsed="false">
      <c r="A1783" s="15" t="s">
        <v>6399</v>
      </c>
      <c r="B1783" s="15" t="s">
        <v>1471</v>
      </c>
      <c r="C1783" s="15" t="s">
        <v>6400</v>
      </c>
      <c r="D1783" s="15" t="s">
        <v>6401</v>
      </c>
      <c r="E1783" s="16" t="str">
        <f aca="false">HYPERLINK("#'Forrásszöveg'!A"&amp;(MATCH("VHR-S0459",Forrásszöveg!$A$6:$A$2497,0)+5),"51. § (1) eleje")</f>
        <v>51. § (1) eleje</v>
      </c>
      <c r="F1783" s="16" t="str">
        <f aca="false">HYPERLINK("https://net.jogtar.hu/jogszabaly?docid=a2400418.kor#pr459id","Jogtár megnyitása")</f>
        <v>Jogtár megnyitása</v>
      </c>
    </row>
    <row r="1784" customFormat="false" ht="34" hidden="false" customHeight="true" outlineLevel="0" collapsed="false">
      <c r="A1784" s="15" t="s">
        <v>6402</v>
      </c>
      <c r="B1784" s="15" t="s">
        <v>1471</v>
      </c>
      <c r="C1784" s="15" t="s">
        <v>6403</v>
      </c>
      <c r="D1784" s="15" t="s">
        <v>6404</v>
      </c>
      <c r="E1784" s="16" t="str">
        <f aca="false">HYPERLINK("#'Forrásszöveg'!A"&amp;(MATCH("VHR-S0459",Forrásszöveg!$A$6:$A$2497,0)+5),"51. § (1) eleje")</f>
        <v>51. § (1) eleje</v>
      </c>
      <c r="F1784" s="16" t="str">
        <f aca="false">HYPERLINK("https://net.jogtar.hu/jogszabaly?docid=a2400418.kor#pr460id","Jogtár megnyitása")</f>
        <v>Jogtár megnyitása</v>
      </c>
    </row>
    <row r="1785" customFormat="false" ht="34" hidden="false" customHeight="true" outlineLevel="0" collapsed="false">
      <c r="A1785" s="15" t="s">
        <v>6405</v>
      </c>
      <c r="B1785" s="15" t="s">
        <v>1471</v>
      </c>
      <c r="C1785" s="15" t="s">
        <v>6406</v>
      </c>
      <c r="D1785" s="15" t="s">
        <v>6407</v>
      </c>
      <c r="E1785" s="16" t="str">
        <f aca="false">HYPERLINK("#'Forrásszöveg'!A"&amp;(MATCH("VHR-S0459",Forrásszöveg!$A$6:$A$2497,0)+5),"51. § (1) eleje")</f>
        <v>51. § (1) eleje</v>
      </c>
      <c r="F1785" s="16" t="str">
        <f aca="false">HYPERLINK("https://net.jogtar.hu/jogszabaly?docid=a2400418.kor#pr461id","Jogtár megnyitása")</f>
        <v>Jogtár megnyitása</v>
      </c>
    </row>
    <row r="1786" customFormat="false" ht="34" hidden="false" customHeight="true" outlineLevel="0" collapsed="false">
      <c r="A1786" s="15" t="s">
        <v>6408</v>
      </c>
      <c r="B1786" s="15" t="s">
        <v>1471</v>
      </c>
      <c r="C1786" s="15" t="s">
        <v>6409</v>
      </c>
      <c r="D1786" s="15" t="s">
        <v>6410</v>
      </c>
      <c r="E1786" s="16" t="str">
        <f aca="false">HYPERLINK("#'Forrásszöveg'!A"&amp;(MATCH("VHR-S0459",Forrásszöveg!$A$6:$A$2497,0)+5),"51. § (1) eleje")</f>
        <v>51. § (1) eleje</v>
      </c>
      <c r="F1786" s="16" t="str">
        <f aca="false">HYPERLINK("https://net.jogtar.hu/jogszabaly?docid=a2400418.kor#pr462id","Jogtár megnyitása")</f>
        <v>Jogtár megnyitása</v>
      </c>
    </row>
    <row r="1787" customFormat="false" ht="34" hidden="false" customHeight="true" outlineLevel="0" collapsed="false">
      <c r="A1787" s="15" t="s">
        <v>6411</v>
      </c>
      <c r="B1787" s="15" t="s">
        <v>1471</v>
      </c>
      <c r="C1787" s="15" t="s">
        <v>6412</v>
      </c>
      <c r="D1787" s="15" t="s">
        <v>6413</v>
      </c>
      <c r="E1787" s="16" t="str">
        <f aca="false">HYPERLINK("#'Forrásszöveg'!A"&amp;(MATCH("VHR-S0459",Forrásszöveg!$A$6:$A$2497,0)+5),"51. § (1) eleje")</f>
        <v>51. § (1) eleje</v>
      </c>
      <c r="F1787" s="16" t="str">
        <f aca="false">HYPERLINK("https://net.jogtar.hu/jogszabaly?docid=a2400418.kor#pr463id","Jogtár megnyitása")</f>
        <v>Jogtár megnyitása</v>
      </c>
    </row>
    <row r="1788" customFormat="false" ht="34" hidden="false" customHeight="true" outlineLevel="0" collapsed="false">
      <c r="A1788" s="15" t="s">
        <v>6414</v>
      </c>
      <c r="B1788" s="15" t="s">
        <v>1471</v>
      </c>
      <c r="C1788" s="15" t="s">
        <v>6415</v>
      </c>
      <c r="D1788" s="15" t="s">
        <v>6416</v>
      </c>
      <c r="E1788" s="16" t="str">
        <f aca="false">HYPERLINK("#'Forrásszöveg'!A"&amp;(MATCH("VHR-S0459",Forrásszöveg!$A$6:$A$2497,0)+5),"51. § (1) eleje")</f>
        <v>51. § (1) eleje</v>
      </c>
      <c r="F1788" s="16" t="str">
        <f aca="false">HYPERLINK("https://net.jogtar.hu/jogszabaly?docid=a2400418.kor#pr464id","Jogtár megnyitása")</f>
        <v>Jogtár megnyitása</v>
      </c>
    </row>
    <row r="1789" customFormat="false" ht="38" hidden="false" customHeight="true" outlineLevel="0" collapsed="false">
      <c r="A1789" s="15" t="s">
        <v>6417</v>
      </c>
      <c r="B1789" s="15" t="s">
        <v>1471</v>
      </c>
      <c r="C1789" s="15" t="s">
        <v>6418</v>
      </c>
      <c r="D1789" s="15" t="s">
        <v>6419</v>
      </c>
      <c r="E1789" s="16" t="str">
        <f aca="false">HYPERLINK("#'Forrásszöveg'!A"&amp;(MATCH("VHR-S0465",Forrásszöveg!$A$6:$A$2497,0)+5),"51. § (2) eleje")</f>
        <v>51. § (2) eleje</v>
      </c>
      <c r="F1789" s="16" t="str">
        <f aca="false">HYPERLINK("https://net.jogtar.hu/jogszabaly?docid=a2400418.kor#pr465id","Jogtár megnyitása")</f>
        <v>Jogtár megnyitása</v>
      </c>
    </row>
    <row r="1790" customFormat="false" ht="52" hidden="false" customHeight="true" outlineLevel="0" collapsed="false">
      <c r="A1790" s="15" t="s">
        <v>6420</v>
      </c>
      <c r="B1790" s="15" t="s">
        <v>1471</v>
      </c>
      <c r="C1790" s="15" t="s">
        <v>6421</v>
      </c>
      <c r="D1790" s="15" t="s">
        <v>6422</v>
      </c>
      <c r="E1790" s="16" t="str">
        <f aca="false">HYPERLINK("#'Forrásszöveg'!A"&amp;(MATCH("VHR-S0466",Forrásszöveg!$A$6:$A$2497,0)+5),"52. § (1) eleje")</f>
        <v>52. § (1) eleje</v>
      </c>
      <c r="F1790" s="16" t="str">
        <f aca="false">HYPERLINK("https://net.jogtar.hu/jogszabaly?docid=a2400418.kor#pr466id","Jogtár megnyitása")</f>
        <v>Jogtár megnyitása</v>
      </c>
    </row>
    <row r="1791" customFormat="false" ht="38" hidden="false" customHeight="true" outlineLevel="0" collapsed="false">
      <c r="A1791" s="15" t="s">
        <v>6423</v>
      </c>
      <c r="B1791" s="15" t="s">
        <v>1471</v>
      </c>
      <c r="C1791" s="15" t="s">
        <v>6424</v>
      </c>
      <c r="D1791" s="15" t="s">
        <v>6425</v>
      </c>
      <c r="E1791" s="16" t="str">
        <f aca="false">HYPERLINK("#'Forrásszöveg'!A"&amp;(MATCH("VHR-S0467",Forrásszöveg!$A$6:$A$2497,0)+5),"52. § (2) eleje")</f>
        <v>52. § (2) eleje</v>
      </c>
      <c r="F1791" s="16" t="str">
        <f aca="false">HYPERLINK("https://net.jogtar.hu/jogszabaly?docid=a2400418.kor#pr467id","Jogtár megnyitása")</f>
        <v>Jogtár megnyitása</v>
      </c>
    </row>
    <row r="1792" customFormat="false" ht="52" hidden="false" customHeight="true" outlineLevel="0" collapsed="false">
      <c r="A1792" s="15" t="s">
        <v>6426</v>
      </c>
      <c r="B1792" s="15" t="s">
        <v>1471</v>
      </c>
      <c r="C1792" s="15" t="s">
        <v>6427</v>
      </c>
      <c r="D1792" s="15" t="s">
        <v>6428</v>
      </c>
      <c r="E1792" s="16" t="str">
        <f aca="false">HYPERLINK("#'Forrásszöveg'!A"&amp;(MATCH("VHR-S0468",Forrásszöveg!$A$6:$A$2497,0)+5),"52. § (3) eleje")</f>
        <v>52. § (3) eleje</v>
      </c>
      <c r="F1792" s="16" t="str">
        <f aca="false">HYPERLINK("https://net.jogtar.hu/jogszabaly?docid=a2400418.kor#pr468id","Jogtár megnyitása")</f>
        <v>Jogtár megnyitása</v>
      </c>
    </row>
    <row r="1793" customFormat="false" ht="34" hidden="false" customHeight="true" outlineLevel="0" collapsed="false">
      <c r="A1793" s="15" t="s">
        <v>6429</v>
      </c>
      <c r="B1793" s="15" t="s">
        <v>1471</v>
      </c>
      <c r="C1793" s="15" t="s">
        <v>6430</v>
      </c>
      <c r="D1793" s="15" t="s">
        <v>6431</v>
      </c>
      <c r="E1793" s="16" t="str">
        <f aca="false">HYPERLINK("#'Forrásszöveg'!A"&amp;(MATCH("VHR-S0469",Forrásszöveg!$A$6:$A$2497,0)+5),"52. § (4) eleje")</f>
        <v>52. § (4) eleje</v>
      </c>
      <c r="F1793" s="16" t="str">
        <f aca="false">HYPERLINK("https://net.jogtar.hu/jogszabaly?docid=a2400418.kor#pr469id","Jogtár megnyitása")</f>
        <v>Jogtár megnyitása</v>
      </c>
    </row>
    <row r="1794" customFormat="false" ht="34" hidden="false" customHeight="true" outlineLevel="0" collapsed="false">
      <c r="A1794" s="15" t="s">
        <v>6432</v>
      </c>
      <c r="B1794" s="15" t="s">
        <v>1471</v>
      </c>
      <c r="C1794" s="15" t="s">
        <v>6433</v>
      </c>
      <c r="D1794" s="15" t="s">
        <v>6434</v>
      </c>
      <c r="E1794" s="16" t="str">
        <f aca="false">HYPERLINK("#'Forrásszöveg'!A"&amp;(MATCH("VHR-S0469",Forrásszöveg!$A$6:$A$2497,0)+5),"52. § (4) eleje")</f>
        <v>52. § (4) eleje</v>
      </c>
      <c r="F1794" s="16" t="str">
        <f aca="false">HYPERLINK("https://net.jogtar.hu/jogszabaly?docid=a2400418.kor#pr470id","Jogtár megnyitása")</f>
        <v>Jogtár megnyitása</v>
      </c>
    </row>
    <row r="1795" customFormat="false" ht="34" hidden="false" customHeight="true" outlineLevel="0" collapsed="false">
      <c r="A1795" s="15" t="s">
        <v>6435</v>
      </c>
      <c r="B1795" s="15" t="s">
        <v>1471</v>
      </c>
      <c r="C1795" s="15" t="s">
        <v>6436</v>
      </c>
      <c r="D1795" s="15" t="s">
        <v>6437</v>
      </c>
      <c r="E1795" s="16" t="str">
        <f aca="false">HYPERLINK("#'Forrásszöveg'!A"&amp;(MATCH("VHR-S0469",Forrásszöveg!$A$6:$A$2497,0)+5),"52. § (4) eleje")</f>
        <v>52. § (4) eleje</v>
      </c>
      <c r="F1795" s="16" t="str">
        <f aca="false">HYPERLINK("https://net.jogtar.hu/jogszabaly?docid=a2400418.kor#pr471id","Jogtár megnyitása")</f>
        <v>Jogtár megnyitása</v>
      </c>
    </row>
    <row r="1796" customFormat="false" ht="34" hidden="false" customHeight="true" outlineLevel="0" collapsed="false">
      <c r="A1796" s="15" t="s">
        <v>6438</v>
      </c>
      <c r="B1796" s="15" t="s">
        <v>1471</v>
      </c>
      <c r="C1796" s="15" t="s">
        <v>6439</v>
      </c>
      <c r="D1796" s="15" t="s">
        <v>6440</v>
      </c>
      <c r="E1796" s="16" t="str">
        <f aca="false">HYPERLINK("#'Forrásszöveg'!A"&amp;(MATCH("VHR-S0469",Forrásszöveg!$A$6:$A$2497,0)+5),"52. § (4) eleje")</f>
        <v>52. § (4) eleje</v>
      </c>
      <c r="F1796" s="16" t="str">
        <f aca="false">HYPERLINK("https://net.jogtar.hu/jogszabaly?docid=a2400418.kor#pr472id","Jogtár megnyitása")</f>
        <v>Jogtár megnyitása</v>
      </c>
    </row>
    <row r="1797" customFormat="false" ht="34" hidden="false" customHeight="true" outlineLevel="0" collapsed="false">
      <c r="A1797" s="15" t="s">
        <v>6441</v>
      </c>
      <c r="B1797" s="15" t="s">
        <v>1471</v>
      </c>
      <c r="C1797" s="15" t="s">
        <v>6442</v>
      </c>
      <c r="D1797" s="15" t="s">
        <v>6443</v>
      </c>
      <c r="E1797" s="16" t="str">
        <f aca="false">HYPERLINK("#'Forrásszöveg'!A"&amp;(MATCH("VHR-S0469",Forrásszöveg!$A$6:$A$2497,0)+5),"52. § (4) eleje")</f>
        <v>52. § (4) eleje</v>
      </c>
      <c r="F1797" s="16" t="str">
        <f aca="false">HYPERLINK("https://net.jogtar.hu/jogszabaly?docid=a2400418.kor#pr473id","Jogtár megnyitása")</f>
        <v>Jogtár megnyitása</v>
      </c>
    </row>
    <row r="1798" customFormat="false" ht="34" hidden="false" customHeight="true" outlineLevel="0" collapsed="false">
      <c r="A1798" s="15" t="s">
        <v>6444</v>
      </c>
      <c r="B1798" s="15" t="s">
        <v>1471</v>
      </c>
      <c r="C1798" s="15" t="s">
        <v>6445</v>
      </c>
      <c r="D1798" s="15" t="s">
        <v>6446</v>
      </c>
      <c r="E1798" s="16" t="str">
        <f aca="false">HYPERLINK("#'Forrásszöveg'!A"&amp;(MATCH("VHR-S0469",Forrásszöveg!$A$6:$A$2497,0)+5),"52. § (4) eleje")</f>
        <v>52. § (4) eleje</v>
      </c>
      <c r="F1798" s="16" t="str">
        <f aca="false">HYPERLINK("https://net.jogtar.hu/jogszabaly?docid=a2400418.kor#pr474id","Jogtár megnyitása")</f>
        <v>Jogtár megnyitása</v>
      </c>
    </row>
    <row r="1799" customFormat="false" ht="34" hidden="false" customHeight="true" outlineLevel="0" collapsed="false">
      <c r="A1799" s="15" t="s">
        <v>6447</v>
      </c>
      <c r="B1799" s="15" t="s">
        <v>1471</v>
      </c>
      <c r="C1799" s="15" t="s">
        <v>6448</v>
      </c>
      <c r="D1799" s="15" t="s">
        <v>6449</v>
      </c>
      <c r="E1799" s="16" t="str">
        <f aca="false">HYPERLINK("#'Forrásszöveg'!A"&amp;(MATCH("VHR-S0469",Forrásszöveg!$A$6:$A$2497,0)+5),"52. § (4) eleje")</f>
        <v>52. § (4) eleje</v>
      </c>
      <c r="F1799" s="16" t="str">
        <f aca="false">HYPERLINK("https://net.jogtar.hu/jogszabaly?docid=a2400418.kor#pr475id","Jogtár megnyitása")</f>
        <v>Jogtár megnyitása</v>
      </c>
    </row>
    <row r="1800" customFormat="false" ht="34" hidden="false" customHeight="true" outlineLevel="0" collapsed="false">
      <c r="A1800" s="15" t="s">
        <v>6450</v>
      </c>
      <c r="B1800" s="15" t="s">
        <v>1471</v>
      </c>
      <c r="C1800" s="15" t="s">
        <v>6451</v>
      </c>
      <c r="D1800" s="15" t="s">
        <v>6452</v>
      </c>
      <c r="E1800" s="16" t="str">
        <f aca="false">HYPERLINK("#'Forrásszöveg'!A"&amp;(MATCH("VHR-S0469",Forrásszöveg!$A$6:$A$2497,0)+5),"52. § (4) eleje")</f>
        <v>52. § (4) eleje</v>
      </c>
      <c r="F1800" s="16" t="str">
        <f aca="false">HYPERLINK("https://net.jogtar.hu/jogszabaly?docid=a2400418.kor#pr476id","Jogtár megnyitása")</f>
        <v>Jogtár megnyitása</v>
      </c>
    </row>
    <row r="1801" customFormat="false" ht="34" hidden="false" customHeight="true" outlineLevel="0" collapsed="false">
      <c r="A1801" s="15" t="s">
        <v>6453</v>
      </c>
      <c r="B1801" s="15" t="s">
        <v>1471</v>
      </c>
      <c r="C1801" s="15" t="s">
        <v>6430</v>
      </c>
      <c r="D1801" s="15" t="s">
        <v>6454</v>
      </c>
      <c r="E1801" s="16" t="str">
        <f aca="false">HYPERLINK("#'Forrásszöveg'!A"&amp;(MATCH("VHR-S0469",Forrásszöveg!$A$6:$A$2497,0)+5),"52. § (4) eleje")</f>
        <v>52. § (4) eleje</v>
      </c>
      <c r="F1801" s="16" t="str">
        <f aca="false">HYPERLINK("https://net.jogtar.hu/jogszabaly?docid=a2400418.kor#pr477id","Jogtár megnyitása")</f>
        <v>Jogtár megnyitása</v>
      </c>
    </row>
    <row r="1802" customFormat="false" ht="38" hidden="false" customHeight="true" outlineLevel="0" collapsed="false">
      <c r="A1802" s="15" t="s">
        <v>6455</v>
      </c>
      <c r="B1802" s="15" t="s">
        <v>1471</v>
      </c>
      <c r="C1802" s="15" t="s">
        <v>6456</v>
      </c>
      <c r="D1802" s="15" t="s">
        <v>6457</v>
      </c>
      <c r="E1802" s="16" t="str">
        <f aca="false">HYPERLINK("#'Forrásszöveg'!A"&amp;(MATCH("VHR-S0469",Forrásszöveg!$A$6:$A$2497,0)+5),"52. § (4) eleje")</f>
        <v>52. § (4) eleje</v>
      </c>
      <c r="F1802" s="16" t="str">
        <f aca="false">HYPERLINK("https://net.jogtar.hu/jogszabaly?docid=a2400418.kor#pr478id","Jogtár megnyitása")</f>
        <v>Jogtár megnyitása</v>
      </c>
    </row>
    <row r="1803" customFormat="false" ht="38" hidden="false" customHeight="true" outlineLevel="0" collapsed="false">
      <c r="A1803" s="15" t="s">
        <v>6458</v>
      </c>
      <c r="B1803" s="15" t="s">
        <v>1471</v>
      </c>
      <c r="C1803" s="15" t="s">
        <v>6459</v>
      </c>
      <c r="D1803" s="15" t="s">
        <v>6460</v>
      </c>
      <c r="E1803" s="16" t="str">
        <f aca="false">HYPERLINK("#'Forrásszöveg'!A"&amp;(MATCH("VHR-S0469",Forrásszöveg!$A$6:$A$2497,0)+5),"52. § (4) eleje")</f>
        <v>52. § (4) eleje</v>
      </c>
      <c r="F1803" s="16" t="str">
        <f aca="false">HYPERLINK("https://net.jogtar.hu/jogszabaly?docid=a2400418.kor#pr479id","Jogtár megnyitása")</f>
        <v>Jogtár megnyitása</v>
      </c>
    </row>
    <row r="1804" customFormat="false" ht="38" hidden="false" customHeight="true" outlineLevel="0" collapsed="false">
      <c r="A1804" s="15" t="s">
        <v>6461</v>
      </c>
      <c r="B1804" s="15" t="s">
        <v>1471</v>
      </c>
      <c r="C1804" s="15" t="s">
        <v>1496</v>
      </c>
      <c r="D1804" s="15" t="s">
        <v>1496</v>
      </c>
      <c r="E1804" s="16" t="str">
        <f aca="false">HYPERLINK("#'Forrásszöveg'!A"&amp;(MATCH("VHR-S0466",Forrásszöveg!$A$6:$A$2497,0)+5),"52. § eleje")</f>
        <v>52. § eleje</v>
      </c>
      <c r="F1804" s="16" t="str">
        <f aca="false">HYPERLINK("https://net.jogtar.hu/jogszabaly?docid=a2400418.kor#pr480id","Jogtár megnyitása")</f>
        <v>Jogtár megnyitása</v>
      </c>
    </row>
    <row r="1805" customFormat="false" ht="66" hidden="false" customHeight="true" outlineLevel="0" collapsed="false">
      <c r="A1805" s="15" t="s">
        <v>6462</v>
      </c>
      <c r="B1805" s="15" t="s">
        <v>1471</v>
      </c>
      <c r="C1805" s="15" t="s">
        <v>3977</v>
      </c>
      <c r="D1805" s="15" t="s">
        <v>6463</v>
      </c>
      <c r="E1805" s="16" t="str">
        <f aca="false">HYPERLINK("#'Forrásszöveg'!A"&amp;(MATCH("VHR-S0481",Forrásszöveg!$A$6:$A$2497,0)+5),"53. § (1) eleje")</f>
        <v>53. § (1) eleje</v>
      </c>
      <c r="F1805" s="16" t="str">
        <f aca="false">HYPERLINK("https://net.jogtar.hu/jogszabaly?docid=a2400418.kor#pr481id","Jogtár megnyitása")</f>
        <v>Jogtár megnyitása</v>
      </c>
    </row>
    <row r="1806" customFormat="false" ht="34" hidden="false" customHeight="true" outlineLevel="0" collapsed="false">
      <c r="A1806" s="15" t="s">
        <v>6464</v>
      </c>
      <c r="B1806" s="15" t="s">
        <v>1471</v>
      </c>
      <c r="C1806" s="15" t="s">
        <v>3986</v>
      </c>
      <c r="D1806" s="15" t="s">
        <v>6465</v>
      </c>
      <c r="E1806" s="16" t="str">
        <f aca="false">HYPERLINK("#'Forrásszöveg'!A"&amp;(MATCH("VHR-S0482",Forrásszöveg!$A$6:$A$2497,0)+5),"53. § (2) eleje")</f>
        <v>53. § (2) eleje</v>
      </c>
      <c r="F1806" s="16" t="str">
        <f aca="false">HYPERLINK("https://net.jogtar.hu/jogszabaly?docid=a2400418.kor#pr482id","Jogtár megnyitása")</f>
        <v>Jogtár megnyitása</v>
      </c>
    </row>
    <row r="1807" customFormat="false" ht="34" hidden="false" customHeight="true" outlineLevel="0" collapsed="false">
      <c r="A1807" s="15" t="s">
        <v>6466</v>
      </c>
      <c r="B1807" s="15" t="s">
        <v>1471</v>
      </c>
      <c r="C1807" s="15" t="s">
        <v>6467</v>
      </c>
      <c r="D1807" s="15" t="s">
        <v>6468</v>
      </c>
      <c r="E1807" s="16" t="str">
        <f aca="false">HYPERLINK("#'Forrásszöveg'!A"&amp;(MATCH("VHR-S0482",Forrásszöveg!$A$6:$A$2497,0)+5),"53. § (2) eleje")</f>
        <v>53. § (2) eleje</v>
      </c>
      <c r="F1807" s="16" t="str">
        <f aca="false">HYPERLINK("https://net.jogtar.hu/jogszabaly?docid=a2400418.kor#pr483id","Jogtár megnyitása")</f>
        <v>Jogtár megnyitása</v>
      </c>
    </row>
    <row r="1808" customFormat="false" ht="34" hidden="false" customHeight="true" outlineLevel="0" collapsed="false">
      <c r="A1808" s="15" t="s">
        <v>6469</v>
      </c>
      <c r="B1808" s="15" t="s">
        <v>1471</v>
      </c>
      <c r="C1808" s="15" t="s">
        <v>6470</v>
      </c>
      <c r="D1808" s="15" t="s">
        <v>6471</v>
      </c>
      <c r="E1808" s="16" t="str">
        <f aca="false">HYPERLINK("#'Forrásszöveg'!A"&amp;(MATCH("VHR-S0482",Forrásszöveg!$A$6:$A$2497,0)+5),"53. § (2) eleje")</f>
        <v>53. § (2) eleje</v>
      </c>
      <c r="F1808" s="16" t="str">
        <f aca="false">HYPERLINK("https://net.jogtar.hu/jogszabaly?docid=a2400418.kor#pr484id","Jogtár megnyitása")</f>
        <v>Jogtár megnyitása</v>
      </c>
    </row>
    <row r="1809" customFormat="false" ht="34" hidden="false" customHeight="true" outlineLevel="0" collapsed="false">
      <c r="A1809" s="15" t="s">
        <v>6472</v>
      </c>
      <c r="B1809" s="15" t="s">
        <v>1471</v>
      </c>
      <c r="C1809" s="15" t="s">
        <v>6473</v>
      </c>
      <c r="D1809" s="15" t="s">
        <v>6474</v>
      </c>
      <c r="E1809" s="16" t="str">
        <f aca="false">HYPERLINK("#'Forrásszöveg'!A"&amp;(MATCH("VHR-S0482",Forrásszöveg!$A$6:$A$2497,0)+5),"53. § (2) eleje")</f>
        <v>53. § (2) eleje</v>
      </c>
      <c r="F1809" s="16" t="str">
        <f aca="false">HYPERLINK("https://net.jogtar.hu/jogszabaly?docid=a2400418.kor#pr485id","Jogtár megnyitása")</f>
        <v>Jogtár megnyitása</v>
      </c>
    </row>
    <row r="1810" customFormat="false" ht="38" hidden="false" customHeight="true" outlineLevel="0" collapsed="false">
      <c r="A1810" s="15" t="s">
        <v>6475</v>
      </c>
      <c r="B1810" s="15" t="s">
        <v>1471</v>
      </c>
      <c r="C1810" s="15" t="s">
        <v>6476</v>
      </c>
      <c r="D1810" s="15" t="s">
        <v>6477</v>
      </c>
      <c r="E1810" s="16" t="str">
        <f aca="false">HYPERLINK("#'Forrásszöveg'!A"&amp;(MATCH("VHR-S0482",Forrásszöveg!$A$6:$A$2497,0)+5),"53. § (2) eleje")</f>
        <v>53. § (2) eleje</v>
      </c>
      <c r="F1810" s="16" t="str">
        <f aca="false">HYPERLINK("https://net.jogtar.hu/jogszabaly?docid=a2400418.kor#pr486id","Jogtár megnyitása")</f>
        <v>Jogtár megnyitása</v>
      </c>
    </row>
    <row r="1811" customFormat="false" ht="34" hidden="false" customHeight="true" outlineLevel="0" collapsed="false">
      <c r="A1811" s="15" t="s">
        <v>6478</v>
      </c>
      <c r="B1811" s="15" t="s">
        <v>1471</v>
      </c>
      <c r="C1811" s="15" t="s">
        <v>6479</v>
      </c>
      <c r="D1811" s="15" t="s">
        <v>6480</v>
      </c>
      <c r="E1811" s="16" t="str">
        <f aca="false">HYPERLINK("#'Forrásszöveg'!A"&amp;(MATCH("VHR-S0482",Forrásszöveg!$A$6:$A$2497,0)+5),"53. § (2) eleje")</f>
        <v>53. § (2) eleje</v>
      </c>
      <c r="F1811" s="16" t="str">
        <f aca="false">HYPERLINK("https://net.jogtar.hu/jogszabaly?docid=a2400418.kor#pr487id","Jogtár megnyitása")</f>
        <v>Jogtár megnyitása</v>
      </c>
    </row>
    <row r="1812" customFormat="false" ht="34" hidden="false" customHeight="true" outlineLevel="0" collapsed="false">
      <c r="A1812" s="15" t="s">
        <v>6481</v>
      </c>
      <c r="B1812" s="15" t="s">
        <v>1471</v>
      </c>
      <c r="C1812" s="15" t="s">
        <v>6482</v>
      </c>
      <c r="D1812" s="15" t="s">
        <v>6483</v>
      </c>
      <c r="E1812" s="16" t="str">
        <f aca="false">HYPERLINK("#'Forrásszöveg'!A"&amp;(MATCH("VHR-S0482",Forrásszöveg!$A$6:$A$2497,0)+5),"53. § (2) eleje")</f>
        <v>53. § (2) eleje</v>
      </c>
      <c r="F1812" s="16" t="str">
        <f aca="false">HYPERLINK("https://net.jogtar.hu/jogszabaly?docid=a2400418.kor#pr488id","Jogtár megnyitása")</f>
        <v>Jogtár megnyitása</v>
      </c>
    </row>
    <row r="1813" customFormat="false" ht="34" hidden="false" customHeight="true" outlineLevel="0" collapsed="false">
      <c r="A1813" s="15" t="s">
        <v>6484</v>
      </c>
      <c r="B1813" s="15" t="s">
        <v>1471</v>
      </c>
      <c r="C1813" s="15" t="s">
        <v>6485</v>
      </c>
      <c r="D1813" s="15" t="s">
        <v>6486</v>
      </c>
      <c r="E1813" s="16" t="str">
        <f aca="false">HYPERLINK("#'Forrásszöveg'!A"&amp;(MATCH("VHR-S0482",Forrásszöveg!$A$6:$A$2497,0)+5),"53. § (2) eleje")</f>
        <v>53. § (2) eleje</v>
      </c>
      <c r="F1813" s="16" t="str">
        <f aca="false">HYPERLINK("https://net.jogtar.hu/jogszabaly?docid=a2400418.kor#pr489id","Jogtár megnyitása")</f>
        <v>Jogtár megnyitása</v>
      </c>
    </row>
    <row r="1814" customFormat="false" ht="34" hidden="false" customHeight="true" outlineLevel="0" collapsed="false">
      <c r="A1814" s="15" t="s">
        <v>6487</v>
      </c>
      <c r="B1814" s="15" t="s">
        <v>1471</v>
      </c>
      <c r="C1814" s="15" t="s">
        <v>6488</v>
      </c>
      <c r="D1814" s="15" t="s">
        <v>6489</v>
      </c>
      <c r="E1814" s="16" t="str">
        <f aca="false">HYPERLINK("#'Forrásszöveg'!A"&amp;(MATCH("VHR-S0482",Forrásszöveg!$A$6:$A$2497,0)+5),"53. § (2) eleje")</f>
        <v>53. § (2) eleje</v>
      </c>
      <c r="F1814" s="16" t="str">
        <f aca="false">HYPERLINK("https://net.jogtar.hu/jogszabaly?docid=a2400418.kor#pr490id","Jogtár megnyitása")</f>
        <v>Jogtár megnyitása</v>
      </c>
    </row>
    <row r="1815" customFormat="false" ht="34" hidden="false" customHeight="true" outlineLevel="0" collapsed="false">
      <c r="A1815" s="15" t="s">
        <v>6490</v>
      </c>
      <c r="B1815" s="15" t="s">
        <v>1471</v>
      </c>
      <c r="C1815" s="15" t="s">
        <v>6491</v>
      </c>
      <c r="D1815" s="15" t="s">
        <v>6492</v>
      </c>
      <c r="E1815" s="16" t="str">
        <f aca="false">HYPERLINK("#'Forrásszöveg'!A"&amp;(MATCH("VHR-S0482",Forrásszöveg!$A$6:$A$2497,0)+5),"53. § (2) eleje")</f>
        <v>53. § (2) eleje</v>
      </c>
      <c r="F1815" s="16" t="str">
        <f aca="false">HYPERLINK("https://net.jogtar.hu/jogszabaly?docid=a2400418.kor#pr491id","Jogtár megnyitása")</f>
        <v>Jogtár megnyitása</v>
      </c>
    </row>
    <row r="1816" customFormat="false" ht="34" hidden="false" customHeight="true" outlineLevel="0" collapsed="false">
      <c r="A1816" s="15" t="s">
        <v>6493</v>
      </c>
      <c r="B1816" s="15" t="s">
        <v>1471</v>
      </c>
      <c r="C1816" s="15" t="s">
        <v>6494</v>
      </c>
      <c r="D1816" s="15" t="s">
        <v>6495</v>
      </c>
      <c r="E1816" s="16" t="str">
        <f aca="false">HYPERLINK("#'Forrásszöveg'!A"&amp;(MATCH("VHR-S0482",Forrásszöveg!$A$6:$A$2497,0)+5),"53. § (2) eleje")</f>
        <v>53. § (2) eleje</v>
      </c>
      <c r="F1816" s="16" t="str">
        <f aca="false">HYPERLINK("https://net.jogtar.hu/jogszabaly?docid=a2400418.kor#pr492id","Jogtár megnyitása")</f>
        <v>Jogtár megnyitása</v>
      </c>
    </row>
    <row r="1817" customFormat="false" ht="34" hidden="false" customHeight="true" outlineLevel="0" collapsed="false">
      <c r="A1817" s="15" t="s">
        <v>6496</v>
      </c>
      <c r="B1817" s="15" t="s">
        <v>1471</v>
      </c>
      <c r="C1817" s="15" t="s">
        <v>6497</v>
      </c>
      <c r="D1817" s="15" t="s">
        <v>6498</v>
      </c>
      <c r="E1817" s="16" t="str">
        <f aca="false">HYPERLINK("#'Forrásszöveg'!A"&amp;(MATCH("VHR-S0482",Forrásszöveg!$A$6:$A$2497,0)+5),"53. § (2) eleje")</f>
        <v>53. § (2) eleje</v>
      </c>
      <c r="F1817" s="16" t="str">
        <f aca="false">HYPERLINK("https://net.jogtar.hu/jogszabaly?docid=a2400418.kor#pr493id","Jogtár megnyitása")</f>
        <v>Jogtár megnyitása</v>
      </c>
    </row>
    <row r="1818" customFormat="false" ht="80" hidden="false" customHeight="true" outlineLevel="0" collapsed="false">
      <c r="A1818" s="15" t="s">
        <v>6499</v>
      </c>
      <c r="B1818" s="15" t="s">
        <v>1471</v>
      </c>
      <c r="C1818" s="15" t="s">
        <v>6500</v>
      </c>
      <c r="D1818" s="15" t="s">
        <v>6501</v>
      </c>
      <c r="E1818" s="16" t="str">
        <f aca="false">HYPERLINK("#'Forrásszöveg'!A"&amp;(MATCH("VHR-S0482",Forrásszöveg!$A$6:$A$2497,0)+5),"53. § (2) eleje")</f>
        <v>53. § (2) eleje</v>
      </c>
      <c r="F1818" s="16" t="str">
        <f aca="false">HYPERLINK("https://net.jogtar.hu/jogszabaly?docid=a2400418.kor#pr494id","Jogtár megnyitása")</f>
        <v>Jogtár megnyitása</v>
      </c>
    </row>
    <row r="1819" customFormat="false" ht="34" hidden="false" customHeight="true" outlineLevel="0" collapsed="false">
      <c r="A1819" s="15" t="s">
        <v>6502</v>
      </c>
      <c r="B1819" s="15" t="s">
        <v>1471</v>
      </c>
      <c r="C1819" s="15" t="s">
        <v>6503</v>
      </c>
      <c r="D1819" s="15" t="s">
        <v>6504</v>
      </c>
      <c r="E1819" s="16" t="str">
        <f aca="false">HYPERLINK("#'Forrásszöveg'!A"&amp;(MATCH("VHR-S0482",Forrásszöveg!$A$6:$A$2497,0)+5),"53. § (2) eleje")</f>
        <v>53. § (2) eleje</v>
      </c>
      <c r="F1819" s="16" t="str">
        <f aca="false">HYPERLINK("https://net.jogtar.hu/jogszabaly?docid=a2400418.kor#pr495id","Jogtár megnyitása")</f>
        <v>Jogtár megnyitása</v>
      </c>
    </row>
    <row r="1820" customFormat="false" ht="34" hidden="false" customHeight="true" outlineLevel="0" collapsed="false">
      <c r="A1820" s="15" t="s">
        <v>6505</v>
      </c>
      <c r="B1820" s="15" t="s">
        <v>1471</v>
      </c>
      <c r="C1820" s="15" t="s">
        <v>6506</v>
      </c>
      <c r="D1820" s="15" t="s">
        <v>6507</v>
      </c>
      <c r="E1820" s="16" t="str">
        <f aca="false">HYPERLINK("#'Forrásszöveg'!A"&amp;(MATCH("VHR-S0482",Forrásszöveg!$A$6:$A$2497,0)+5),"53. § (2) eleje")</f>
        <v>53. § (2) eleje</v>
      </c>
      <c r="F1820" s="16" t="str">
        <f aca="false">HYPERLINK("https://net.jogtar.hu/jogszabaly?docid=a2400418.kor#pr496id","Jogtár megnyitása")</f>
        <v>Jogtár megnyitása</v>
      </c>
    </row>
    <row r="1821" customFormat="false" ht="38" hidden="false" customHeight="true" outlineLevel="0" collapsed="false">
      <c r="A1821" s="15" t="s">
        <v>6508</v>
      </c>
      <c r="B1821" s="15" t="s">
        <v>1471</v>
      </c>
      <c r="C1821" s="15" t="s">
        <v>6509</v>
      </c>
      <c r="D1821" s="15" t="s">
        <v>6510</v>
      </c>
      <c r="E1821" s="16" t="str">
        <f aca="false">HYPERLINK("#'Forrásszöveg'!A"&amp;(MATCH("VHR-S0482",Forrásszöveg!$A$6:$A$2497,0)+5),"53. § (2) eleje")</f>
        <v>53. § (2) eleje</v>
      </c>
      <c r="F1821" s="16" t="str">
        <f aca="false">HYPERLINK("https://net.jogtar.hu/jogszabaly?docid=a2400418.kor#pr497id","Jogtár megnyitása")</f>
        <v>Jogtár megnyitása</v>
      </c>
    </row>
    <row r="1822" customFormat="false" ht="52" hidden="false" customHeight="true" outlineLevel="0" collapsed="false">
      <c r="A1822" s="15" t="s">
        <v>6511</v>
      </c>
      <c r="B1822" s="15" t="s">
        <v>1471</v>
      </c>
      <c r="C1822" s="15" t="s">
        <v>3995</v>
      </c>
      <c r="D1822" s="15" t="s">
        <v>6512</v>
      </c>
      <c r="E1822" s="16" t="str">
        <f aca="false">HYPERLINK("#'Forrásszöveg'!A"&amp;(MATCH("VHR-S0498",Forrásszöveg!$A$6:$A$2497,0)+5),"53. § (3) eleje")</f>
        <v>53. § (3) eleje</v>
      </c>
      <c r="F1822" s="16" t="str">
        <f aca="false">HYPERLINK("https://net.jogtar.hu/jogszabaly?docid=a2400418.kor#pr498id","Jogtár megnyitása")</f>
        <v>Jogtár megnyitása</v>
      </c>
    </row>
    <row r="1823" customFormat="false" ht="38" hidden="false" customHeight="true" outlineLevel="0" collapsed="false">
      <c r="A1823" s="15" t="s">
        <v>6513</v>
      </c>
      <c r="B1823" s="15" t="s">
        <v>1471</v>
      </c>
      <c r="C1823" s="15" t="s">
        <v>6514</v>
      </c>
      <c r="D1823" s="15" t="s">
        <v>6515</v>
      </c>
      <c r="E1823" s="16" t="str">
        <f aca="false">HYPERLINK("#'Forrásszöveg'!A"&amp;(MATCH("VHR-S0499",Forrásszöveg!$A$6:$A$2497,0)+5),"53. § (4) eleje")</f>
        <v>53. § (4) eleje</v>
      </c>
      <c r="F1823" s="16" t="str">
        <f aca="false">HYPERLINK("https://net.jogtar.hu/jogszabaly?docid=a2400418.kor#pr499id","Jogtár megnyitása")</f>
        <v>Jogtár megnyitása</v>
      </c>
    </row>
    <row r="1824" customFormat="false" ht="38" hidden="false" customHeight="true" outlineLevel="0" collapsed="false">
      <c r="A1824" s="15" t="s">
        <v>6516</v>
      </c>
      <c r="B1824" s="15" t="s">
        <v>1471</v>
      </c>
      <c r="C1824" s="15" t="s">
        <v>3999</v>
      </c>
      <c r="D1824" s="15" t="s">
        <v>6517</v>
      </c>
      <c r="E1824" s="16" t="str">
        <f aca="false">HYPERLINK("#'Forrásszöveg'!A"&amp;(MATCH("VHR-S0500",Forrásszöveg!$A$6:$A$2497,0)+5),"54. § (1) eleje")</f>
        <v>54. § (1) eleje</v>
      </c>
      <c r="F1824" s="16" t="str">
        <f aca="false">HYPERLINK("https://net.jogtar.hu/jogszabaly?docid=a2400418.kor#pr500id","Jogtár megnyitása")</f>
        <v>Jogtár megnyitása</v>
      </c>
    </row>
    <row r="1825" customFormat="false" ht="80" hidden="false" customHeight="true" outlineLevel="0" collapsed="false">
      <c r="A1825" s="15" t="s">
        <v>6518</v>
      </c>
      <c r="B1825" s="15" t="s">
        <v>1471</v>
      </c>
      <c r="C1825" s="15" t="s">
        <v>4002</v>
      </c>
      <c r="D1825" s="15" t="s">
        <v>6519</v>
      </c>
      <c r="E1825" s="16" t="str">
        <f aca="false">HYPERLINK("#'Forrásszöveg'!A"&amp;(MATCH("VHR-S0501",Forrásszöveg!$A$6:$A$2497,0)+5),"54. § (2) eleje")</f>
        <v>54. § (2) eleje</v>
      </c>
      <c r="F1825" s="16" t="str">
        <f aca="false">HYPERLINK("https://net.jogtar.hu/jogszabaly?docid=a2400418.kor#pr501id","Jogtár megnyitása")</f>
        <v>Jogtár megnyitása</v>
      </c>
    </row>
    <row r="1826" customFormat="false" ht="66" hidden="false" customHeight="true" outlineLevel="0" collapsed="false">
      <c r="A1826" s="15" t="s">
        <v>6520</v>
      </c>
      <c r="B1826" s="15" t="s">
        <v>1471</v>
      </c>
      <c r="C1826" s="15" t="s">
        <v>4009</v>
      </c>
      <c r="D1826" s="15" t="s">
        <v>6521</v>
      </c>
      <c r="E1826" s="16" t="str">
        <f aca="false">HYPERLINK("#'Forrásszöveg'!A"&amp;(MATCH("VHR-S0502",Forrásszöveg!$A$6:$A$2497,0)+5),"55. § (1) eleje")</f>
        <v>55. § (1) eleje</v>
      </c>
      <c r="F1826" s="16" t="str">
        <f aca="false">HYPERLINK("https://net.jogtar.hu/jogszabaly?docid=a2400418.kor#pr502id","Jogtár megnyitása")</f>
        <v>Jogtár megnyitása</v>
      </c>
    </row>
    <row r="1827" customFormat="false" ht="34" hidden="false" customHeight="true" outlineLevel="0" collapsed="false">
      <c r="A1827" s="15" t="s">
        <v>6522</v>
      </c>
      <c r="B1827" s="15" t="s">
        <v>1471</v>
      </c>
      <c r="C1827" s="15" t="s">
        <v>6523</v>
      </c>
      <c r="D1827" s="15" t="s">
        <v>6524</v>
      </c>
      <c r="E1827" s="16" t="str">
        <f aca="false">HYPERLINK("#'Forrásszöveg'!A"&amp;(MATCH("VHR-S0502",Forrásszöveg!$A$6:$A$2497,0)+5),"55. § (1) eleje")</f>
        <v>55. § (1) eleje</v>
      </c>
      <c r="F1827" s="16" t="str">
        <f aca="false">HYPERLINK("https://net.jogtar.hu/jogszabaly?docid=a2400418.kor#pr503id","Jogtár megnyitása")</f>
        <v>Jogtár megnyitása</v>
      </c>
    </row>
    <row r="1828" customFormat="false" ht="34" hidden="false" customHeight="true" outlineLevel="0" collapsed="false">
      <c r="A1828" s="15" t="s">
        <v>6525</v>
      </c>
      <c r="B1828" s="15" t="s">
        <v>1471</v>
      </c>
      <c r="C1828" s="15" t="s">
        <v>6526</v>
      </c>
      <c r="D1828" s="15" t="s">
        <v>6527</v>
      </c>
      <c r="E1828" s="16" t="str">
        <f aca="false">HYPERLINK("#'Forrásszöveg'!A"&amp;(MATCH("VHR-S0502",Forrásszöveg!$A$6:$A$2497,0)+5),"55. § (1) eleje")</f>
        <v>55. § (1) eleje</v>
      </c>
      <c r="F1828" s="16" t="str">
        <f aca="false">HYPERLINK("https://net.jogtar.hu/jogszabaly?docid=a2400418.kor#pr504id","Jogtár megnyitása")</f>
        <v>Jogtár megnyitása</v>
      </c>
    </row>
    <row r="1829" customFormat="false" ht="34" hidden="false" customHeight="true" outlineLevel="0" collapsed="false">
      <c r="A1829" s="15" t="s">
        <v>6528</v>
      </c>
      <c r="B1829" s="15" t="s">
        <v>1471</v>
      </c>
      <c r="C1829" s="15" t="s">
        <v>6529</v>
      </c>
      <c r="D1829" s="15" t="s">
        <v>6530</v>
      </c>
      <c r="E1829" s="16" t="str">
        <f aca="false">HYPERLINK("#'Forrásszöveg'!A"&amp;(MATCH("VHR-S0502",Forrásszöveg!$A$6:$A$2497,0)+5),"55. § (1) eleje")</f>
        <v>55. § (1) eleje</v>
      </c>
      <c r="F1829" s="16" t="str">
        <f aca="false">HYPERLINK("https://net.jogtar.hu/jogszabaly?docid=a2400418.kor#pr505id","Jogtár megnyitása")</f>
        <v>Jogtár megnyitása</v>
      </c>
    </row>
    <row r="1830" customFormat="false" ht="34" hidden="false" customHeight="true" outlineLevel="0" collapsed="false">
      <c r="A1830" s="15" t="s">
        <v>6531</v>
      </c>
      <c r="B1830" s="15" t="s">
        <v>1471</v>
      </c>
      <c r="C1830" s="15" t="s">
        <v>6532</v>
      </c>
      <c r="D1830" s="15" t="s">
        <v>6533</v>
      </c>
      <c r="E1830" s="16" t="str">
        <f aca="false">HYPERLINK("#'Forrásszöveg'!A"&amp;(MATCH("VHR-S0502",Forrásszöveg!$A$6:$A$2497,0)+5),"55. § (1) eleje")</f>
        <v>55. § (1) eleje</v>
      </c>
      <c r="F1830" s="16" t="str">
        <f aca="false">HYPERLINK("https://net.jogtar.hu/jogszabaly?docid=a2400418.kor#pr506id","Jogtár megnyitása")</f>
        <v>Jogtár megnyitása</v>
      </c>
    </row>
    <row r="1831" customFormat="false" ht="34" hidden="false" customHeight="true" outlineLevel="0" collapsed="false">
      <c r="A1831" s="15" t="s">
        <v>6534</v>
      </c>
      <c r="B1831" s="15" t="s">
        <v>1471</v>
      </c>
      <c r="C1831" s="15" t="s">
        <v>6535</v>
      </c>
      <c r="D1831" s="15" t="s">
        <v>6536</v>
      </c>
      <c r="E1831" s="16" t="str">
        <f aca="false">HYPERLINK("#'Forrásszöveg'!A"&amp;(MATCH("VHR-S0502",Forrásszöveg!$A$6:$A$2497,0)+5),"55. § (1) eleje")</f>
        <v>55. § (1) eleje</v>
      </c>
      <c r="F1831" s="16" t="str">
        <f aca="false">HYPERLINK("https://net.jogtar.hu/jogszabaly?docid=a2400418.kor#pr507id","Jogtár megnyitása")</f>
        <v>Jogtár megnyitása</v>
      </c>
    </row>
    <row r="1832" customFormat="false" ht="52" hidden="false" customHeight="true" outlineLevel="0" collapsed="false">
      <c r="A1832" s="15" t="s">
        <v>6537</v>
      </c>
      <c r="B1832" s="15" t="s">
        <v>1471</v>
      </c>
      <c r="C1832" s="15" t="s">
        <v>4012</v>
      </c>
      <c r="D1832" s="15" t="s">
        <v>6538</v>
      </c>
      <c r="E1832" s="16" t="str">
        <f aca="false">HYPERLINK("#'Forrásszöveg'!A"&amp;(MATCH("VHR-S0508",Forrásszöveg!$A$6:$A$2497,0)+5),"55. § (2) eleje")</f>
        <v>55. § (2) eleje</v>
      </c>
      <c r="F1832" s="16" t="str">
        <f aca="false">HYPERLINK("https://net.jogtar.hu/jogszabaly?docid=a2400418.kor#pr508id","Jogtár megnyitása")</f>
        <v>Jogtár megnyitása</v>
      </c>
    </row>
    <row r="1833" customFormat="false" ht="38" hidden="false" customHeight="true" outlineLevel="0" collapsed="false">
      <c r="A1833" s="15" t="s">
        <v>6539</v>
      </c>
      <c r="B1833" s="15" t="s">
        <v>1471</v>
      </c>
      <c r="C1833" s="15" t="s">
        <v>4015</v>
      </c>
      <c r="D1833" s="15" t="s">
        <v>6540</v>
      </c>
      <c r="E1833" s="16" t="str">
        <f aca="false">HYPERLINK("#'Forrásszöveg'!A"&amp;(MATCH("VHR-S0509",Forrásszöveg!$A$6:$A$2497,0)+5),"55. § (3) eleje")</f>
        <v>55. § (3) eleje</v>
      </c>
      <c r="F1833" s="16" t="str">
        <f aca="false">HYPERLINK("https://net.jogtar.hu/jogszabaly?docid=a2400418.kor#pr509id","Jogtár megnyitása")</f>
        <v>Jogtár megnyitása</v>
      </c>
    </row>
    <row r="1834" customFormat="false" ht="80" hidden="false" customHeight="true" outlineLevel="0" collapsed="false">
      <c r="A1834" s="15" t="s">
        <v>6541</v>
      </c>
      <c r="B1834" s="15" t="s">
        <v>1471</v>
      </c>
      <c r="C1834" s="15" t="s">
        <v>4019</v>
      </c>
      <c r="D1834" s="15" t="s">
        <v>6542</v>
      </c>
      <c r="E1834" s="16" t="str">
        <f aca="false">HYPERLINK("#'Forrásszöveg'!A"&amp;(MATCH("VHR-S0510",Forrásszöveg!$A$6:$A$2497,0)+5),"56. § (1) eleje")</f>
        <v>56. § (1) eleje</v>
      </c>
      <c r="F1834" s="16" t="str">
        <f aca="false">HYPERLINK("https://net.jogtar.hu/jogszabaly?docid=a2400418.kor#pr510id","Jogtár megnyitása")</f>
        <v>Jogtár megnyitása</v>
      </c>
    </row>
    <row r="1835" customFormat="false" ht="66" hidden="false" customHeight="true" outlineLevel="0" collapsed="false">
      <c r="A1835" s="15" t="s">
        <v>6543</v>
      </c>
      <c r="B1835" s="15" t="s">
        <v>1471</v>
      </c>
      <c r="C1835" s="15" t="s">
        <v>4028</v>
      </c>
      <c r="D1835" s="15" t="s">
        <v>6544</v>
      </c>
      <c r="E1835" s="16" t="str">
        <f aca="false">HYPERLINK("#'Forrásszöveg'!A"&amp;(MATCH("VHR-S0511",Forrásszöveg!$A$6:$A$2497,0)+5),"56. § (2) eleje")</f>
        <v>56. § (2) eleje</v>
      </c>
      <c r="F1835" s="16" t="str">
        <f aca="false">HYPERLINK("https://net.jogtar.hu/jogszabaly?docid=a2400418.kor#pr511id","Jogtár megnyitása")</f>
        <v>Jogtár megnyitása</v>
      </c>
    </row>
    <row r="1836" customFormat="false" ht="52" hidden="false" customHeight="true" outlineLevel="0" collapsed="false">
      <c r="A1836" s="15" t="s">
        <v>6545</v>
      </c>
      <c r="B1836" s="15" t="s">
        <v>1471</v>
      </c>
      <c r="C1836" s="15" t="s">
        <v>4031</v>
      </c>
      <c r="D1836" s="15" t="s">
        <v>6546</v>
      </c>
      <c r="E1836" s="16" t="str">
        <f aca="false">HYPERLINK("#'Forrásszöveg'!A"&amp;(MATCH("VHR-S0512",Forrásszöveg!$A$6:$A$2497,0)+5),"56. § (3) eleje")</f>
        <v>56. § (3) eleje</v>
      </c>
      <c r="F1836" s="16" t="str">
        <f aca="false">HYPERLINK("https://net.jogtar.hu/jogszabaly?docid=a2400418.kor#pr512id","Jogtár megnyitása")</f>
        <v>Jogtár megnyitása</v>
      </c>
    </row>
    <row r="1837" customFormat="false" ht="38" hidden="false" customHeight="true" outlineLevel="0" collapsed="false">
      <c r="A1837" s="15" t="s">
        <v>6547</v>
      </c>
      <c r="B1837" s="15" t="s">
        <v>1471</v>
      </c>
      <c r="C1837" s="15" t="s">
        <v>1395</v>
      </c>
      <c r="D1837" s="15" t="s">
        <v>6548</v>
      </c>
      <c r="E1837" s="16" t="str">
        <f aca="false">HYPERLINK("#'Forrásszöveg'!A"&amp;(MATCH("VHR-S0513",Forrásszöveg!$A$6:$A$2497,0)+5),"57. § eleje")</f>
        <v>57. § eleje</v>
      </c>
      <c r="F1837" s="16" t="str">
        <f aca="false">HYPERLINK("https://net.jogtar.hu/jogszabaly?docid=a2400418.kor#pr513id","Jogtár megnyitása")</f>
        <v>Jogtár megnyitása</v>
      </c>
    </row>
    <row r="1838" customFormat="false" ht="80" hidden="false" customHeight="true" outlineLevel="0" collapsed="false">
      <c r="A1838" s="15" t="s">
        <v>6549</v>
      </c>
      <c r="B1838" s="15" t="s">
        <v>1471</v>
      </c>
      <c r="C1838" s="15" t="s">
        <v>4123</v>
      </c>
      <c r="D1838" s="15" t="s">
        <v>6550</v>
      </c>
      <c r="E1838" s="16" t="str">
        <f aca="false">HYPERLINK("#'Forrásszöveg'!A"&amp;(MATCH("VHR-S0514",Forrásszöveg!$A$6:$A$2497,0)+5),"58. § (1) eleje")</f>
        <v>58. § (1) eleje</v>
      </c>
      <c r="F1838" s="16" t="str">
        <f aca="false">HYPERLINK("https://net.jogtar.hu/jogszabaly?docid=a2400418.kor#pr514id","Jogtár megnyitása")</f>
        <v>Jogtár megnyitása</v>
      </c>
    </row>
    <row r="1839" customFormat="false" ht="34" hidden="false" customHeight="true" outlineLevel="0" collapsed="false">
      <c r="A1839" s="15" t="s">
        <v>6551</v>
      </c>
      <c r="B1839" s="15" t="s">
        <v>1471</v>
      </c>
      <c r="C1839" s="15" t="s">
        <v>4126</v>
      </c>
      <c r="D1839" s="15" t="s">
        <v>6552</v>
      </c>
      <c r="E1839" s="16" t="str">
        <f aca="false">HYPERLINK("#'Forrásszöveg'!A"&amp;(MATCH("VHR-S0515",Forrásszöveg!$A$6:$A$2497,0)+5),"58. § (2) eleje")</f>
        <v>58. § (2) eleje</v>
      </c>
      <c r="F1839" s="16" t="str">
        <f aca="false">HYPERLINK("https://net.jogtar.hu/jogszabaly?docid=a2400418.kor#pr515id","Jogtár megnyitása")</f>
        <v>Jogtár megnyitása</v>
      </c>
    </row>
    <row r="1840" customFormat="false" ht="52" hidden="false" customHeight="true" outlineLevel="0" collapsed="false">
      <c r="A1840" s="15" t="s">
        <v>6553</v>
      </c>
      <c r="B1840" s="15" t="s">
        <v>1471</v>
      </c>
      <c r="C1840" s="15" t="s">
        <v>6554</v>
      </c>
      <c r="D1840" s="15" t="s">
        <v>6555</v>
      </c>
      <c r="E1840" s="16" t="str">
        <f aca="false">HYPERLINK("#'Forrásszöveg'!A"&amp;(MATCH("VHR-S0515",Forrásszöveg!$A$6:$A$2497,0)+5),"58. § (2) eleje")</f>
        <v>58. § (2) eleje</v>
      </c>
      <c r="F1840" s="16" t="str">
        <f aca="false">HYPERLINK("https://net.jogtar.hu/jogszabaly?docid=a2400418.kor#pr516id","Jogtár megnyitása")</f>
        <v>Jogtár megnyitása</v>
      </c>
    </row>
    <row r="1841" customFormat="false" ht="38" hidden="false" customHeight="true" outlineLevel="0" collapsed="false">
      <c r="A1841" s="15" t="s">
        <v>6556</v>
      </c>
      <c r="B1841" s="15" t="s">
        <v>1471</v>
      </c>
      <c r="C1841" s="15" t="s">
        <v>6557</v>
      </c>
      <c r="D1841" s="15" t="s">
        <v>6558</v>
      </c>
      <c r="E1841" s="16" t="str">
        <f aca="false">HYPERLINK("#'Forrásszöveg'!A"&amp;(MATCH("VHR-S0515",Forrásszöveg!$A$6:$A$2497,0)+5),"58. § (2) eleje")</f>
        <v>58. § (2) eleje</v>
      </c>
      <c r="F1841" s="16" t="str">
        <f aca="false">HYPERLINK("https://net.jogtar.hu/jogszabaly?docid=a2400418.kor#pr517id","Jogtár megnyitása")</f>
        <v>Jogtár megnyitása</v>
      </c>
    </row>
    <row r="1842" customFormat="false" ht="38" hidden="false" customHeight="true" outlineLevel="0" collapsed="false">
      <c r="A1842" s="15" t="s">
        <v>6559</v>
      </c>
      <c r="B1842" s="15" t="s">
        <v>1471</v>
      </c>
      <c r="C1842" s="15" t="s">
        <v>4129</v>
      </c>
      <c r="D1842" s="15" t="s">
        <v>6560</v>
      </c>
      <c r="E1842" s="16" t="str">
        <f aca="false">HYPERLINK("#'Forrásszöveg'!A"&amp;(MATCH("VHR-S0518",Forrásszöveg!$A$6:$A$2497,0)+5),"58. § (3) eleje")</f>
        <v>58. § (3) eleje</v>
      </c>
      <c r="F1842" s="16" t="str">
        <f aca="false">HYPERLINK("https://net.jogtar.hu/jogszabaly?docid=a2400418.kor#pr518id","Jogtár megnyitása")</f>
        <v>Jogtár megnyitása</v>
      </c>
    </row>
    <row r="1843" customFormat="false" ht="34" hidden="false" customHeight="true" outlineLevel="0" collapsed="false">
      <c r="A1843" s="15" t="s">
        <v>6561</v>
      </c>
      <c r="B1843" s="15" t="s">
        <v>1471</v>
      </c>
      <c r="C1843" s="15" t="s">
        <v>6562</v>
      </c>
      <c r="D1843" s="15" t="s">
        <v>6563</v>
      </c>
      <c r="E1843" s="16" t="str">
        <f aca="false">HYPERLINK("#'Forrásszöveg'!A"&amp;(MATCH("VHR-S0518",Forrásszöveg!$A$6:$A$2497,0)+5),"58. § (3) eleje")</f>
        <v>58. § (3) eleje</v>
      </c>
      <c r="F1843" s="16" t="str">
        <f aca="false">HYPERLINK("https://net.jogtar.hu/jogszabaly?docid=a2400418.kor#pr519id","Jogtár megnyitása")</f>
        <v>Jogtár megnyitása</v>
      </c>
    </row>
    <row r="1844" customFormat="false" ht="34" hidden="false" customHeight="true" outlineLevel="0" collapsed="false">
      <c r="A1844" s="15" t="s">
        <v>6564</v>
      </c>
      <c r="B1844" s="15" t="s">
        <v>1471</v>
      </c>
      <c r="C1844" s="15" t="s">
        <v>6565</v>
      </c>
      <c r="D1844" s="15" t="s">
        <v>6566</v>
      </c>
      <c r="E1844" s="16" t="str">
        <f aca="false">HYPERLINK("#'Forrásszöveg'!A"&amp;(MATCH("VHR-S0518",Forrásszöveg!$A$6:$A$2497,0)+5),"58. § (3) eleje")</f>
        <v>58. § (3) eleje</v>
      </c>
      <c r="F1844" s="16" t="str">
        <f aca="false">HYPERLINK("https://net.jogtar.hu/jogszabaly?docid=a2400418.kor#pr520id","Jogtár megnyitása")</f>
        <v>Jogtár megnyitása</v>
      </c>
    </row>
    <row r="1845" customFormat="false" ht="38" hidden="false" customHeight="true" outlineLevel="0" collapsed="false">
      <c r="A1845" s="15" t="s">
        <v>6567</v>
      </c>
      <c r="B1845" s="15" t="s">
        <v>1471</v>
      </c>
      <c r="C1845" s="15" t="s">
        <v>6568</v>
      </c>
      <c r="D1845" s="15" t="s">
        <v>6569</v>
      </c>
      <c r="E1845" s="16" t="str">
        <f aca="false">HYPERLINK("#'Forrásszöveg'!A"&amp;(MATCH("VHR-S0521",Forrásszöveg!$A$6:$A$2497,0)+5),"58. § (4) eleje")</f>
        <v>58. § (4) eleje</v>
      </c>
      <c r="F1845" s="16" t="str">
        <f aca="false">HYPERLINK("https://net.jogtar.hu/jogszabaly?docid=a2400418.kor#pr521id","Jogtár megnyitása")</f>
        <v>Jogtár megnyitása</v>
      </c>
    </row>
    <row r="1846" customFormat="false" ht="66" hidden="false" customHeight="true" outlineLevel="0" collapsed="false">
      <c r="A1846" s="15" t="s">
        <v>6570</v>
      </c>
      <c r="B1846" s="15" t="s">
        <v>1471</v>
      </c>
      <c r="C1846" s="15" t="s">
        <v>6571</v>
      </c>
      <c r="D1846" s="15" t="s">
        <v>6572</v>
      </c>
      <c r="E1846" s="16" t="str">
        <f aca="false">HYPERLINK("#'Forrásszöveg'!A"&amp;(MATCH("VHR-S0522",Forrásszöveg!$A$6:$A$2497,0)+5),"58. § (5) eleje")</f>
        <v>58. § (5) eleje</v>
      </c>
      <c r="F1846" s="16" t="str">
        <f aca="false">HYPERLINK("https://net.jogtar.hu/jogszabaly?docid=a2400418.kor#pr522id","Jogtár megnyitása")</f>
        <v>Jogtár megnyitása</v>
      </c>
    </row>
    <row r="1847" customFormat="false" ht="38" hidden="false" customHeight="true" outlineLevel="0" collapsed="false">
      <c r="A1847" s="15" t="s">
        <v>6573</v>
      </c>
      <c r="B1847" s="15" t="s">
        <v>1471</v>
      </c>
      <c r="C1847" s="15" t="s">
        <v>6574</v>
      </c>
      <c r="D1847" s="15" t="s">
        <v>6575</v>
      </c>
      <c r="E1847" s="16" t="str">
        <f aca="false">HYPERLINK("#'Forrásszöveg'!A"&amp;(MATCH("VHR-S0523",Forrásszöveg!$A$6:$A$2497,0)+5),"58. § (6) eleje")</f>
        <v>58. § (6) eleje</v>
      </c>
      <c r="F1847" s="16" t="str">
        <f aca="false">HYPERLINK("https://net.jogtar.hu/jogszabaly?docid=a2400418.kor#pr523id","Jogtár megnyitása")</f>
        <v>Jogtár megnyitása</v>
      </c>
    </row>
    <row r="1848" customFormat="false" ht="66" hidden="false" customHeight="true" outlineLevel="0" collapsed="false">
      <c r="A1848" s="15" t="s">
        <v>6576</v>
      </c>
      <c r="B1848" s="15" t="s">
        <v>1471</v>
      </c>
      <c r="C1848" s="15" t="s">
        <v>6577</v>
      </c>
      <c r="D1848" s="15" t="s">
        <v>6578</v>
      </c>
      <c r="E1848" s="16" t="str">
        <f aca="false">HYPERLINK("#'Forrásszöveg'!A"&amp;(MATCH("VHR-S0524",Forrásszöveg!$A$6:$A$2497,0)+5),"58. § (7) eleje")</f>
        <v>58. § (7) eleje</v>
      </c>
      <c r="F1848" s="16" t="str">
        <f aca="false">HYPERLINK("https://net.jogtar.hu/jogszabaly?docid=a2400418.kor#pr524id","Jogtár megnyitása")</f>
        <v>Jogtár megnyitása</v>
      </c>
    </row>
    <row r="1849" customFormat="false" ht="38" hidden="false" customHeight="true" outlineLevel="0" collapsed="false">
      <c r="A1849" s="15" t="s">
        <v>6579</v>
      </c>
      <c r="B1849" s="15" t="s">
        <v>1471</v>
      </c>
      <c r="C1849" s="15" t="s">
        <v>6580</v>
      </c>
      <c r="D1849" s="15" t="s">
        <v>6581</v>
      </c>
      <c r="E1849" s="16" t="str">
        <f aca="false">HYPERLINK("#'Forrásszöveg'!A"&amp;(MATCH("VHR-S0525",Forrásszöveg!$A$6:$A$2497,0)+5),"58. § (8) eleje")</f>
        <v>58. § (8) eleje</v>
      </c>
      <c r="F1849" s="16" t="str">
        <f aca="false">HYPERLINK("https://net.jogtar.hu/jogszabaly?docid=a2400418.kor#pr525id","Jogtár megnyitása")</f>
        <v>Jogtár megnyitása</v>
      </c>
    </row>
    <row r="1850" customFormat="false" ht="52" hidden="false" customHeight="true" outlineLevel="0" collapsed="false">
      <c r="A1850" s="15" t="s">
        <v>6582</v>
      </c>
      <c r="B1850" s="15" t="s">
        <v>1471</v>
      </c>
      <c r="C1850" s="15" t="s">
        <v>6583</v>
      </c>
      <c r="D1850" s="15" t="s">
        <v>6584</v>
      </c>
      <c r="E1850" s="16" t="str">
        <f aca="false">HYPERLINK("#'Forrásszöveg'!A"&amp;(MATCH("VHR-S0526",Forrásszöveg!$A$6:$A$2497,0)+5),"59. § (1) eleje")</f>
        <v>59. § (1) eleje</v>
      </c>
      <c r="F1850" s="16" t="str">
        <f aca="false">HYPERLINK("https://net.jogtar.hu/jogszabaly?docid=a2400418.kor#pr526id","Jogtár megnyitása")</f>
        <v>Jogtár megnyitása</v>
      </c>
    </row>
    <row r="1851" customFormat="false" ht="34" hidden="false" customHeight="true" outlineLevel="0" collapsed="false">
      <c r="A1851" s="15" t="s">
        <v>6585</v>
      </c>
      <c r="B1851" s="15" t="s">
        <v>1471</v>
      </c>
      <c r="C1851" s="15" t="s">
        <v>6586</v>
      </c>
      <c r="D1851" s="15" t="s">
        <v>6587</v>
      </c>
      <c r="E1851" s="16" t="str">
        <f aca="false">HYPERLINK("#'Forrásszöveg'!A"&amp;(MATCH("VHR-S0527",Forrásszöveg!$A$6:$A$2497,0)+5),"59. § (2) eleje")</f>
        <v>59. § (2) eleje</v>
      </c>
      <c r="F1851" s="16" t="str">
        <f aca="false">HYPERLINK("https://net.jogtar.hu/jogszabaly?docid=a2400418.kor#pr527id","Jogtár megnyitása")</f>
        <v>Jogtár megnyitása</v>
      </c>
    </row>
    <row r="1852" customFormat="false" ht="34" hidden="false" customHeight="true" outlineLevel="0" collapsed="false">
      <c r="A1852" s="15" t="s">
        <v>6588</v>
      </c>
      <c r="B1852" s="15" t="s">
        <v>1471</v>
      </c>
      <c r="C1852" s="15" t="s">
        <v>6589</v>
      </c>
      <c r="D1852" s="15" t="s">
        <v>6590</v>
      </c>
      <c r="E1852" s="16" t="str">
        <f aca="false">HYPERLINK("#'Forrásszöveg'!A"&amp;(MATCH("VHR-S0527",Forrásszöveg!$A$6:$A$2497,0)+5),"59. § (2) eleje")</f>
        <v>59. § (2) eleje</v>
      </c>
      <c r="F1852" s="16" t="str">
        <f aca="false">HYPERLINK("https://net.jogtar.hu/jogszabaly?docid=a2400418.kor#pr528id","Jogtár megnyitása")</f>
        <v>Jogtár megnyitása</v>
      </c>
    </row>
    <row r="1853" customFormat="false" ht="34" hidden="false" customHeight="true" outlineLevel="0" collapsed="false">
      <c r="A1853" s="15" t="s">
        <v>6591</v>
      </c>
      <c r="B1853" s="15" t="s">
        <v>1471</v>
      </c>
      <c r="C1853" s="15" t="s">
        <v>6592</v>
      </c>
      <c r="D1853" s="15" t="s">
        <v>6593</v>
      </c>
      <c r="E1853" s="16" t="str">
        <f aca="false">HYPERLINK("#'Forrásszöveg'!A"&amp;(MATCH("VHR-S0527",Forrásszöveg!$A$6:$A$2497,0)+5),"59. § (2) eleje")</f>
        <v>59. § (2) eleje</v>
      </c>
      <c r="F1853" s="16" t="str">
        <f aca="false">HYPERLINK("https://net.jogtar.hu/jogszabaly?docid=a2400418.kor#pr529id","Jogtár megnyitása")</f>
        <v>Jogtár megnyitása</v>
      </c>
    </row>
    <row r="1854" customFormat="false" ht="34" hidden="false" customHeight="true" outlineLevel="0" collapsed="false">
      <c r="A1854" s="15" t="s">
        <v>6594</v>
      </c>
      <c r="B1854" s="15" t="s">
        <v>1471</v>
      </c>
      <c r="C1854" s="15" t="s">
        <v>6595</v>
      </c>
      <c r="D1854" s="15" t="s">
        <v>6596</v>
      </c>
      <c r="E1854" s="16" t="str">
        <f aca="false">HYPERLINK("#'Forrásszöveg'!A"&amp;(MATCH("VHR-S0527",Forrásszöveg!$A$6:$A$2497,0)+5),"59. § (2) eleje")</f>
        <v>59. § (2) eleje</v>
      </c>
      <c r="F1854" s="16" t="str">
        <f aca="false">HYPERLINK("https://net.jogtar.hu/jogszabaly?docid=a2400418.kor#pr530id","Jogtár megnyitása")</f>
        <v>Jogtár megnyitása</v>
      </c>
    </row>
    <row r="1855" customFormat="false" ht="38" hidden="false" customHeight="true" outlineLevel="0" collapsed="false">
      <c r="A1855" s="15" t="s">
        <v>6597</v>
      </c>
      <c r="B1855" s="15" t="s">
        <v>1471</v>
      </c>
      <c r="C1855" s="15" t="s">
        <v>6598</v>
      </c>
      <c r="D1855" s="15" t="s">
        <v>6599</v>
      </c>
      <c r="E1855" s="16" t="str">
        <f aca="false">HYPERLINK("#'Forrásszöveg'!A"&amp;(MATCH("VHR-S0527",Forrásszöveg!$A$6:$A$2497,0)+5),"59. § (2) eleje")</f>
        <v>59. § (2) eleje</v>
      </c>
      <c r="F1855" s="16" t="str">
        <f aca="false">HYPERLINK("https://net.jogtar.hu/jogszabaly?docid=a2400418.kor#pr531id","Jogtár megnyitása")</f>
        <v>Jogtár megnyitása</v>
      </c>
    </row>
    <row r="1856" customFormat="false" ht="52" hidden="false" customHeight="true" outlineLevel="0" collapsed="false">
      <c r="A1856" s="15" t="s">
        <v>6600</v>
      </c>
      <c r="B1856" s="15" t="s">
        <v>1471</v>
      </c>
      <c r="C1856" s="15" t="s">
        <v>6601</v>
      </c>
      <c r="D1856" s="15" t="s">
        <v>6602</v>
      </c>
      <c r="E1856" s="16" t="str">
        <f aca="false">HYPERLINK("#'Forrásszöveg'!A"&amp;(MATCH("VHR-S0527",Forrásszöveg!$A$6:$A$2497,0)+5),"59. § (2) eleje")</f>
        <v>59. § (2) eleje</v>
      </c>
      <c r="F1856" s="16" t="str">
        <f aca="false">HYPERLINK("https://net.jogtar.hu/jogszabaly?docid=a2400418.kor#pr532id","Jogtár megnyitása")</f>
        <v>Jogtár megnyitása</v>
      </c>
    </row>
    <row r="1857" customFormat="false" ht="38" hidden="false" customHeight="true" outlineLevel="0" collapsed="false">
      <c r="A1857" s="15" t="s">
        <v>6603</v>
      </c>
      <c r="B1857" s="15" t="s">
        <v>1471</v>
      </c>
      <c r="C1857" s="15" t="s">
        <v>6604</v>
      </c>
      <c r="D1857" s="15" t="s">
        <v>6605</v>
      </c>
      <c r="E1857" s="16" t="str">
        <f aca="false">HYPERLINK("#'Forrásszöveg'!A"&amp;(MATCH("VHR-S0527",Forrásszöveg!$A$6:$A$2497,0)+5),"59. § (2) eleje")</f>
        <v>59. § (2) eleje</v>
      </c>
      <c r="F1857" s="16" t="str">
        <f aca="false">HYPERLINK("https://net.jogtar.hu/jogszabaly?docid=a2400418.kor#pr533id","Jogtár megnyitása")</f>
        <v>Jogtár megnyitása</v>
      </c>
    </row>
    <row r="1858" customFormat="false" ht="34" hidden="false" customHeight="true" outlineLevel="0" collapsed="false">
      <c r="A1858" s="15" t="s">
        <v>6606</v>
      </c>
      <c r="B1858" s="15" t="s">
        <v>1471</v>
      </c>
      <c r="C1858" s="15" t="s">
        <v>6607</v>
      </c>
      <c r="D1858" s="15" t="s">
        <v>6608</v>
      </c>
      <c r="E1858" s="16" t="str">
        <f aca="false">HYPERLINK("#'Forrásszöveg'!A"&amp;(MATCH("VHR-S0534",Forrásszöveg!$A$6:$A$2497,0)+5),"59. § (3) eleje")</f>
        <v>59. § (3) eleje</v>
      </c>
      <c r="F1858" s="16" t="str">
        <f aca="false">HYPERLINK("https://net.jogtar.hu/jogszabaly?docid=a2400418.kor#pr534id","Jogtár megnyitása")</f>
        <v>Jogtár megnyitása</v>
      </c>
    </row>
    <row r="1859" customFormat="false" ht="34" hidden="false" customHeight="true" outlineLevel="0" collapsed="false">
      <c r="A1859" s="15" t="s">
        <v>6609</v>
      </c>
      <c r="B1859" s="15" t="s">
        <v>1471</v>
      </c>
      <c r="C1859" s="15" t="s">
        <v>6610</v>
      </c>
      <c r="D1859" s="15" t="s">
        <v>6611</v>
      </c>
      <c r="E1859" s="16" t="str">
        <f aca="false">HYPERLINK("#'Forrásszöveg'!A"&amp;(MATCH("VHR-S0534",Forrásszöveg!$A$6:$A$2497,0)+5),"59. § (3) eleje")</f>
        <v>59. § (3) eleje</v>
      </c>
      <c r="F1859" s="16" t="str">
        <f aca="false">HYPERLINK("https://net.jogtar.hu/jogszabaly?docid=a2400418.kor#pr535id","Jogtár megnyitása")</f>
        <v>Jogtár megnyitása</v>
      </c>
    </row>
    <row r="1860" customFormat="false" ht="34" hidden="false" customHeight="true" outlineLevel="0" collapsed="false">
      <c r="A1860" s="15" t="s">
        <v>6612</v>
      </c>
      <c r="B1860" s="15" t="s">
        <v>1471</v>
      </c>
      <c r="C1860" s="15" t="s">
        <v>6613</v>
      </c>
      <c r="D1860" s="15" t="s">
        <v>6614</v>
      </c>
      <c r="E1860" s="16" t="str">
        <f aca="false">HYPERLINK("#'Forrásszöveg'!A"&amp;(MATCH("VHR-S0534",Forrásszöveg!$A$6:$A$2497,0)+5),"59. § (3) eleje")</f>
        <v>59. § (3) eleje</v>
      </c>
      <c r="F1860" s="16" t="str">
        <f aca="false">HYPERLINK("https://net.jogtar.hu/jogszabaly?docid=a2400418.kor#pr536id","Jogtár megnyitása")</f>
        <v>Jogtár megnyitása</v>
      </c>
    </row>
    <row r="1861" customFormat="false" ht="34" hidden="false" customHeight="true" outlineLevel="0" collapsed="false">
      <c r="A1861" s="15" t="s">
        <v>6615</v>
      </c>
      <c r="B1861" s="15" t="s">
        <v>1471</v>
      </c>
      <c r="C1861" s="15" t="s">
        <v>6607</v>
      </c>
      <c r="D1861" s="15" t="s">
        <v>6616</v>
      </c>
      <c r="E1861" s="16" t="str">
        <f aca="false">HYPERLINK("#'Forrásszöveg'!A"&amp;(MATCH("VHR-S0534",Forrásszöveg!$A$6:$A$2497,0)+5),"59. § (3) eleje")</f>
        <v>59. § (3) eleje</v>
      </c>
      <c r="F1861" s="16" t="str">
        <f aca="false">HYPERLINK("https://net.jogtar.hu/jogszabaly?docid=a2400418.kor#pr537id","Jogtár megnyitása")</f>
        <v>Jogtár megnyitása</v>
      </c>
    </row>
    <row r="1862" customFormat="false" ht="38" hidden="false" customHeight="true" outlineLevel="0" collapsed="false">
      <c r="A1862" s="15" t="s">
        <v>6617</v>
      </c>
      <c r="B1862" s="15" t="s">
        <v>1471</v>
      </c>
      <c r="C1862" s="15" t="s">
        <v>6618</v>
      </c>
      <c r="D1862" s="15" t="s">
        <v>6619</v>
      </c>
      <c r="E1862" s="16" t="str">
        <f aca="false">HYPERLINK("#'Forrásszöveg'!A"&amp;(MATCH("VHR-S0538",Forrásszöveg!$A$6:$A$2497,0)+5),"59. § (4) eleje")</f>
        <v>59. § (4) eleje</v>
      </c>
      <c r="F1862" s="16" t="str">
        <f aca="false">HYPERLINK("https://net.jogtar.hu/jogszabaly?docid=a2400418.kor#pr538id","Jogtár megnyitása")</f>
        <v>Jogtár megnyitása</v>
      </c>
    </row>
    <row r="1863" customFormat="false" ht="52" hidden="false" customHeight="true" outlineLevel="0" collapsed="false">
      <c r="A1863" s="15" t="s">
        <v>6620</v>
      </c>
      <c r="B1863" s="15" t="s">
        <v>1471</v>
      </c>
      <c r="C1863" s="15" t="s">
        <v>4134</v>
      </c>
      <c r="D1863" s="15" t="s">
        <v>6621</v>
      </c>
      <c r="E1863" s="16" t="str">
        <f aca="false">HYPERLINK("#'Forrásszöveg'!A"&amp;(MATCH("VHR-S0539",Forrásszöveg!$A$6:$A$2497,0)+5),"60. § (1) eleje")</f>
        <v>60. § (1) eleje</v>
      </c>
      <c r="F1863" s="16" t="str">
        <f aca="false">HYPERLINK("https://net.jogtar.hu/jogszabaly?docid=a2400418.kor#pr539id","Jogtár megnyitása")</f>
        <v>Jogtár megnyitása</v>
      </c>
    </row>
    <row r="1864" customFormat="false" ht="108" hidden="false" customHeight="true" outlineLevel="0" collapsed="false">
      <c r="A1864" s="15" t="s">
        <v>6622</v>
      </c>
      <c r="B1864" s="15" t="s">
        <v>1471</v>
      </c>
      <c r="C1864" s="15" t="s">
        <v>4137</v>
      </c>
      <c r="D1864" s="15" t="s">
        <v>6623</v>
      </c>
      <c r="E1864" s="16" t="str">
        <f aca="false">HYPERLINK("#'Forrásszöveg'!A"&amp;(MATCH("VHR-S0540",Forrásszöveg!$A$6:$A$2497,0)+5),"60. § (2) eleje")</f>
        <v>60. § (2) eleje</v>
      </c>
      <c r="F1864" s="16" t="str">
        <f aca="false">HYPERLINK("https://net.jogtar.hu/jogszabaly?docid=a2400418.kor#pr540id","Jogtár megnyitása")</f>
        <v>Jogtár megnyitása</v>
      </c>
    </row>
    <row r="1865" customFormat="false" ht="52" hidden="false" customHeight="true" outlineLevel="0" collapsed="false">
      <c r="A1865" s="15" t="s">
        <v>6624</v>
      </c>
      <c r="B1865" s="15" t="s">
        <v>1471</v>
      </c>
      <c r="C1865" s="15" t="s">
        <v>1401</v>
      </c>
      <c r="D1865" s="15" t="s">
        <v>6625</v>
      </c>
      <c r="E1865" s="16" t="str">
        <f aca="false">HYPERLINK("#'Forrásszöveg'!A"&amp;(MATCH("VHR-S0541",Forrásszöveg!$A$6:$A$2497,0)+5),"61. § eleje")</f>
        <v>61. § eleje</v>
      </c>
      <c r="F1865" s="16" t="str">
        <f aca="false">HYPERLINK("https://net.jogtar.hu/jogszabaly?docid=a2400418.kor#pr541id","Jogtár megnyitása")</f>
        <v>Jogtár megnyitása</v>
      </c>
    </row>
    <row r="1866" customFormat="false" ht="66" hidden="false" customHeight="true" outlineLevel="0" collapsed="false">
      <c r="A1866" s="15" t="s">
        <v>6626</v>
      </c>
      <c r="B1866" s="15" t="s">
        <v>1471</v>
      </c>
      <c r="C1866" s="15" t="s">
        <v>4149</v>
      </c>
      <c r="D1866" s="15" t="s">
        <v>6627</v>
      </c>
      <c r="E1866" s="16" t="str">
        <f aca="false">HYPERLINK("#'Forrásszöveg'!A"&amp;(MATCH("VHR-S0542",Forrásszöveg!$A$6:$A$2497,0)+5),"62. § (1) eleje")</f>
        <v>62. § (1) eleje</v>
      </c>
      <c r="F1866" s="16" t="str">
        <f aca="false">HYPERLINK("https://net.jogtar.hu/jogszabaly?docid=a2400418.kor#pr542id","Jogtár megnyitása")</f>
        <v>Jogtár megnyitása</v>
      </c>
    </row>
    <row r="1867" customFormat="false" ht="34" hidden="false" customHeight="true" outlineLevel="0" collapsed="false">
      <c r="A1867" s="15" t="s">
        <v>6628</v>
      </c>
      <c r="B1867" s="15" t="s">
        <v>1471</v>
      </c>
      <c r="C1867" s="15" t="s">
        <v>4152</v>
      </c>
      <c r="D1867" s="15" t="s">
        <v>6629</v>
      </c>
      <c r="E1867" s="16" t="str">
        <f aca="false">HYPERLINK("#'Forrásszöveg'!A"&amp;(MATCH("VHR-S0543",Forrásszöveg!$A$6:$A$2497,0)+5),"62. § (2) eleje")</f>
        <v>62. § (2) eleje</v>
      </c>
      <c r="F1867" s="16" t="str">
        <f aca="false">HYPERLINK("https://net.jogtar.hu/jogszabaly?docid=a2400418.kor#pr543id","Jogtár megnyitása")</f>
        <v>Jogtár megnyitása</v>
      </c>
    </row>
    <row r="1868" customFormat="false" ht="34" hidden="false" customHeight="true" outlineLevel="0" collapsed="false">
      <c r="A1868" s="15" t="s">
        <v>6630</v>
      </c>
      <c r="B1868" s="15" t="s">
        <v>1471</v>
      </c>
      <c r="C1868" s="15" t="s">
        <v>6631</v>
      </c>
      <c r="D1868" s="15" t="s">
        <v>6632</v>
      </c>
      <c r="E1868" s="16" t="str">
        <f aca="false">HYPERLINK("#'Forrásszöveg'!A"&amp;(MATCH("VHR-S0543",Forrásszöveg!$A$6:$A$2497,0)+5),"62. § (2) eleje")</f>
        <v>62. § (2) eleje</v>
      </c>
      <c r="F1868" s="16" t="str">
        <f aca="false">HYPERLINK("https://net.jogtar.hu/jogszabaly?docid=a2400418.kor#pr544id","Jogtár megnyitása")</f>
        <v>Jogtár megnyitása</v>
      </c>
    </row>
    <row r="1869" customFormat="false" ht="34" hidden="false" customHeight="true" outlineLevel="0" collapsed="false">
      <c r="A1869" s="15" t="s">
        <v>6633</v>
      </c>
      <c r="B1869" s="15" t="s">
        <v>1471</v>
      </c>
      <c r="C1869" s="15" t="s">
        <v>6634</v>
      </c>
      <c r="D1869" s="15" t="s">
        <v>6635</v>
      </c>
      <c r="E1869" s="16" t="str">
        <f aca="false">HYPERLINK("#'Forrásszöveg'!A"&amp;(MATCH("VHR-S0543",Forrásszöveg!$A$6:$A$2497,0)+5),"62. § (2) eleje")</f>
        <v>62. § (2) eleje</v>
      </c>
      <c r="F1869" s="16" t="str">
        <f aca="false">HYPERLINK("https://net.jogtar.hu/jogszabaly?docid=a2400418.kor#pr545id","Jogtár megnyitása")</f>
        <v>Jogtár megnyitása</v>
      </c>
    </row>
    <row r="1870" customFormat="false" ht="38" hidden="false" customHeight="true" outlineLevel="0" collapsed="false">
      <c r="A1870" s="15" t="s">
        <v>6636</v>
      </c>
      <c r="B1870" s="15" t="s">
        <v>1471</v>
      </c>
      <c r="C1870" s="15" t="s">
        <v>6637</v>
      </c>
      <c r="D1870" s="15" t="s">
        <v>6638</v>
      </c>
      <c r="E1870" s="16" t="str">
        <f aca="false">HYPERLINK("#'Forrásszöveg'!A"&amp;(MATCH("VHR-S0543",Forrásszöveg!$A$6:$A$2497,0)+5),"62. § (2) eleje")</f>
        <v>62. § (2) eleje</v>
      </c>
      <c r="F1870" s="16" t="str">
        <f aca="false">HYPERLINK("https://net.jogtar.hu/jogszabaly?docid=a2400418.kor#pr546id","Jogtár megnyitása")</f>
        <v>Jogtár megnyitása</v>
      </c>
    </row>
    <row r="1871" customFormat="false" ht="34" hidden="false" customHeight="true" outlineLevel="0" collapsed="false">
      <c r="A1871" s="15" t="s">
        <v>6639</v>
      </c>
      <c r="B1871" s="15" t="s">
        <v>1471</v>
      </c>
      <c r="C1871" s="15" t="s">
        <v>6640</v>
      </c>
      <c r="D1871" s="15" t="s">
        <v>6641</v>
      </c>
      <c r="E1871" s="16" t="str">
        <f aca="false">HYPERLINK("#'Forrásszöveg'!A"&amp;(MATCH("VHR-S0543",Forrásszöveg!$A$6:$A$2497,0)+5),"62. § (2) eleje")</f>
        <v>62. § (2) eleje</v>
      </c>
      <c r="F1871" s="16" t="str">
        <f aca="false">HYPERLINK("https://net.jogtar.hu/jogszabaly?docid=a2400418.kor#pr547id","Jogtár megnyitása")</f>
        <v>Jogtár megnyitása</v>
      </c>
    </row>
    <row r="1872" customFormat="false" ht="34" hidden="false" customHeight="true" outlineLevel="0" collapsed="false">
      <c r="A1872" s="15" t="s">
        <v>6642</v>
      </c>
      <c r="B1872" s="15" t="s">
        <v>1471</v>
      </c>
      <c r="C1872" s="15" t="s">
        <v>6643</v>
      </c>
      <c r="D1872" s="15" t="s">
        <v>6644</v>
      </c>
      <c r="E1872" s="16" t="str">
        <f aca="false">HYPERLINK("#'Forrásszöveg'!A"&amp;(MATCH("VHR-S0543",Forrásszöveg!$A$6:$A$2497,0)+5),"62. § (2) eleje")</f>
        <v>62. § (2) eleje</v>
      </c>
      <c r="F1872" s="16" t="str">
        <f aca="false">HYPERLINK("https://net.jogtar.hu/jogszabaly?docid=a2400418.kor#pr548id","Jogtár megnyitása")</f>
        <v>Jogtár megnyitása</v>
      </c>
    </row>
    <row r="1873" customFormat="false" ht="34" hidden="false" customHeight="true" outlineLevel="0" collapsed="false">
      <c r="A1873" s="15" t="s">
        <v>6645</v>
      </c>
      <c r="B1873" s="15" t="s">
        <v>1471</v>
      </c>
      <c r="C1873" s="15" t="s">
        <v>6646</v>
      </c>
      <c r="D1873" s="15" t="s">
        <v>6647</v>
      </c>
      <c r="E1873" s="16" t="str">
        <f aca="false">HYPERLINK("#'Forrásszöveg'!A"&amp;(MATCH("VHR-S0543",Forrásszöveg!$A$6:$A$2497,0)+5),"62. § (2) eleje")</f>
        <v>62. § (2) eleje</v>
      </c>
      <c r="F1873" s="16" t="str">
        <f aca="false">HYPERLINK("https://net.jogtar.hu/jogszabaly?docid=a2400418.kor#pr549id","Jogtár megnyitása")</f>
        <v>Jogtár megnyitása</v>
      </c>
    </row>
    <row r="1874" customFormat="false" ht="34" hidden="false" customHeight="true" outlineLevel="0" collapsed="false">
      <c r="A1874" s="15" t="s">
        <v>6648</v>
      </c>
      <c r="B1874" s="15" t="s">
        <v>1471</v>
      </c>
      <c r="C1874" s="15" t="s">
        <v>6649</v>
      </c>
      <c r="D1874" s="15" t="s">
        <v>6650</v>
      </c>
      <c r="E1874" s="16" t="str">
        <f aca="false">HYPERLINK("#'Forrásszöveg'!A"&amp;(MATCH("VHR-S0543",Forrásszöveg!$A$6:$A$2497,0)+5),"62. § (2) eleje")</f>
        <v>62. § (2) eleje</v>
      </c>
      <c r="F1874" s="16" t="str">
        <f aca="false">HYPERLINK("https://net.jogtar.hu/jogszabaly?docid=a2400418.kor#pr550id","Jogtár megnyitása")</f>
        <v>Jogtár megnyitása</v>
      </c>
    </row>
    <row r="1875" customFormat="false" ht="34" hidden="false" customHeight="true" outlineLevel="0" collapsed="false">
      <c r="A1875" s="15" t="s">
        <v>6651</v>
      </c>
      <c r="B1875" s="15" t="s">
        <v>1471</v>
      </c>
      <c r="C1875" s="15" t="s">
        <v>6652</v>
      </c>
      <c r="D1875" s="15" t="s">
        <v>6653</v>
      </c>
      <c r="E1875" s="16" t="str">
        <f aca="false">HYPERLINK("#'Forrásszöveg'!A"&amp;(MATCH("VHR-S0543",Forrásszöveg!$A$6:$A$2497,0)+5),"62. § (2) eleje")</f>
        <v>62. § (2) eleje</v>
      </c>
      <c r="F1875" s="16" t="str">
        <f aca="false">HYPERLINK("https://net.jogtar.hu/jogszabaly?docid=a2400418.kor#pr551id","Jogtár megnyitása")</f>
        <v>Jogtár megnyitása</v>
      </c>
    </row>
    <row r="1876" customFormat="false" ht="34" hidden="false" customHeight="true" outlineLevel="0" collapsed="false">
      <c r="A1876" s="15" t="s">
        <v>6654</v>
      </c>
      <c r="B1876" s="15" t="s">
        <v>1471</v>
      </c>
      <c r="C1876" s="15" t="s">
        <v>6655</v>
      </c>
      <c r="D1876" s="15" t="s">
        <v>6656</v>
      </c>
      <c r="E1876" s="16" t="str">
        <f aca="false">HYPERLINK("#'Forrásszöveg'!A"&amp;(MATCH("VHR-S0543",Forrásszöveg!$A$6:$A$2497,0)+5),"62. § (2) eleje")</f>
        <v>62. § (2) eleje</v>
      </c>
      <c r="F1876" s="16" t="str">
        <f aca="false">HYPERLINK("https://net.jogtar.hu/jogszabaly?docid=a2400418.kor#pr552id","Jogtár megnyitása")</f>
        <v>Jogtár megnyitása</v>
      </c>
    </row>
    <row r="1877" customFormat="false" ht="38" hidden="false" customHeight="true" outlineLevel="0" collapsed="false">
      <c r="A1877" s="15" t="s">
        <v>6657</v>
      </c>
      <c r="B1877" s="15" t="s">
        <v>1471</v>
      </c>
      <c r="C1877" s="15" t="s">
        <v>6658</v>
      </c>
      <c r="D1877" s="15" t="s">
        <v>6659</v>
      </c>
      <c r="E1877" s="16" t="str">
        <f aca="false">HYPERLINK("#'Forrásszöveg'!A"&amp;(MATCH("VHR-S0543",Forrásszöveg!$A$6:$A$2497,0)+5),"62. § (2) eleje")</f>
        <v>62. § (2) eleje</v>
      </c>
      <c r="F1877" s="16" t="str">
        <f aca="false">HYPERLINK("https://net.jogtar.hu/jogszabaly?docid=a2400418.kor#pr553id","Jogtár megnyitása")</f>
        <v>Jogtár megnyitása</v>
      </c>
    </row>
    <row r="1878" customFormat="false" ht="34" hidden="false" customHeight="true" outlineLevel="0" collapsed="false">
      <c r="A1878" s="15" t="s">
        <v>6660</v>
      </c>
      <c r="B1878" s="15" t="s">
        <v>1471</v>
      </c>
      <c r="C1878" s="15" t="s">
        <v>6661</v>
      </c>
      <c r="D1878" s="15" t="s">
        <v>6662</v>
      </c>
      <c r="E1878" s="16" t="str">
        <f aca="false">HYPERLINK("#'Forrásszöveg'!A"&amp;(MATCH("VHR-S0543",Forrásszöveg!$A$6:$A$2497,0)+5),"62. § (2) eleje")</f>
        <v>62. § (2) eleje</v>
      </c>
      <c r="F1878" s="16" t="str">
        <f aca="false">HYPERLINK("https://net.jogtar.hu/jogszabaly?docid=a2400418.kor#pr554id","Jogtár megnyitása")</f>
        <v>Jogtár megnyitása</v>
      </c>
    </row>
    <row r="1879" customFormat="false" ht="34" hidden="false" customHeight="true" outlineLevel="0" collapsed="false">
      <c r="A1879" s="15" t="s">
        <v>6663</v>
      </c>
      <c r="B1879" s="15" t="s">
        <v>1471</v>
      </c>
      <c r="C1879" s="15" t="s">
        <v>6664</v>
      </c>
      <c r="D1879" s="15" t="s">
        <v>6665</v>
      </c>
      <c r="E1879" s="16" t="str">
        <f aca="false">HYPERLINK("#'Forrásszöveg'!A"&amp;(MATCH("VHR-S0543",Forrásszöveg!$A$6:$A$2497,0)+5),"62. § (2) eleje")</f>
        <v>62. § (2) eleje</v>
      </c>
      <c r="F1879" s="16" t="str">
        <f aca="false">HYPERLINK("https://net.jogtar.hu/jogszabaly?docid=a2400418.kor#pr555id","Jogtár megnyitása")</f>
        <v>Jogtár megnyitása</v>
      </c>
    </row>
    <row r="1880" customFormat="false" ht="34" hidden="false" customHeight="true" outlineLevel="0" collapsed="false">
      <c r="A1880" s="15" t="s">
        <v>6666</v>
      </c>
      <c r="B1880" s="15" t="s">
        <v>1471</v>
      </c>
      <c r="C1880" s="15" t="s">
        <v>6667</v>
      </c>
      <c r="D1880" s="15" t="s">
        <v>6668</v>
      </c>
      <c r="E1880" s="16" t="str">
        <f aca="false">HYPERLINK("#'Forrásszöveg'!A"&amp;(MATCH("VHR-S0543",Forrásszöveg!$A$6:$A$2497,0)+5),"62. § (2) eleje")</f>
        <v>62. § (2) eleje</v>
      </c>
      <c r="F1880" s="16" t="str">
        <f aca="false">HYPERLINK("https://net.jogtar.hu/jogszabaly?docid=a2400418.kor#pr556id","Jogtár megnyitása")</f>
        <v>Jogtár megnyitása</v>
      </c>
    </row>
    <row r="1881" customFormat="false" ht="34" hidden="false" customHeight="true" outlineLevel="0" collapsed="false">
      <c r="A1881" s="15" t="s">
        <v>6669</v>
      </c>
      <c r="B1881" s="15" t="s">
        <v>1471</v>
      </c>
      <c r="C1881" s="15" t="s">
        <v>6670</v>
      </c>
      <c r="D1881" s="15" t="s">
        <v>6671</v>
      </c>
      <c r="E1881" s="16" t="str">
        <f aca="false">HYPERLINK("#'Forrásszöveg'!A"&amp;(MATCH("VHR-S0543",Forrásszöveg!$A$6:$A$2497,0)+5),"62. § (2) eleje")</f>
        <v>62. § (2) eleje</v>
      </c>
      <c r="F1881" s="16" t="str">
        <f aca="false">HYPERLINK("https://net.jogtar.hu/jogszabaly?docid=a2400418.kor#pr557id","Jogtár megnyitása")</f>
        <v>Jogtár megnyitása</v>
      </c>
    </row>
    <row r="1882" customFormat="false" ht="34" hidden="false" customHeight="true" outlineLevel="0" collapsed="false">
      <c r="A1882" s="15" t="s">
        <v>6672</v>
      </c>
      <c r="B1882" s="15" t="s">
        <v>1471</v>
      </c>
      <c r="C1882" s="15" t="s">
        <v>6673</v>
      </c>
      <c r="D1882" s="15" t="s">
        <v>6674</v>
      </c>
      <c r="E1882" s="16" t="str">
        <f aca="false">HYPERLINK("#'Forrásszöveg'!A"&amp;(MATCH("VHR-S0543",Forrásszöveg!$A$6:$A$2497,0)+5),"62. § (2) eleje")</f>
        <v>62. § (2) eleje</v>
      </c>
      <c r="F1882" s="16" t="str">
        <f aca="false">HYPERLINK("https://net.jogtar.hu/jogszabaly?docid=a2400418.kor#pr558id","Jogtár megnyitása")</f>
        <v>Jogtár megnyitása</v>
      </c>
    </row>
    <row r="1883" customFormat="false" ht="34" hidden="false" customHeight="true" outlineLevel="0" collapsed="false">
      <c r="A1883" s="15" t="s">
        <v>6675</v>
      </c>
      <c r="B1883" s="15" t="s">
        <v>1471</v>
      </c>
      <c r="C1883" s="15" t="s">
        <v>6676</v>
      </c>
      <c r="D1883" s="15" t="s">
        <v>6677</v>
      </c>
      <c r="E1883" s="16" t="str">
        <f aca="false">HYPERLINK("#'Forrásszöveg'!A"&amp;(MATCH("VHR-S0543",Forrásszöveg!$A$6:$A$2497,0)+5),"62. § (2) eleje")</f>
        <v>62. § (2) eleje</v>
      </c>
      <c r="F1883" s="16" t="str">
        <f aca="false">HYPERLINK("https://net.jogtar.hu/jogszabaly?docid=a2400418.kor#pr559id","Jogtár megnyitása")</f>
        <v>Jogtár megnyitása</v>
      </c>
    </row>
    <row r="1884" customFormat="false" ht="34" hidden="false" customHeight="true" outlineLevel="0" collapsed="false">
      <c r="A1884" s="15" t="s">
        <v>6678</v>
      </c>
      <c r="B1884" s="15" t="s">
        <v>1471</v>
      </c>
      <c r="C1884" s="15" t="s">
        <v>6679</v>
      </c>
      <c r="D1884" s="15" t="s">
        <v>6680</v>
      </c>
      <c r="E1884" s="16" t="str">
        <f aca="false">HYPERLINK("#'Forrásszöveg'!A"&amp;(MATCH("VHR-S0543",Forrásszöveg!$A$6:$A$2497,0)+5),"62. § (2) eleje")</f>
        <v>62. § (2) eleje</v>
      </c>
      <c r="F1884" s="16" t="str">
        <f aca="false">HYPERLINK("https://net.jogtar.hu/jogszabaly?docid=a2400418.kor#pr560id","Jogtár megnyitása")</f>
        <v>Jogtár megnyitása</v>
      </c>
    </row>
    <row r="1885" customFormat="false" ht="34" hidden="false" customHeight="true" outlineLevel="0" collapsed="false">
      <c r="A1885" s="15" t="s">
        <v>6681</v>
      </c>
      <c r="B1885" s="15" t="s">
        <v>1471</v>
      </c>
      <c r="C1885" s="15" t="s">
        <v>6682</v>
      </c>
      <c r="D1885" s="15" t="s">
        <v>6683</v>
      </c>
      <c r="E1885" s="16" t="str">
        <f aca="false">HYPERLINK("#'Forrásszöveg'!A"&amp;(MATCH("VHR-S0543",Forrásszöveg!$A$6:$A$2497,0)+5),"62. § (2) eleje")</f>
        <v>62. § (2) eleje</v>
      </c>
      <c r="F1885" s="16" t="str">
        <f aca="false">HYPERLINK("https://net.jogtar.hu/jogszabaly?docid=a2400418.kor#pr561id","Jogtár megnyitása")</f>
        <v>Jogtár megnyitása</v>
      </c>
    </row>
    <row r="1886" customFormat="false" ht="34" hidden="false" customHeight="true" outlineLevel="0" collapsed="false">
      <c r="A1886" s="15" t="s">
        <v>6684</v>
      </c>
      <c r="B1886" s="15" t="s">
        <v>1471</v>
      </c>
      <c r="C1886" s="15" t="s">
        <v>6685</v>
      </c>
      <c r="D1886" s="15" t="s">
        <v>6686</v>
      </c>
      <c r="E1886" s="16" t="str">
        <f aca="false">HYPERLINK("#'Forrásszöveg'!A"&amp;(MATCH("VHR-S0543",Forrásszöveg!$A$6:$A$2497,0)+5),"62. § (2) eleje")</f>
        <v>62. § (2) eleje</v>
      </c>
      <c r="F1886" s="16" t="str">
        <f aca="false">HYPERLINK("https://net.jogtar.hu/jogszabaly?docid=a2400418.kor#pr562id","Jogtár megnyitása")</f>
        <v>Jogtár megnyitása</v>
      </c>
    </row>
    <row r="1887" customFormat="false" ht="34" hidden="false" customHeight="true" outlineLevel="0" collapsed="false">
      <c r="A1887" s="15" t="s">
        <v>6687</v>
      </c>
      <c r="B1887" s="15" t="s">
        <v>1471</v>
      </c>
      <c r="C1887" s="15" t="s">
        <v>6688</v>
      </c>
      <c r="D1887" s="15" t="s">
        <v>6689</v>
      </c>
      <c r="E1887" s="16" t="str">
        <f aca="false">HYPERLINK("#'Forrásszöveg'!A"&amp;(MATCH("VHR-S0543",Forrásszöveg!$A$6:$A$2497,0)+5),"62. § (2) eleje")</f>
        <v>62. § (2) eleje</v>
      </c>
      <c r="F1887" s="16" t="str">
        <f aca="false">HYPERLINK("https://net.jogtar.hu/jogszabaly?docid=a2400418.kor#pr563id","Jogtár megnyitása")</f>
        <v>Jogtár megnyitása</v>
      </c>
    </row>
    <row r="1888" customFormat="false" ht="34" hidden="false" customHeight="true" outlineLevel="0" collapsed="false">
      <c r="A1888" s="15" t="s">
        <v>6690</v>
      </c>
      <c r="B1888" s="15" t="s">
        <v>1471</v>
      </c>
      <c r="C1888" s="15" t="s">
        <v>6691</v>
      </c>
      <c r="D1888" s="15" t="s">
        <v>6692</v>
      </c>
      <c r="E1888" s="16" t="str">
        <f aca="false">HYPERLINK("#'Forrásszöveg'!A"&amp;(MATCH("VHR-S0543",Forrásszöveg!$A$6:$A$2497,0)+5),"62. § (2) eleje")</f>
        <v>62. § (2) eleje</v>
      </c>
      <c r="F1888" s="16" t="str">
        <f aca="false">HYPERLINK("https://net.jogtar.hu/jogszabaly?docid=a2400418.kor#pr564id","Jogtár megnyitása")</f>
        <v>Jogtár megnyitása</v>
      </c>
    </row>
    <row r="1889" customFormat="false" ht="66" hidden="false" customHeight="true" outlineLevel="0" collapsed="false">
      <c r="A1889" s="15" t="s">
        <v>6693</v>
      </c>
      <c r="B1889" s="15" t="s">
        <v>1471</v>
      </c>
      <c r="C1889" s="15" t="s">
        <v>4155</v>
      </c>
      <c r="D1889" s="15" t="s">
        <v>6694</v>
      </c>
      <c r="E1889" s="16" t="str">
        <f aca="false">HYPERLINK("#'Forrásszöveg'!A"&amp;(MATCH("VHR-S0565",Forrásszöveg!$A$6:$A$2497,0)+5),"62. § (3) eleje")</f>
        <v>62. § (3) eleje</v>
      </c>
      <c r="F1889" s="16" t="str">
        <f aca="false">HYPERLINK("https://net.jogtar.hu/jogszabaly?docid=a2400418.kor#pr565id","Jogtár megnyitása")</f>
        <v>Jogtár megnyitása</v>
      </c>
    </row>
    <row r="1890" customFormat="false" ht="52" hidden="false" customHeight="true" outlineLevel="0" collapsed="false">
      <c r="A1890" s="15" t="s">
        <v>6695</v>
      </c>
      <c r="B1890" s="15" t="s">
        <v>1471</v>
      </c>
      <c r="C1890" s="15" t="s">
        <v>4158</v>
      </c>
      <c r="D1890" s="15" t="s">
        <v>6696</v>
      </c>
      <c r="E1890" s="16" t="str">
        <f aca="false">HYPERLINK("#'Forrásszöveg'!A"&amp;(MATCH("VHR-S0566",Forrásszöveg!$A$6:$A$2497,0)+5),"62. § (4) eleje")</f>
        <v>62. § (4) eleje</v>
      </c>
      <c r="F1890" s="16" t="str">
        <f aca="false">HYPERLINK("https://net.jogtar.hu/jogszabaly?docid=a2400418.kor#pr566id","Jogtár megnyitása")</f>
        <v>Jogtár megnyitása</v>
      </c>
    </row>
    <row r="1891" customFormat="false" ht="52" hidden="false" customHeight="true" outlineLevel="0" collapsed="false">
      <c r="A1891" s="15" t="s">
        <v>6697</v>
      </c>
      <c r="B1891" s="15" t="s">
        <v>1471</v>
      </c>
      <c r="C1891" s="15" t="s">
        <v>6698</v>
      </c>
      <c r="D1891" s="15" t="s">
        <v>6699</v>
      </c>
      <c r="E1891" s="16" t="str">
        <f aca="false">HYPERLINK("#'Forrásszöveg'!A"&amp;(MATCH("VHR-S0567",Forrásszöveg!$A$6:$A$2497,0)+5),"62. § (5) eleje")</f>
        <v>62. § (5) eleje</v>
      </c>
      <c r="F1891" s="16" t="str">
        <f aca="false">HYPERLINK("https://net.jogtar.hu/jogszabaly?docid=a2400418.kor#pr567id","Jogtár megnyitása")</f>
        <v>Jogtár megnyitása</v>
      </c>
    </row>
    <row r="1892" customFormat="false" ht="52" hidden="false" customHeight="true" outlineLevel="0" collapsed="false">
      <c r="A1892" s="15" t="s">
        <v>6700</v>
      </c>
      <c r="B1892" s="15" t="s">
        <v>1471</v>
      </c>
      <c r="C1892" s="15" t="s">
        <v>4166</v>
      </c>
      <c r="D1892" s="15" t="s">
        <v>6701</v>
      </c>
      <c r="E1892" s="16" t="str">
        <f aca="false">HYPERLINK("#'Forrásszöveg'!A"&amp;(MATCH("VHR-S0568",Forrásszöveg!$A$6:$A$2497,0)+5),"63. § (1) eleje")</f>
        <v>63. § (1) eleje</v>
      </c>
      <c r="F1892" s="16" t="str">
        <f aca="false">HYPERLINK("https://net.jogtar.hu/jogszabaly?docid=a2400418.kor#pr568id","Jogtár megnyitása")</f>
        <v>Jogtár megnyitása</v>
      </c>
    </row>
    <row r="1893" customFormat="false" ht="34" hidden="false" customHeight="true" outlineLevel="0" collapsed="false">
      <c r="A1893" s="15" t="s">
        <v>6702</v>
      </c>
      <c r="B1893" s="15" t="s">
        <v>1471</v>
      </c>
      <c r="C1893" s="15" t="s">
        <v>6703</v>
      </c>
      <c r="D1893" s="15" t="s">
        <v>6704</v>
      </c>
      <c r="E1893" s="16" t="str">
        <f aca="false">HYPERLINK("#'Forrásszöveg'!A"&amp;(MATCH("VHR-S0568",Forrásszöveg!$A$6:$A$2497,0)+5),"63. § (1) eleje")</f>
        <v>63. § (1) eleje</v>
      </c>
      <c r="F1893" s="16" t="str">
        <f aca="false">HYPERLINK("https://net.jogtar.hu/jogszabaly?docid=a2400418.kor#pr569id","Jogtár megnyitása")</f>
        <v>Jogtár megnyitása</v>
      </c>
    </row>
    <row r="1894" customFormat="false" ht="34" hidden="false" customHeight="true" outlineLevel="0" collapsed="false">
      <c r="A1894" s="15" t="s">
        <v>6705</v>
      </c>
      <c r="B1894" s="15" t="s">
        <v>1471</v>
      </c>
      <c r="C1894" s="15" t="s">
        <v>6706</v>
      </c>
      <c r="D1894" s="15" t="s">
        <v>6707</v>
      </c>
      <c r="E1894" s="16" t="str">
        <f aca="false">HYPERLINK("#'Forrásszöveg'!A"&amp;(MATCH("VHR-S0568",Forrásszöveg!$A$6:$A$2497,0)+5),"63. § (1) eleje")</f>
        <v>63. § (1) eleje</v>
      </c>
      <c r="F1894" s="16" t="str">
        <f aca="false">HYPERLINK("https://net.jogtar.hu/jogszabaly?docid=a2400418.kor#pr570id","Jogtár megnyitása")</f>
        <v>Jogtár megnyitása</v>
      </c>
    </row>
    <row r="1895" customFormat="false" ht="52" hidden="false" customHeight="true" outlineLevel="0" collapsed="false">
      <c r="A1895" s="15" t="s">
        <v>6708</v>
      </c>
      <c r="B1895" s="15" t="s">
        <v>1471</v>
      </c>
      <c r="C1895" s="15" t="s">
        <v>4169</v>
      </c>
      <c r="D1895" s="15" t="s">
        <v>6709</v>
      </c>
      <c r="E1895" s="16" t="str">
        <f aca="false">HYPERLINK("#'Forrásszöveg'!A"&amp;(MATCH("VHR-S0571",Forrásszöveg!$A$6:$A$2497,0)+5),"63. § (2) eleje")</f>
        <v>63. § (2) eleje</v>
      </c>
      <c r="F1895" s="16" t="str">
        <f aca="false">HYPERLINK("https://net.jogtar.hu/jogszabaly?docid=a2400418.kor#pr571id","Jogtár megnyitása")</f>
        <v>Jogtár megnyitása</v>
      </c>
    </row>
    <row r="1896" customFormat="false" ht="38" hidden="false" customHeight="true" outlineLevel="0" collapsed="false">
      <c r="A1896" s="15" t="s">
        <v>6710</v>
      </c>
      <c r="B1896" s="15" t="s">
        <v>1471</v>
      </c>
      <c r="C1896" s="15" t="s">
        <v>4172</v>
      </c>
      <c r="D1896" s="15" t="s">
        <v>6711</v>
      </c>
      <c r="E1896" s="16" t="str">
        <f aca="false">HYPERLINK("#'Forrásszöveg'!A"&amp;(MATCH("VHR-S0572",Forrásszöveg!$A$6:$A$2497,0)+5),"63. § (3) eleje")</f>
        <v>63. § (3) eleje</v>
      </c>
      <c r="F1896" s="16" t="str">
        <f aca="false">HYPERLINK("https://net.jogtar.hu/jogszabaly?docid=a2400418.kor#pr572id","Jogtár megnyitása")</f>
        <v>Jogtár megnyitása</v>
      </c>
    </row>
    <row r="1897" customFormat="false" ht="52" hidden="false" customHeight="true" outlineLevel="0" collapsed="false">
      <c r="A1897" s="15" t="s">
        <v>6712</v>
      </c>
      <c r="B1897" s="15" t="s">
        <v>1471</v>
      </c>
      <c r="C1897" s="15" t="s">
        <v>6713</v>
      </c>
      <c r="D1897" s="15" t="s">
        <v>6714</v>
      </c>
      <c r="E1897" s="16" t="str">
        <f aca="false">HYPERLINK("#'Forrásszöveg'!A"&amp;(MATCH("VHR-S0573",Forrásszöveg!$A$6:$A$2497,0)+5),"63. § (4) eleje")</f>
        <v>63. § (4) eleje</v>
      </c>
      <c r="F1897" s="16" t="str">
        <f aca="false">HYPERLINK("https://net.jogtar.hu/jogszabaly?docid=a2400418.kor#pr573id","Jogtár megnyitása")</f>
        <v>Jogtár megnyitása</v>
      </c>
    </row>
    <row r="1898" customFormat="false" ht="66" hidden="false" customHeight="true" outlineLevel="0" collapsed="false">
      <c r="A1898" s="15" t="s">
        <v>6715</v>
      </c>
      <c r="B1898" s="15" t="s">
        <v>1471</v>
      </c>
      <c r="C1898" s="15" t="s">
        <v>6716</v>
      </c>
      <c r="D1898" s="15" t="s">
        <v>6717</v>
      </c>
      <c r="E1898" s="16" t="str">
        <f aca="false">HYPERLINK("#'Forrásszöveg'!A"&amp;(MATCH("VHR-S0574",Forrásszöveg!$A$6:$A$2497,0)+5),"63. § (5) eleje")</f>
        <v>63. § (5) eleje</v>
      </c>
      <c r="F1898" s="16" t="str">
        <f aca="false">HYPERLINK("https://net.jogtar.hu/jogszabaly?docid=a2400418.kor#pr574id","Jogtár megnyitása")</f>
        <v>Jogtár megnyitása</v>
      </c>
    </row>
    <row r="1899" customFormat="false" ht="34" hidden="false" customHeight="true" outlineLevel="0" collapsed="false">
      <c r="A1899" s="15" t="s">
        <v>6718</v>
      </c>
      <c r="B1899" s="15" t="s">
        <v>1471</v>
      </c>
      <c r="C1899" s="15" t="s">
        <v>1497</v>
      </c>
      <c r="D1899" s="15" t="s">
        <v>1497</v>
      </c>
      <c r="E1899" s="16" t="str">
        <f aca="false">HYPERLINK("#'Forrásszöveg'!A"&amp;(MATCH("VHR-S0568",Forrásszöveg!$A$6:$A$2497,0)+5),"63. § eleje")</f>
        <v>63. § eleje</v>
      </c>
      <c r="F1899" s="16" t="str">
        <f aca="false">HYPERLINK("https://net.jogtar.hu/jogszabaly?docid=a2400418.kor#pr575id","Jogtár megnyitása")</f>
        <v>Jogtár megnyitása</v>
      </c>
    </row>
    <row r="1900" customFormat="false" ht="52" hidden="false" customHeight="true" outlineLevel="0" collapsed="false">
      <c r="A1900" s="15" t="s">
        <v>6719</v>
      </c>
      <c r="B1900" s="15" t="s">
        <v>1471</v>
      </c>
      <c r="C1900" s="15" t="s">
        <v>4175</v>
      </c>
      <c r="D1900" s="15" t="s">
        <v>6720</v>
      </c>
      <c r="E1900" s="16" t="str">
        <f aca="false">HYPERLINK("#'Forrásszöveg'!A"&amp;(MATCH("VHR-S0576",Forrásszöveg!$A$6:$A$2497,0)+5),"64. § (1) eleje")</f>
        <v>64. § (1) eleje</v>
      </c>
      <c r="F1900" s="16" t="str">
        <f aca="false">HYPERLINK("https://net.jogtar.hu/jogszabaly?docid=a2400418.kor#pr576id","Jogtár megnyitása")</f>
        <v>Jogtár megnyitása</v>
      </c>
    </row>
    <row r="1901" customFormat="false" ht="38" hidden="false" customHeight="true" outlineLevel="0" collapsed="false">
      <c r="A1901" s="15" t="s">
        <v>6721</v>
      </c>
      <c r="B1901" s="15" t="s">
        <v>1471</v>
      </c>
      <c r="C1901" s="15" t="s">
        <v>4198</v>
      </c>
      <c r="D1901" s="15" t="s">
        <v>6722</v>
      </c>
      <c r="E1901" s="16" t="str">
        <f aca="false">HYPERLINK("#'Forrásszöveg'!A"&amp;(MATCH("VHR-S0577",Forrásszöveg!$A$6:$A$2497,0)+5),"64. § (2) eleje")</f>
        <v>64. § (2) eleje</v>
      </c>
      <c r="F1901" s="16" t="str">
        <f aca="false">HYPERLINK("https://net.jogtar.hu/jogszabaly?docid=a2400418.kor#pr577id","Jogtár megnyitása")</f>
        <v>Jogtár megnyitása</v>
      </c>
    </row>
    <row r="1902" customFormat="false" ht="52" hidden="false" customHeight="true" outlineLevel="0" collapsed="false">
      <c r="A1902" s="15" t="s">
        <v>6723</v>
      </c>
      <c r="B1902" s="15" t="s">
        <v>1471</v>
      </c>
      <c r="C1902" s="15" t="s">
        <v>4213</v>
      </c>
      <c r="D1902" s="15" t="s">
        <v>6724</v>
      </c>
      <c r="E1902" s="16" t="str">
        <f aca="false">HYPERLINK("#'Forrásszöveg'!A"&amp;(MATCH("VHR-S0578",Forrásszöveg!$A$6:$A$2497,0)+5),"64. § (3) eleje")</f>
        <v>64. § (3) eleje</v>
      </c>
      <c r="F1902" s="16" t="str">
        <f aca="false">HYPERLINK("https://net.jogtar.hu/jogszabaly?docid=a2400418.kor#pr578id","Jogtár megnyitása")</f>
        <v>Jogtár megnyitása</v>
      </c>
    </row>
    <row r="1903" customFormat="false" ht="52" hidden="false" customHeight="true" outlineLevel="0" collapsed="false">
      <c r="A1903" s="15" t="s">
        <v>6725</v>
      </c>
      <c r="B1903" s="15" t="s">
        <v>1471</v>
      </c>
      <c r="C1903" s="15" t="s">
        <v>4216</v>
      </c>
      <c r="D1903" s="15" t="s">
        <v>6726</v>
      </c>
      <c r="E1903" s="16" t="str">
        <f aca="false">HYPERLINK("#'Forrásszöveg'!A"&amp;(MATCH("VHR-S0579",Forrásszöveg!$A$6:$A$2497,0)+5),"64. § (4) eleje")</f>
        <v>64. § (4) eleje</v>
      </c>
      <c r="F1903" s="16" t="str">
        <f aca="false">HYPERLINK("https://net.jogtar.hu/jogszabaly?docid=a2400418.kor#pr579id","Jogtár megnyitása")</f>
        <v>Jogtár megnyitása</v>
      </c>
    </row>
    <row r="1904" customFormat="false" ht="38" hidden="false" customHeight="true" outlineLevel="0" collapsed="false">
      <c r="A1904" s="15" t="s">
        <v>6727</v>
      </c>
      <c r="B1904" s="15" t="s">
        <v>1471</v>
      </c>
      <c r="C1904" s="15" t="s">
        <v>4219</v>
      </c>
      <c r="D1904" s="15" t="s">
        <v>6728</v>
      </c>
      <c r="E1904" s="16" t="str">
        <f aca="false">HYPERLINK("#'Forrásszöveg'!A"&amp;(MATCH("VHR-S0580",Forrásszöveg!$A$6:$A$2497,0)+5),"64. § (5) eleje")</f>
        <v>64. § (5) eleje</v>
      </c>
      <c r="F1904" s="16" t="str">
        <f aca="false">HYPERLINK("https://net.jogtar.hu/jogszabaly?docid=a2400418.kor#pr580id","Jogtár megnyitása")</f>
        <v>Jogtár megnyitása</v>
      </c>
    </row>
    <row r="1905" customFormat="false" ht="38" hidden="false" customHeight="true" outlineLevel="0" collapsed="false">
      <c r="A1905" s="15" t="s">
        <v>6729</v>
      </c>
      <c r="B1905" s="15" t="s">
        <v>1471</v>
      </c>
      <c r="C1905" s="15" t="s">
        <v>4222</v>
      </c>
      <c r="D1905" s="15" t="s">
        <v>6730</v>
      </c>
      <c r="E1905" s="16" t="str">
        <f aca="false">HYPERLINK("#'Forrásszöveg'!A"&amp;(MATCH("VHR-S0581",Forrásszöveg!$A$6:$A$2497,0)+5),"64. § (6) eleje")</f>
        <v>64. § (6) eleje</v>
      </c>
      <c r="F1905" s="16" t="str">
        <f aca="false">HYPERLINK("https://net.jogtar.hu/jogszabaly?docid=a2400418.kor#pr581id","Jogtár megnyitása")</f>
        <v>Jogtár megnyitása</v>
      </c>
    </row>
    <row r="1906" customFormat="false" ht="34" hidden="false" customHeight="true" outlineLevel="0" collapsed="false">
      <c r="A1906" s="15" t="s">
        <v>6731</v>
      </c>
      <c r="B1906" s="15" t="s">
        <v>1471</v>
      </c>
      <c r="C1906" s="15" t="s">
        <v>4225</v>
      </c>
      <c r="D1906" s="15" t="s">
        <v>6732</v>
      </c>
      <c r="E1906" s="16" t="str">
        <f aca="false">HYPERLINK("#'Forrásszöveg'!A"&amp;(MATCH("VHR-S0582",Forrásszöveg!$A$6:$A$2497,0)+5),"64. § (7) eleje")</f>
        <v>64. § (7) eleje</v>
      </c>
      <c r="F1906" s="16" t="str">
        <f aca="false">HYPERLINK("https://net.jogtar.hu/jogszabaly?docid=a2400418.kor#pr582id","Jogtár megnyitása")</f>
        <v>Jogtár megnyitása</v>
      </c>
    </row>
    <row r="1907" customFormat="false" ht="38" hidden="false" customHeight="true" outlineLevel="0" collapsed="false">
      <c r="A1907" s="15" t="s">
        <v>6733</v>
      </c>
      <c r="B1907" s="15" t="s">
        <v>1471</v>
      </c>
      <c r="C1907" s="15" t="s">
        <v>6734</v>
      </c>
      <c r="D1907" s="15" t="s">
        <v>6735</v>
      </c>
      <c r="E1907" s="16" t="str">
        <f aca="false">HYPERLINK("#'Forrásszöveg'!A"&amp;(MATCH("VHR-S0583",Forrásszöveg!$A$6:$A$2497,0)+5),"64. § (8) eleje")</f>
        <v>64. § (8) eleje</v>
      </c>
      <c r="F1907" s="16" t="str">
        <f aca="false">HYPERLINK("https://net.jogtar.hu/jogszabaly?docid=a2400418.kor#pr583id","Jogtár megnyitása")</f>
        <v>Jogtár megnyitása</v>
      </c>
    </row>
    <row r="1908" customFormat="false" ht="34" hidden="false" customHeight="true" outlineLevel="0" collapsed="false">
      <c r="A1908" s="15" t="s">
        <v>6736</v>
      </c>
      <c r="B1908" s="15" t="s">
        <v>1471</v>
      </c>
      <c r="C1908" s="15" t="s">
        <v>4063</v>
      </c>
      <c r="D1908" s="15" t="s">
        <v>4063</v>
      </c>
      <c r="E1908" s="16" t="str">
        <f aca="false">HYPERLINK("#'Forrásszöveg'!A"&amp;(MATCH("VHR-S0576",Forrásszöveg!$A$6:$A$2497,0)+5),"64. § eleje")</f>
        <v>64. § eleje</v>
      </c>
      <c r="F1908" s="16" t="str">
        <f aca="false">HYPERLINK("https://net.jogtar.hu/jogszabaly?docid=a2400418.kor#pr584id","Jogtár megnyitása")</f>
        <v>Jogtár megnyitása</v>
      </c>
    </row>
    <row r="1909" customFormat="false" ht="38" hidden="false" customHeight="true" outlineLevel="0" collapsed="false">
      <c r="A1909" s="15" t="s">
        <v>6737</v>
      </c>
      <c r="B1909" s="15" t="s">
        <v>1471</v>
      </c>
      <c r="C1909" s="15" t="s">
        <v>4163</v>
      </c>
      <c r="D1909" s="15" t="s">
        <v>4163</v>
      </c>
      <c r="E1909" s="16" t="str">
        <f aca="false">HYPERLINK("#'Forrásszöveg'!A"&amp;(MATCH("VHR-S0576",Forrásszöveg!$A$6:$A$2497,0)+5),"64. § eleje")</f>
        <v>64. § eleje</v>
      </c>
      <c r="F1909" s="16" t="str">
        <f aca="false">HYPERLINK("https://net.jogtar.hu/jogszabaly?docid=a2400418.kor#pr585id","Jogtár megnyitása")</f>
        <v>Jogtár megnyitása</v>
      </c>
    </row>
    <row r="1910" customFormat="false" ht="38" hidden="false" customHeight="true" outlineLevel="0" collapsed="false">
      <c r="A1910" s="15" t="s">
        <v>6738</v>
      </c>
      <c r="B1910" s="15" t="s">
        <v>1471</v>
      </c>
      <c r="C1910" s="15" t="s">
        <v>1498</v>
      </c>
      <c r="D1910" s="15" t="s">
        <v>1498</v>
      </c>
      <c r="E1910" s="16" t="str">
        <f aca="false">HYPERLINK("#'Forrásszöveg'!A"&amp;(MATCH("VHR-S0576",Forrásszöveg!$A$6:$A$2497,0)+5),"64. § eleje")</f>
        <v>64. § eleje</v>
      </c>
      <c r="F1910" s="16" t="str">
        <f aca="false">HYPERLINK("https://net.jogtar.hu/jogszabaly?docid=a2400418.kor#pr586id","Jogtár megnyitása")</f>
        <v>Jogtár megnyitása</v>
      </c>
    </row>
    <row r="1911" customFormat="false" ht="38" hidden="false" customHeight="true" outlineLevel="0" collapsed="false">
      <c r="A1911" s="15" t="s">
        <v>6739</v>
      </c>
      <c r="B1911" s="15" t="s">
        <v>1471</v>
      </c>
      <c r="C1911" s="15" t="s">
        <v>4229</v>
      </c>
      <c r="D1911" s="15" t="s">
        <v>6740</v>
      </c>
      <c r="E1911" s="16" t="str">
        <f aca="false">HYPERLINK("#'Forrásszöveg'!A"&amp;(MATCH("VHR-S0587",Forrásszöveg!$A$6:$A$2497,0)+5),"65. § (1) eleje")</f>
        <v>65. § (1) eleje</v>
      </c>
      <c r="F1911" s="16" t="str">
        <f aca="false">HYPERLINK("https://net.jogtar.hu/jogszabaly?docid=a2400418.kor#pr587id","Jogtár megnyitása")</f>
        <v>Jogtár megnyitása</v>
      </c>
    </row>
    <row r="1912" customFormat="false" ht="80" hidden="false" customHeight="true" outlineLevel="0" collapsed="false">
      <c r="A1912" s="15" t="s">
        <v>6741</v>
      </c>
      <c r="B1912" s="15" t="s">
        <v>1471</v>
      </c>
      <c r="C1912" s="15" t="s">
        <v>4232</v>
      </c>
      <c r="D1912" s="15" t="s">
        <v>6742</v>
      </c>
      <c r="E1912" s="16" t="str">
        <f aca="false">HYPERLINK("#'Forrásszöveg'!A"&amp;(MATCH("VHR-S0588",Forrásszöveg!$A$6:$A$2497,0)+5),"65. § (2) eleje")</f>
        <v>65. § (2) eleje</v>
      </c>
      <c r="F1912" s="16" t="str">
        <f aca="false">HYPERLINK("https://net.jogtar.hu/jogszabaly?docid=a2400418.kor#pr588id","Jogtár megnyitása")</f>
        <v>Jogtár megnyitása</v>
      </c>
    </row>
    <row r="1913" customFormat="false" ht="52" hidden="false" customHeight="true" outlineLevel="0" collapsed="false">
      <c r="A1913" s="15" t="s">
        <v>6743</v>
      </c>
      <c r="B1913" s="15" t="s">
        <v>1471</v>
      </c>
      <c r="C1913" s="15" t="s">
        <v>4254</v>
      </c>
      <c r="D1913" s="15" t="s">
        <v>6744</v>
      </c>
      <c r="E1913" s="16" t="str">
        <f aca="false">HYPERLINK("#'Forrásszöveg'!A"&amp;(MATCH("VHR-S0589",Forrásszöveg!$A$6:$A$2497,0)+5),"66. § (1) eleje")</f>
        <v>66. § (1) eleje</v>
      </c>
      <c r="F1913" s="16" t="str">
        <f aca="false">HYPERLINK("https://net.jogtar.hu/jogszabaly?docid=a2400418.kor#pr589id","Jogtár megnyitása")</f>
        <v>Jogtár megnyitása</v>
      </c>
    </row>
    <row r="1914" customFormat="false" ht="52" hidden="false" customHeight="true" outlineLevel="0" collapsed="false">
      <c r="A1914" s="15" t="s">
        <v>6745</v>
      </c>
      <c r="B1914" s="15" t="s">
        <v>1471</v>
      </c>
      <c r="C1914" s="15" t="s">
        <v>4257</v>
      </c>
      <c r="D1914" s="15" t="s">
        <v>6746</v>
      </c>
      <c r="E1914" s="16" t="str">
        <f aca="false">HYPERLINK("#'Forrásszöveg'!A"&amp;(MATCH("VHR-S0590",Forrásszöveg!$A$6:$A$2497,0)+5),"66. § (2) eleje")</f>
        <v>66. § (2) eleje</v>
      </c>
      <c r="F1914" s="16" t="str">
        <f aca="false">HYPERLINK("https://net.jogtar.hu/jogszabaly?docid=a2400418.kor#pr590id","Jogtár megnyitása")</f>
        <v>Jogtár megnyitása</v>
      </c>
    </row>
    <row r="1915" customFormat="false" ht="52" hidden="false" customHeight="true" outlineLevel="0" collapsed="false">
      <c r="A1915" s="15" t="s">
        <v>6747</v>
      </c>
      <c r="B1915" s="15" t="s">
        <v>1471</v>
      </c>
      <c r="C1915" s="15" t="s">
        <v>4260</v>
      </c>
      <c r="D1915" s="15" t="s">
        <v>6748</v>
      </c>
      <c r="E1915" s="16" t="str">
        <f aca="false">HYPERLINK("#'Forrásszöveg'!A"&amp;(MATCH("VHR-S0591",Forrásszöveg!$A$6:$A$2497,0)+5),"66. § (3) eleje")</f>
        <v>66. § (3) eleje</v>
      </c>
      <c r="F1915" s="16" t="str">
        <f aca="false">HYPERLINK("https://net.jogtar.hu/jogszabaly?docid=a2400418.kor#pr591id","Jogtár megnyitása")</f>
        <v>Jogtár megnyitása</v>
      </c>
    </row>
    <row r="1916" customFormat="false" ht="34" hidden="false" customHeight="true" outlineLevel="0" collapsed="false">
      <c r="A1916" s="15" t="s">
        <v>6749</v>
      </c>
      <c r="B1916" s="15" t="s">
        <v>1471</v>
      </c>
      <c r="C1916" s="15" t="s">
        <v>4272</v>
      </c>
      <c r="D1916" s="15" t="s">
        <v>6750</v>
      </c>
      <c r="E1916" s="16" t="str">
        <f aca="false">HYPERLINK("#'Forrásszöveg'!A"&amp;(MATCH("VHR-S0592",Forrásszöveg!$A$6:$A$2497,0)+5),"67. § (1) eleje")</f>
        <v>67. § (1) eleje</v>
      </c>
      <c r="F1916" s="16" t="str">
        <f aca="false">HYPERLINK("https://net.jogtar.hu/jogszabaly?docid=a2400418.kor#pr592id","Jogtár megnyitása")</f>
        <v>Jogtár megnyitása</v>
      </c>
    </row>
    <row r="1917" customFormat="false" ht="34" hidden="false" customHeight="true" outlineLevel="0" collapsed="false">
      <c r="A1917" s="15" t="s">
        <v>6751</v>
      </c>
      <c r="B1917" s="15" t="s">
        <v>1471</v>
      </c>
      <c r="C1917" s="15" t="s">
        <v>6752</v>
      </c>
      <c r="D1917" s="15" t="s">
        <v>6753</v>
      </c>
      <c r="E1917" s="16" t="str">
        <f aca="false">HYPERLINK("#'Forrásszöveg'!A"&amp;(MATCH("VHR-S0592",Forrásszöveg!$A$6:$A$2497,0)+5),"67. § (1) eleje")</f>
        <v>67. § (1) eleje</v>
      </c>
      <c r="F1917" s="16" t="str">
        <f aca="false">HYPERLINK("https://net.jogtar.hu/jogszabaly?docid=a2400418.kor#pr593id","Jogtár megnyitása")</f>
        <v>Jogtár megnyitása</v>
      </c>
    </row>
    <row r="1918" customFormat="false" ht="38" hidden="false" customHeight="true" outlineLevel="0" collapsed="false">
      <c r="A1918" s="15" t="s">
        <v>6754</v>
      </c>
      <c r="B1918" s="15" t="s">
        <v>1471</v>
      </c>
      <c r="C1918" s="15" t="s">
        <v>6755</v>
      </c>
      <c r="D1918" s="15" t="s">
        <v>6756</v>
      </c>
      <c r="E1918" s="16" t="str">
        <f aca="false">HYPERLINK("#'Forrásszöveg'!A"&amp;(MATCH("VHR-S0592",Forrásszöveg!$A$6:$A$2497,0)+5),"67. § (1) eleje")</f>
        <v>67. § (1) eleje</v>
      </c>
      <c r="F1918" s="16" t="str">
        <f aca="false">HYPERLINK("https://net.jogtar.hu/jogszabaly?docid=a2400418.kor#pr594id","Jogtár megnyitása")</f>
        <v>Jogtár megnyitása</v>
      </c>
    </row>
    <row r="1919" customFormat="false" ht="34" hidden="false" customHeight="true" outlineLevel="0" collapsed="false">
      <c r="A1919" s="15" t="s">
        <v>6757</v>
      </c>
      <c r="B1919" s="15" t="s">
        <v>1471</v>
      </c>
      <c r="C1919" s="15" t="s">
        <v>6758</v>
      </c>
      <c r="D1919" s="15" t="s">
        <v>6759</v>
      </c>
      <c r="E1919" s="16" t="str">
        <f aca="false">HYPERLINK("#'Forrásszöveg'!A"&amp;(MATCH("VHR-S0592",Forrásszöveg!$A$6:$A$2497,0)+5),"67. § (1) eleje")</f>
        <v>67. § (1) eleje</v>
      </c>
      <c r="F1919" s="16" t="str">
        <f aca="false">HYPERLINK("https://net.jogtar.hu/jogszabaly?docid=a2400418.kor#pr595id","Jogtár megnyitása")</f>
        <v>Jogtár megnyitása</v>
      </c>
    </row>
    <row r="1920" customFormat="false" ht="66" hidden="false" customHeight="true" outlineLevel="0" collapsed="false">
      <c r="A1920" s="15" t="s">
        <v>6760</v>
      </c>
      <c r="B1920" s="15" t="s">
        <v>1471</v>
      </c>
      <c r="C1920" s="15" t="s">
        <v>6761</v>
      </c>
      <c r="D1920" s="15" t="s">
        <v>6762</v>
      </c>
      <c r="E1920" s="16" t="str">
        <f aca="false">HYPERLINK("#'Forrásszöveg'!A"&amp;(MATCH("VHR-S0592",Forrásszöveg!$A$6:$A$2497,0)+5),"67. § (1) eleje")</f>
        <v>67. § (1) eleje</v>
      </c>
      <c r="F1920" s="16" t="str">
        <f aca="false">HYPERLINK("https://net.jogtar.hu/jogszabaly?docid=a2400418.kor#pr596id","Jogtár megnyitása")</f>
        <v>Jogtár megnyitása</v>
      </c>
    </row>
    <row r="1921" customFormat="false" ht="34" hidden="false" customHeight="true" outlineLevel="0" collapsed="false">
      <c r="A1921" s="15" t="s">
        <v>6763</v>
      </c>
      <c r="B1921" s="15" t="s">
        <v>1471</v>
      </c>
      <c r="C1921" s="15" t="s">
        <v>6764</v>
      </c>
      <c r="D1921" s="15" t="s">
        <v>6765</v>
      </c>
      <c r="E1921" s="16" t="str">
        <f aca="false">HYPERLINK("#'Forrásszöveg'!A"&amp;(MATCH("VHR-S0592",Forrásszöveg!$A$6:$A$2497,0)+5),"67. § (1) eleje")</f>
        <v>67. § (1) eleje</v>
      </c>
      <c r="F1921" s="16" t="str">
        <f aca="false">HYPERLINK("https://net.jogtar.hu/jogszabaly?docid=a2400418.kor#pr597id","Jogtár megnyitása")</f>
        <v>Jogtár megnyitása</v>
      </c>
    </row>
    <row r="1922" customFormat="false" ht="34" hidden="false" customHeight="true" outlineLevel="0" collapsed="false">
      <c r="A1922" s="15" t="s">
        <v>6766</v>
      </c>
      <c r="B1922" s="15" t="s">
        <v>1471</v>
      </c>
      <c r="C1922" s="15" t="s">
        <v>6767</v>
      </c>
      <c r="D1922" s="15" t="s">
        <v>6768</v>
      </c>
      <c r="E1922" s="16" t="str">
        <f aca="false">HYPERLINK("#'Forrásszöveg'!A"&amp;(MATCH("VHR-S0592",Forrásszöveg!$A$6:$A$2497,0)+5),"67. § (1) eleje")</f>
        <v>67. § (1) eleje</v>
      </c>
      <c r="F1922" s="16" t="str">
        <f aca="false">HYPERLINK("https://net.jogtar.hu/jogszabaly?docid=a2400418.kor#pr598id","Jogtár megnyitása")</f>
        <v>Jogtár megnyitása</v>
      </c>
    </row>
    <row r="1923" customFormat="false" ht="34" hidden="false" customHeight="true" outlineLevel="0" collapsed="false">
      <c r="A1923" s="15" t="s">
        <v>6769</v>
      </c>
      <c r="B1923" s="15" t="s">
        <v>1471</v>
      </c>
      <c r="C1923" s="15" t="s">
        <v>6770</v>
      </c>
      <c r="D1923" s="15" t="s">
        <v>6771</v>
      </c>
      <c r="E1923" s="16" t="str">
        <f aca="false">HYPERLINK("#'Forrásszöveg'!A"&amp;(MATCH("VHR-S0592",Forrásszöveg!$A$6:$A$2497,0)+5),"67. § (1) eleje")</f>
        <v>67. § (1) eleje</v>
      </c>
      <c r="F1923" s="16" t="str">
        <f aca="false">HYPERLINK("https://net.jogtar.hu/jogszabaly?docid=a2400418.kor#pr599id","Jogtár megnyitása")</f>
        <v>Jogtár megnyitása</v>
      </c>
    </row>
    <row r="1924" customFormat="false" ht="38" hidden="false" customHeight="true" outlineLevel="0" collapsed="false">
      <c r="A1924" s="15" t="s">
        <v>6772</v>
      </c>
      <c r="B1924" s="15" t="s">
        <v>1471</v>
      </c>
      <c r="C1924" s="15" t="s">
        <v>6773</v>
      </c>
      <c r="D1924" s="15" t="s">
        <v>6774</v>
      </c>
      <c r="E1924" s="16" t="str">
        <f aca="false">HYPERLINK("#'Forrásszöveg'!A"&amp;(MATCH("VHR-S0592",Forrásszöveg!$A$6:$A$2497,0)+5),"67. § (1) eleje")</f>
        <v>67. § (1) eleje</v>
      </c>
      <c r="F1924" s="16" t="str">
        <f aca="false">HYPERLINK("https://net.jogtar.hu/jogszabaly?docid=a2400418.kor#pr600id","Jogtár megnyitása")</f>
        <v>Jogtár megnyitása</v>
      </c>
    </row>
    <row r="1925" customFormat="false" ht="38" hidden="false" customHeight="true" outlineLevel="0" collapsed="false">
      <c r="A1925" s="15" t="s">
        <v>6775</v>
      </c>
      <c r="B1925" s="15" t="s">
        <v>1471</v>
      </c>
      <c r="C1925" s="15" t="s">
        <v>6776</v>
      </c>
      <c r="D1925" s="15" t="s">
        <v>6777</v>
      </c>
      <c r="E1925" s="16" t="str">
        <f aca="false">HYPERLINK("#'Forrásszöveg'!A"&amp;(MATCH("VHR-S0592",Forrásszöveg!$A$6:$A$2497,0)+5),"67. § (1) eleje")</f>
        <v>67. § (1) eleje</v>
      </c>
      <c r="F1925" s="16" t="str">
        <f aca="false">HYPERLINK("https://net.jogtar.hu/jogszabaly?docid=a2400418.kor#pr601id","Jogtár megnyitása")</f>
        <v>Jogtár megnyitása</v>
      </c>
    </row>
    <row r="1926" customFormat="false" ht="34" hidden="false" customHeight="true" outlineLevel="0" collapsed="false">
      <c r="A1926" s="15" t="s">
        <v>6778</v>
      </c>
      <c r="B1926" s="15" t="s">
        <v>1471</v>
      </c>
      <c r="C1926" s="15" t="s">
        <v>6779</v>
      </c>
      <c r="D1926" s="15" t="s">
        <v>6780</v>
      </c>
      <c r="E1926" s="16" t="str">
        <f aca="false">HYPERLINK("#'Forrásszöveg'!A"&amp;(MATCH("VHR-S0592",Forrásszöveg!$A$6:$A$2497,0)+5),"67. § (1) eleje")</f>
        <v>67. § (1) eleje</v>
      </c>
      <c r="F1926" s="16" t="str">
        <f aca="false">HYPERLINK("https://net.jogtar.hu/jogszabaly?docid=a2400418.kor#pr602id","Jogtár megnyitása")</f>
        <v>Jogtár megnyitása</v>
      </c>
    </row>
    <row r="1927" customFormat="false" ht="38" hidden="false" customHeight="true" outlineLevel="0" collapsed="false">
      <c r="A1927" s="15" t="s">
        <v>6781</v>
      </c>
      <c r="B1927" s="15" t="s">
        <v>1471</v>
      </c>
      <c r="C1927" s="15" t="s">
        <v>6782</v>
      </c>
      <c r="D1927" s="15" t="s">
        <v>6783</v>
      </c>
      <c r="E1927" s="16" t="str">
        <f aca="false">HYPERLINK("#'Forrásszöveg'!A"&amp;(MATCH("VHR-S0592",Forrásszöveg!$A$6:$A$2497,0)+5),"67. § (1) eleje")</f>
        <v>67. § (1) eleje</v>
      </c>
      <c r="F1927" s="16" t="str">
        <f aca="false">HYPERLINK("https://net.jogtar.hu/jogszabaly?docid=a2400418.kor#pr603id","Jogtár megnyitása")</f>
        <v>Jogtár megnyitása</v>
      </c>
    </row>
    <row r="1928" customFormat="false" ht="34" hidden="false" customHeight="true" outlineLevel="0" collapsed="false">
      <c r="A1928" s="15" t="s">
        <v>6784</v>
      </c>
      <c r="B1928" s="15" t="s">
        <v>1471</v>
      </c>
      <c r="C1928" s="15" t="s">
        <v>6785</v>
      </c>
      <c r="D1928" s="15" t="s">
        <v>6786</v>
      </c>
      <c r="E1928" s="16" t="str">
        <f aca="false">HYPERLINK("#'Forrásszöveg'!A"&amp;(MATCH("VHR-S0592",Forrásszöveg!$A$6:$A$2497,0)+5),"67. § (1) eleje")</f>
        <v>67. § (1) eleje</v>
      </c>
      <c r="F1928" s="16" t="str">
        <f aca="false">HYPERLINK("https://net.jogtar.hu/jogszabaly?docid=a2400418.kor#pr604id","Jogtár megnyitása")</f>
        <v>Jogtár megnyitása</v>
      </c>
    </row>
    <row r="1929" customFormat="false" ht="34" hidden="false" customHeight="true" outlineLevel="0" collapsed="false">
      <c r="A1929" s="15" t="s">
        <v>6787</v>
      </c>
      <c r="B1929" s="15" t="s">
        <v>1471</v>
      </c>
      <c r="C1929" s="15" t="s">
        <v>6788</v>
      </c>
      <c r="D1929" s="15" t="s">
        <v>6789</v>
      </c>
      <c r="E1929" s="16" t="str">
        <f aca="false">HYPERLINK("#'Forrásszöveg'!A"&amp;(MATCH("VHR-S0592",Forrásszöveg!$A$6:$A$2497,0)+5),"67. § (1) eleje")</f>
        <v>67. § (1) eleje</v>
      </c>
      <c r="F1929" s="16" t="str">
        <f aca="false">HYPERLINK("https://net.jogtar.hu/jogszabaly?docid=a2400418.kor#pr605id","Jogtár megnyitása")</f>
        <v>Jogtár megnyitása</v>
      </c>
    </row>
    <row r="1930" customFormat="false" ht="38" hidden="false" customHeight="true" outlineLevel="0" collapsed="false">
      <c r="A1930" s="15" t="s">
        <v>6790</v>
      </c>
      <c r="B1930" s="15" t="s">
        <v>1471</v>
      </c>
      <c r="C1930" s="15" t="s">
        <v>6791</v>
      </c>
      <c r="D1930" s="15" t="s">
        <v>6792</v>
      </c>
      <c r="E1930" s="16" t="str">
        <f aca="false">HYPERLINK("#'Forrásszöveg'!A"&amp;(MATCH("VHR-S0592",Forrásszöveg!$A$6:$A$2497,0)+5),"67. § (1) eleje")</f>
        <v>67. § (1) eleje</v>
      </c>
      <c r="F1930" s="16" t="str">
        <f aca="false">HYPERLINK("https://net.jogtar.hu/jogszabaly?docid=a2400418.kor#pr606id","Jogtár megnyitása")</f>
        <v>Jogtár megnyitása</v>
      </c>
    </row>
    <row r="1931" customFormat="false" ht="38" hidden="false" customHeight="true" outlineLevel="0" collapsed="false">
      <c r="A1931" s="15" t="s">
        <v>6793</v>
      </c>
      <c r="B1931" s="15" t="s">
        <v>1471</v>
      </c>
      <c r="C1931" s="15" t="s">
        <v>6794</v>
      </c>
      <c r="D1931" s="15" t="s">
        <v>6795</v>
      </c>
      <c r="E1931" s="16" t="str">
        <f aca="false">HYPERLINK("#'Forrásszöveg'!A"&amp;(MATCH("VHR-S0592",Forrásszöveg!$A$6:$A$2497,0)+5),"67. § (1) eleje")</f>
        <v>67. § (1) eleje</v>
      </c>
      <c r="F1931" s="16" t="str">
        <f aca="false">HYPERLINK("https://net.jogtar.hu/jogszabaly?docid=a2400418.kor#pr607id","Jogtár megnyitása")</f>
        <v>Jogtár megnyitása</v>
      </c>
    </row>
    <row r="1932" customFormat="false" ht="38" hidden="false" customHeight="true" outlineLevel="0" collapsed="false">
      <c r="A1932" s="15" t="s">
        <v>6796</v>
      </c>
      <c r="B1932" s="15" t="s">
        <v>1471</v>
      </c>
      <c r="C1932" s="15" t="s">
        <v>6797</v>
      </c>
      <c r="D1932" s="15" t="s">
        <v>6798</v>
      </c>
      <c r="E1932" s="16" t="str">
        <f aca="false">HYPERLINK("#'Forrásszöveg'!A"&amp;(MATCH("VHR-S0592",Forrásszöveg!$A$6:$A$2497,0)+5),"67. § (1) eleje")</f>
        <v>67. § (1) eleje</v>
      </c>
      <c r="F1932" s="16" t="str">
        <f aca="false">HYPERLINK("https://net.jogtar.hu/jogszabaly?docid=a2400418.kor#pr608id","Jogtár megnyitása")</f>
        <v>Jogtár megnyitása</v>
      </c>
    </row>
    <row r="1933" customFormat="false" ht="38" hidden="false" customHeight="true" outlineLevel="0" collapsed="false">
      <c r="A1933" s="15" t="s">
        <v>6799</v>
      </c>
      <c r="B1933" s="15" t="s">
        <v>1471</v>
      </c>
      <c r="C1933" s="15" t="s">
        <v>6800</v>
      </c>
      <c r="D1933" s="15" t="s">
        <v>6801</v>
      </c>
      <c r="E1933" s="16" t="str">
        <f aca="false">HYPERLINK("#'Forrásszöveg'!A"&amp;(MATCH("VHR-S0592",Forrásszöveg!$A$6:$A$2497,0)+5),"67. § (1) eleje")</f>
        <v>67. § (1) eleje</v>
      </c>
      <c r="F1933" s="16" t="str">
        <f aca="false">HYPERLINK("https://net.jogtar.hu/jogszabaly?docid=a2400418.kor#pr609id","Jogtár megnyitása")</f>
        <v>Jogtár megnyitása</v>
      </c>
    </row>
    <row r="1934" customFormat="false" ht="34" hidden="false" customHeight="true" outlineLevel="0" collapsed="false">
      <c r="A1934" s="15" t="s">
        <v>6802</v>
      </c>
      <c r="B1934" s="15" t="s">
        <v>1471</v>
      </c>
      <c r="C1934" s="15" t="s">
        <v>6803</v>
      </c>
      <c r="D1934" s="15" t="s">
        <v>6804</v>
      </c>
      <c r="E1934" s="16" t="str">
        <f aca="false">HYPERLINK("#'Forrásszöveg'!A"&amp;(MATCH("VHR-S0592",Forrásszöveg!$A$6:$A$2497,0)+5),"67. § (1) eleje")</f>
        <v>67. § (1) eleje</v>
      </c>
      <c r="F1934" s="16" t="str">
        <f aca="false">HYPERLINK("https://net.jogtar.hu/jogszabaly?docid=a2400418.kor#pr610id","Jogtár megnyitása")</f>
        <v>Jogtár megnyitása</v>
      </c>
    </row>
    <row r="1935" customFormat="false" ht="34" hidden="false" customHeight="true" outlineLevel="0" collapsed="false">
      <c r="A1935" s="15" t="s">
        <v>6805</v>
      </c>
      <c r="B1935" s="15" t="s">
        <v>1471</v>
      </c>
      <c r="C1935" s="15" t="s">
        <v>6806</v>
      </c>
      <c r="D1935" s="15" t="s">
        <v>6807</v>
      </c>
      <c r="E1935" s="16" t="str">
        <f aca="false">HYPERLINK("#'Forrásszöveg'!A"&amp;(MATCH("VHR-S0592",Forrásszöveg!$A$6:$A$2497,0)+5),"67. § (1) eleje")</f>
        <v>67. § (1) eleje</v>
      </c>
      <c r="F1935" s="16" t="str">
        <f aca="false">HYPERLINK("https://net.jogtar.hu/jogszabaly?docid=a2400418.kor#pr611id","Jogtár megnyitása")</f>
        <v>Jogtár megnyitása</v>
      </c>
    </row>
    <row r="1936" customFormat="false" ht="38" hidden="false" customHeight="true" outlineLevel="0" collapsed="false">
      <c r="A1936" s="15" t="s">
        <v>6808</v>
      </c>
      <c r="B1936" s="15" t="s">
        <v>1471</v>
      </c>
      <c r="C1936" s="15" t="s">
        <v>6809</v>
      </c>
      <c r="D1936" s="15" t="s">
        <v>6810</v>
      </c>
      <c r="E1936" s="16" t="str">
        <f aca="false">HYPERLINK("#'Forrásszöveg'!A"&amp;(MATCH("VHR-S0592",Forrásszöveg!$A$6:$A$2497,0)+5),"67. § (1) eleje")</f>
        <v>67. § (1) eleje</v>
      </c>
      <c r="F1936" s="16" t="str">
        <f aca="false">HYPERLINK("https://net.jogtar.hu/jogszabaly?docid=a2400418.kor#pr612id","Jogtár megnyitása")</f>
        <v>Jogtár megnyitása</v>
      </c>
    </row>
    <row r="1937" customFormat="false" ht="38" hidden="false" customHeight="true" outlineLevel="0" collapsed="false">
      <c r="A1937" s="15" t="s">
        <v>6811</v>
      </c>
      <c r="B1937" s="15" t="s">
        <v>1471</v>
      </c>
      <c r="C1937" s="15" t="s">
        <v>6812</v>
      </c>
      <c r="D1937" s="15" t="s">
        <v>6813</v>
      </c>
      <c r="E1937" s="16" t="str">
        <f aca="false">HYPERLINK("#'Forrásszöveg'!A"&amp;(MATCH("VHR-S0592",Forrásszöveg!$A$6:$A$2497,0)+5),"67. § (1) eleje")</f>
        <v>67. § (1) eleje</v>
      </c>
      <c r="F1937" s="16" t="str">
        <f aca="false">HYPERLINK("https://net.jogtar.hu/jogszabaly?docid=a2400418.kor#pr613id","Jogtár megnyitása")</f>
        <v>Jogtár megnyitása</v>
      </c>
    </row>
    <row r="1938" customFormat="false" ht="34" hidden="false" customHeight="true" outlineLevel="0" collapsed="false">
      <c r="A1938" s="15" t="s">
        <v>6814</v>
      </c>
      <c r="B1938" s="15" t="s">
        <v>1471</v>
      </c>
      <c r="C1938" s="15" t="s">
        <v>6815</v>
      </c>
      <c r="D1938" s="15" t="s">
        <v>6816</v>
      </c>
      <c r="E1938" s="16" t="str">
        <f aca="false">HYPERLINK("#'Forrásszöveg'!A"&amp;(MATCH("VHR-S0592",Forrásszöveg!$A$6:$A$2497,0)+5),"67. § (1) eleje")</f>
        <v>67. § (1) eleje</v>
      </c>
      <c r="F1938" s="16" t="str">
        <f aca="false">HYPERLINK("https://net.jogtar.hu/jogszabaly?docid=a2400418.kor#pr614id","Jogtár megnyitása")</f>
        <v>Jogtár megnyitása</v>
      </c>
    </row>
    <row r="1939" customFormat="false" ht="34" hidden="false" customHeight="true" outlineLevel="0" collapsed="false">
      <c r="A1939" s="15" t="s">
        <v>6817</v>
      </c>
      <c r="B1939" s="15" t="s">
        <v>1471</v>
      </c>
      <c r="C1939" s="15" t="s">
        <v>6818</v>
      </c>
      <c r="D1939" s="15" t="s">
        <v>6819</v>
      </c>
      <c r="E1939" s="16" t="str">
        <f aca="false">HYPERLINK("#'Forrásszöveg'!A"&amp;(MATCH("VHR-S0592",Forrásszöveg!$A$6:$A$2497,0)+5),"67. § (1) eleje")</f>
        <v>67. § (1) eleje</v>
      </c>
      <c r="F1939" s="16" t="str">
        <f aca="false">HYPERLINK("https://net.jogtar.hu/jogszabaly?docid=a2400418.kor#pr615id","Jogtár megnyitása")</f>
        <v>Jogtár megnyitása</v>
      </c>
    </row>
    <row r="1940" customFormat="false" ht="34" hidden="false" customHeight="true" outlineLevel="0" collapsed="false">
      <c r="A1940" s="15" t="s">
        <v>6820</v>
      </c>
      <c r="B1940" s="15" t="s">
        <v>1471</v>
      </c>
      <c r="C1940" s="15" t="s">
        <v>6821</v>
      </c>
      <c r="D1940" s="15" t="s">
        <v>6822</v>
      </c>
      <c r="E1940" s="16" t="str">
        <f aca="false">HYPERLINK("#'Forrásszöveg'!A"&amp;(MATCH("VHR-S0592",Forrásszöveg!$A$6:$A$2497,0)+5),"67. § (1) eleje")</f>
        <v>67. § (1) eleje</v>
      </c>
      <c r="F1940" s="16" t="str">
        <f aca="false">HYPERLINK("https://net.jogtar.hu/jogszabaly?docid=a2400418.kor#pr616id","Jogtár megnyitása")</f>
        <v>Jogtár megnyitása</v>
      </c>
    </row>
    <row r="1941" customFormat="false" ht="38" hidden="false" customHeight="true" outlineLevel="0" collapsed="false">
      <c r="A1941" s="15" t="s">
        <v>6823</v>
      </c>
      <c r="B1941" s="15" t="s">
        <v>1471</v>
      </c>
      <c r="C1941" s="15" t="s">
        <v>6824</v>
      </c>
      <c r="D1941" s="15" t="s">
        <v>6825</v>
      </c>
      <c r="E1941" s="16" t="str">
        <f aca="false">HYPERLINK("#'Forrásszöveg'!A"&amp;(MATCH("VHR-S0592",Forrásszöveg!$A$6:$A$2497,0)+5),"67. § (1) eleje")</f>
        <v>67. § (1) eleje</v>
      </c>
      <c r="F1941" s="16" t="str">
        <f aca="false">HYPERLINK("https://net.jogtar.hu/jogszabaly?docid=a2400418.kor#pr617id","Jogtár megnyitása")</f>
        <v>Jogtár megnyitása</v>
      </c>
    </row>
    <row r="1942" customFormat="false" ht="38" hidden="false" customHeight="true" outlineLevel="0" collapsed="false">
      <c r="A1942" s="15" t="s">
        <v>6826</v>
      </c>
      <c r="B1942" s="15" t="s">
        <v>1471</v>
      </c>
      <c r="C1942" s="15" t="s">
        <v>6827</v>
      </c>
      <c r="D1942" s="15" t="s">
        <v>6828</v>
      </c>
      <c r="E1942" s="16" t="str">
        <f aca="false">HYPERLINK("#'Forrásszöveg'!A"&amp;(MATCH("VHR-S0592",Forrásszöveg!$A$6:$A$2497,0)+5),"67. § (1) eleje")</f>
        <v>67. § (1) eleje</v>
      </c>
      <c r="F1942" s="16" t="str">
        <f aca="false">HYPERLINK("https://net.jogtar.hu/jogszabaly?docid=a2400418.kor#pr618id","Jogtár megnyitása")</f>
        <v>Jogtár megnyitása</v>
      </c>
    </row>
    <row r="1943" customFormat="false" ht="34" hidden="false" customHeight="true" outlineLevel="0" collapsed="false">
      <c r="A1943" s="15" t="s">
        <v>6829</v>
      </c>
      <c r="B1943" s="15" t="s">
        <v>1471</v>
      </c>
      <c r="C1943" s="15" t="s">
        <v>6830</v>
      </c>
      <c r="D1943" s="15" t="s">
        <v>6831</v>
      </c>
      <c r="E1943" s="16" t="str">
        <f aca="false">HYPERLINK("#'Forrásszöveg'!A"&amp;(MATCH("VHR-S0592",Forrásszöveg!$A$6:$A$2497,0)+5),"67. § (1) eleje")</f>
        <v>67. § (1) eleje</v>
      </c>
      <c r="F1943" s="16" t="str">
        <f aca="false">HYPERLINK("https://net.jogtar.hu/jogszabaly?docid=a2400418.kor#pr619id","Jogtár megnyitása")</f>
        <v>Jogtár megnyitása</v>
      </c>
    </row>
    <row r="1944" customFormat="false" ht="34" hidden="false" customHeight="true" outlineLevel="0" collapsed="false">
      <c r="A1944" s="15" t="s">
        <v>6832</v>
      </c>
      <c r="B1944" s="15" t="s">
        <v>1471</v>
      </c>
      <c r="C1944" s="15" t="s">
        <v>6833</v>
      </c>
      <c r="D1944" s="15" t="s">
        <v>6834</v>
      </c>
      <c r="E1944" s="16" t="str">
        <f aca="false">HYPERLINK("#'Forrásszöveg'!A"&amp;(MATCH("VHR-S0592",Forrásszöveg!$A$6:$A$2497,0)+5),"67. § (1) eleje")</f>
        <v>67. § (1) eleje</v>
      </c>
      <c r="F1944" s="16" t="str">
        <f aca="false">HYPERLINK("https://net.jogtar.hu/jogszabaly?docid=a2400418.kor#pr620id","Jogtár megnyitása")</f>
        <v>Jogtár megnyitása</v>
      </c>
    </row>
    <row r="1945" customFormat="false" ht="38" hidden="false" customHeight="true" outlineLevel="0" collapsed="false">
      <c r="A1945" s="15" t="s">
        <v>6835</v>
      </c>
      <c r="B1945" s="15" t="s">
        <v>1471</v>
      </c>
      <c r="C1945" s="15" t="s">
        <v>6836</v>
      </c>
      <c r="D1945" s="15" t="s">
        <v>6837</v>
      </c>
      <c r="E1945" s="16" t="str">
        <f aca="false">HYPERLINK("#'Forrásszöveg'!A"&amp;(MATCH("VHR-S0592",Forrásszöveg!$A$6:$A$2497,0)+5),"67. § (1) eleje")</f>
        <v>67. § (1) eleje</v>
      </c>
      <c r="F1945" s="16" t="str">
        <f aca="false">HYPERLINK("https://net.jogtar.hu/jogszabaly?docid=a2400418.kor#pr621id","Jogtár megnyitása")</f>
        <v>Jogtár megnyitása</v>
      </c>
    </row>
    <row r="1946" customFormat="false" ht="34" hidden="false" customHeight="true" outlineLevel="0" collapsed="false">
      <c r="A1946" s="15" t="s">
        <v>6838</v>
      </c>
      <c r="B1946" s="15" t="s">
        <v>1471</v>
      </c>
      <c r="C1946" s="15" t="s">
        <v>6839</v>
      </c>
      <c r="D1946" s="15" t="s">
        <v>6840</v>
      </c>
      <c r="E1946" s="16" t="str">
        <f aca="false">HYPERLINK("#'Forrásszöveg'!A"&amp;(MATCH("VHR-S0592",Forrásszöveg!$A$6:$A$2497,0)+5),"67. § (1) eleje")</f>
        <v>67. § (1) eleje</v>
      </c>
      <c r="F1946" s="16" t="str">
        <f aca="false">HYPERLINK("https://net.jogtar.hu/jogszabaly?docid=a2400418.kor#pr622id","Jogtár megnyitása")</f>
        <v>Jogtár megnyitása</v>
      </c>
    </row>
    <row r="1947" customFormat="false" ht="52" hidden="false" customHeight="true" outlineLevel="0" collapsed="false">
      <c r="A1947" s="15" t="s">
        <v>6841</v>
      </c>
      <c r="B1947" s="15" t="s">
        <v>1471</v>
      </c>
      <c r="C1947" s="15" t="s">
        <v>6842</v>
      </c>
      <c r="D1947" s="15" t="s">
        <v>6843</v>
      </c>
      <c r="E1947" s="16" t="str">
        <f aca="false">HYPERLINK("#'Forrásszöveg'!A"&amp;(MATCH("VHR-S0592",Forrásszöveg!$A$6:$A$2497,0)+5),"67. § (1) eleje")</f>
        <v>67. § (1) eleje</v>
      </c>
      <c r="F1947" s="16" t="str">
        <f aca="false">HYPERLINK("https://net.jogtar.hu/jogszabaly?docid=a2400418.kor#pr623id","Jogtár megnyitása")</f>
        <v>Jogtár megnyitása</v>
      </c>
    </row>
    <row r="1948" customFormat="false" ht="34" hidden="false" customHeight="true" outlineLevel="0" collapsed="false">
      <c r="A1948" s="15" t="s">
        <v>6844</v>
      </c>
      <c r="B1948" s="15" t="s">
        <v>1471</v>
      </c>
      <c r="C1948" s="15" t="s">
        <v>6845</v>
      </c>
      <c r="D1948" s="15" t="s">
        <v>6846</v>
      </c>
      <c r="E1948" s="16" t="str">
        <f aca="false">HYPERLINK("#'Forrásszöveg'!A"&amp;(MATCH("VHR-S0592",Forrásszöveg!$A$6:$A$2497,0)+5),"67. § (1) eleje")</f>
        <v>67. § (1) eleje</v>
      </c>
      <c r="F1948" s="16" t="str">
        <f aca="false">HYPERLINK("https://net.jogtar.hu/jogszabaly?docid=a2400418.kor#pr624id","Jogtár megnyitása")</f>
        <v>Jogtár megnyitása</v>
      </c>
    </row>
    <row r="1949" customFormat="false" ht="34" hidden="false" customHeight="true" outlineLevel="0" collapsed="false">
      <c r="A1949" s="15" t="s">
        <v>6847</v>
      </c>
      <c r="B1949" s="15" t="s">
        <v>1471</v>
      </c>
      <c r="C1949" s="15" t="s">
        <v>6848</v>
      </c>
      <c r="D1949" s="15" t="s">
        <v>6849</v>
      </c>
      <c r="E1949" s="16" t="str">
        <f aca="false">HYPERLINK("#'Forrásszöveg'!A"&amp;(MATCH("VHR-S0592",Forrásszöveg!$A$6:$A$2497,0)+5),"67. § (1) eleje")</f>
        <v>67. § (1) eleje</v>
      </c>
      <c r="F1949" s="16" t="str">
        <f aca="false">HYPERLINK("https://net.jogtar.hu/jogszabaly?docid=a2400418.kor#pr625id","Jogtár megnyitása")</f>
        <v>Jogtár megnyitása</v>
      </c>
    </row>
    <row r="1950" customFormat="false" ht="34" hidden="false" customHeight="true" outlineLevel="0" collapsed="false">
      <c r="A1950" s="15" t="s">
        <v>6850</v>
      </c>
      <c r="B1950" s="15" t="s">
        <v>1471</v>
      </c>
      <c r="C1950" s="15" t="s">
        <v>6851</v>
      </c>
      <c r="D1950" s="15" t="s">
        <v>6852</v>
      </c>
      <c r="E1950" s="16" t="str">
        <f aca="false">HYPERLINK("#'Forrásszöveg'!A"&amp;(MATCH("VHR-S0592",Forrásszöveg!$A$6:$A$2497,0)+5),"67. § (1) eleje")</f>
        <v>67. § (1) eleje</v>
      </c>
      <c r="F1950" s="16" t="str">
        <f aca="false">HYPERLINK("https://net.jogtar.hu/jogszabaly?docid=a2400418.kor#pr626id","Jogtár megnyitása")</f>
        <v>Jogtár megnyitása</v>
      </c>
    </row>
    <row r="1951" customFormat="false" ht="34" hidden="false" customHeight="true" outlineLevel="0" collapsed="false">
      <c r="A1951" s="15" t="s">
        <v>6853</v>
      </c>
      <c r="B1951" s="15" t="s">
        <v>1471</v>
      </c>
      <c r="C1951" s="15" t="s">
        <v>6854</v>
      </c>
      <c r="D1951" s="15" t="s">
        <v>6855</v>
      </c>
      <c r="E1951" s="16" t="str">
        <f aca="false">HYPERLINK("#'Forrásszöveg'!A"&amp;(MATCH("VHR-S0592",Forrásszöveg!$A$6:$A$2497,0)+5),"67. § (1) eleje")</f>
        <v>67. § (1) eleje</v>
      </c>
      <c r="F1951" s="16" t="str">
        <f aca="false">HYPERLINK("https://net.jogtar.hu/jogszabaly?docid=a2400418.kor#pr627id","Jogtár megnyitása")</f>
        <v>Jogtár megnyitása</v>
      </c>
    </row>
    <row r="1952" customFormat="false" ht="38" hidden="false" customHeight="true" outlineLevel="0" collapsed="false">
      <c r="A1952" s="15" t="s">
        <v>6856</v>
      </c>
      <c r="B1952" s="15" t="s">
        <v>1471</v>
      </c>
      <c r="C1952" s="15" t="s">
        <v>6857</v>
      </c>
      <c r="D1952" s="15" t="s">
        <v>6858</v>
      </c>
      <c r="E1952" s="16" t="str">
        <f aca="false">HYPERLINK("#'Forrásszöveg'!A"&amp;(MATCH("VHR-S0592",Forrásszöveg!$A$6:$A$2497,0)+5),"67. § (1) eleje")</f>
        <v>67. § (1) eleje</v>
      </c>
      <c r="F1952" s="16" t="str">
        <f aca="false">HYPERLINK("https://net.jogtar.hu/jogszabaly?docid=a2400418.kor#pr628id","Jogtár megnyitása")</f>
        <v>Jogtár megnyitása</v>
      </c>
    </row>
    <row r="1953" customFormat="false" ht="38" hidden="false" customHeight="true" outlineLevel="0" collapsed="false">
      <c r="A1953" s="15" t="s">
        <v>6859</v>
      </c>
      <c r="B1953" s="15" t="s">
        <v>1471</v>
      </c>
      <c r="C1953" s="15" t="s">
        <v>6860</v>
      </c>
      <c r="D1953" s="15" t="s">
        <v>6861</v>
      </c>
      <c r="E1953" s="16" t="str">
        <f aca="false">HYPERLINK("#'Forrásszöveg'!A"&amp;(MATCH("VHR-S0592",Forrásszöveg!$A$6:$A$2497,0)+5),"67. § (1) eleje")</f>
        <v>67. § (1) eleje</v>
      </c>
      <c r="F1953" s="16" t="str">
        <f aca="false">HYPERLINK("https://net.jogtar.hu/jogszabaly?docid=a2400418.kor#pr629id","Jogtár megnyitása")</f>
        <v>Jogtár megnyitása</v>
      </c>
    </row>
    <row r="1954" customFormat="false" ht="34" hidden="false" customHeight="true" outlineLevel="0" collapsed="false">
      <c r="A1954" s="15" t="s">
        <v>6862</v>
      </c>
      <c r="B1954" s="15" t="s">
        <v>1471</v>
      </c>
      <c r="C1954" s="15" t="s">
        <v>6863</v>
      </c>
      <c r="D1954" s="15" t="s">
        <v>6864</v>
      </c>
      <c r="E1954" s="16" t="str">
        <f aca="false">HYPERLINK("#'Forrásszöveg'!A"&amp;(MATCH("VHR-S0592",Forrásszöveg!$A$6:$A$2497,0)+5),"67. § (1) eleje")</f>
        <v>67. § (1) eleje</v>
      </c>
      <c r="F1954" s="16" t="str">
        <f aca="false">HYPERLINK("https://net.jogtar.hu/jogszabaly?docid=a2400418.kor#pr630id","Jogtár megnyitása")</f>
        <v>Jogtár megnyitása</v>
      </c>
    </row>
    <row r="1955" customFormat="false" ht="34" hidden="false" customHeight="true" outlineLevel="0" collapsed="false">
      <c r="A1955" s="15" t="s">
        <v>6865</v>
      </c>
      <c r="B1955" s="15" t="s">
        <v>1471</v>
      </c>
      <c r="C1955" s="15" t="s">
        <v>6866</v>
      </c>
      <c r="D1955" s="15" t="s">
        <v>6867</v>
      </c>
      <c r="E1955" s="16" t="str">
        <f aca="false">HYPERLINK("#'Forrásszöveg'!A"&amp;(MATCH("VHR-S0592",Forrásszöveg!$A$6:$A$2497,0)+5),"67. § (1) eleje")</f>
        <v>67. § (1) eleje</v>
      </c>
      <c r="F1955" s="16" t="str">
        <f aca="false">HYPERLINK("https://net.jogtar.hu/jogszabaly?docid=a2400418.kor#pr631id","Jogtár megnyitása")</f>
        <v>Jogtár megnyitása</v>
      </c>
    </row>
    <row r="1956" customFormat="false" ht="38" hidden="false" customHeight="true" outlineLevel="0" collapsed="false">
      <c r="A1956" s="15" t="s">
        <v>6868</v>
      </c>
      <c r="B1956" s="15" t="s">
        <v>1471</v>
      </c>
      <c r="C1956" s="15" t="s">
        <v>6869</v>
      </c>
      <c r="D1956" s="15" t="s">
        <v>6870</v>
      </c>
      <c r="E1956" s="16" t="str">
        <f aca="false">HYPERLINK("#'Forrásszöveg'!A"&amp;(MATCH("VHR-S0592",Forrásszöveg!$A$6:$A$2497,0)+5),"67. § (1) eleje")</f>
        <v>67. § (1) eleje</v>
      </c>
      <c r="F1956" s="16" t="str">
        <f aca="false">HYPERLINK("https://net.jogtar.hu/jogszabaly?docid=a2400418.kor#pr632id","Jogtár megnyitása")</f>
        <v>Jogtár megnyitása</v>
      </c>
    </row>
    <row r="1957" customFormat="false" ht="52" hidden="false" customHeight="true" outlineLevel="0" collapsed="false">
      <c r="A1957" s="15" t="s">
        <v>6871</v>
      </c>
      <c r="B1957" s="15" t="s">
        <v>1471</v>
      </c>
      <c r="C1957" s="15" t="s">
        <v>6872</v>
      </c>
      <c r="D1957" s="15" t="s">
        <v>6873</v>
      </c>
      <c r="E1957" s="16" t="str">
        <f aca="false">HYPERLINK("#'Forrásszöveg'!A"&amp;(MATCH("VHR-S0592",Forrásszöveg!$A$6:$A$2497,0)+5),"67. § (1) eleje")</f>
        <v>67. § (1) eleje</v>
      </c>
      <c r="F1957" s="16" t="str">
        <f aca="false">HYPERLINK("https://net.jogtar.hu/jogszabaly?docid=a2400418.kor#pr633id","Jogtár megnyitása")</f>
        <v>Jogtár megnyitása</v>
      </c>
    </row>
    <row r="1958" customFormat="false" ht="38" hidden="false" customHeight="true" outlineLevel="0" collapsed="false">
      <c r="A1958" s="15" t="s">
        <v>6874</v>
      </c>
      <c r="B1958" s="15" t="s">
        <v>1471</v>
      </c>
      <c r="C1958" s="15" t="s">
        <v>6875</v>
      </c>
      <c r="D1958" s="15" t="s">
        <v>6876</v>
      </c>
      <c r="E1958" s="16" t="str">
        <f aca="false">HYPERLINK("#'Forrásszöveg'!A"&amp;(MATCH("VHR-S0592",Forrásszöveg!$A$6:$A$2497,0)+5),"67. § (1) eleje")</f>
        <v>67. § (1) eleje</v>
      </c>
      <c r="F1958" s="16" t="str">
        <f aca="false">HYPERLINK("https://net.jogtar.hu/jogszabaly?docid=a2400418.kor#pr634id","Jogtár megnyitása")</f>
        <v>Jogtár megnyitása</v>
      </c>
    </row>
    <row r="1959" customFormat="false" ht="52" hidden="false" customHeight="true" outlineLevel="0" collapsed="false">
      <c r="A1959" s="15" t="s">
        <v>6877</v>
      </c>
      <c r="B1959" s="15" t="s">
        <v>1471</v>
      </c>
      <c r="C1959" s="15" t="s">
        <v>6878</v>
      </c>
      <c r="D1959" s="15" t="s">
        <v>6879</v>
      </c>
      <c r="E1959" s="16" t="str">
        <f aca="false">HYPERLINK("#'Forrásszöveg'!A"&amp;(MATCH("VHR-S0592",Forrásszöveg!$A$6:$A$2497,0)+5),"67. § (1) eleje")</f>
        <v>67. § (1) eleje</v>
      </c>
      <c r="F1959" s="16" t="str">
        <f aca="false">HYPERLINK("https://net.jogtar.hu/jogszabaly?docid=a2400418.kor#pr635id","Jogtár megnyitása")</f>
        <v>Jogtár megnyitása</v>
      </c>
    </row>
    <row r="1960" customFormat="false" ht="38" hidden="false" customHeight="true" outlineLevel="0" collapsed="false">
      <c r="A1960" s="15" t="s">
        <v>6880</v>
      </c>
      <c r="B1960" s="15" t="s">
        <v>1471</v>
      </c>
      <c r="C1960" s="15" t="s">
        <v>6881</v>
      </c>
      <c r="D1960" s="15" t="s">
        <v>6882</v>
      </c>
      <c r="E1960" s="16" t="str">
        <f aca="false">HYPERLINK("#'Forrásszöveg'!A"&amp;(MATCH("VHR-S0592",Forrásszöveg!$A$6:$A$2497,0)+5),"67. § (1) eleje")</f>
        <v>67. § (1) eleje</v>
      </c>
      <c r="F1960" s="16" t="str">
        <f aca="false">HYPERLINK("https://net.jogtar.hu/jogszabaly?docid=a2400418.kor#pr636id","Jogtár megnyitása")</f>
        <v>Jogtár megnyitása</v>
      </c>
    </row>
    <row r="1961" customFormat="false" ht="38" hidden="false" customHeight="true" outlineLevel="0" collapsed="false">
      <c r="A1961" s="15" t="s">
        <v>6883</v>
      </c>
      <c r="B1961" s="15" t="s">
        <v>1471</v>
      </c>
      <c r="C1961" s="15" t="s">
        <v>6884</v>
      </c>
      <c r="D1961" s="15" t="s">
        <v>6885</v>
      </c>
      <c r="E1961" s="16" t="str">
        <f aca="false">HYPERLINK("#'Forrásszöveg'!A"&amp;(MATCH("VHR-S0592",Forrásszöveg!$A$6:$A$2497,0)+5),"67. § (1) eleje")</f>
        <v>67. § (1) eleje</v>
      </c>
      <c r="F1961" s="16" t="str">
        <f aca="false">HYPERLINK("https://net.jogtar.hu/jogszabaly?docid=a2400418.kor#pr637id","Jogtár megnyitása")</f>
        <v>Jogtár megnyitása</v>
      </c>
    </row>
    <row r="1962" customFormat="false" ht="34" hidden="false" customHeight="true" outlineLevel="0" collapsed="false">
      <c r="A1962" s="15" t="s">
        <v>6886</v>
      </c>
      <c r="B1962" s="15" t="s">
        <v>1471</v>
      </c>
      <c r="C1962" s="15" t="s">
        <v>6887</v>
      </c>
      <c r="D1962" s="15" t="s">
        <v>6888</v>
      </c>
      <c r="E1962" s="16" t="str">
        <f aca="false">HYPERLINK("#'Forrásszöveg'!A"&amp;(MATCH("VHR-S0592",Forrásszöveg!$A$6:$A$2497,0)+5),"67. § (1) eleje")</f>
        <v>67. § (1) eleje</v>
      </c>
      <c r="F1962" s="16" t="str">
        <f aca="false">HYPERLINK("https://net.jogtar.hu/jogszabaly?docid=a2400418.kor#pr638id","Jogtár megnyitása")</f>
        <v>Jogtár megnyitása</v>
      </c>
    </row>
    <row r="1963" customFormat="false" ht="34" hidden="false" customHeight="true" outlineLevel="0" collapsed="false">
      <c r="A1963" s="15" t="s">
        <v>6889</v>
      </c>
      <c r="B1963" s="15" t="s">
        <v>1471</v>
      </c>
      <c r="C1963" s="15" t="s">
        <v>6890</v>
      </c>
      <c r="D1963" s="15" t="s">
        <v>6891</v>
      </c>
      <c r="E1963" s="16" t="str">
        <f aca="false">HYPERLINK("#'Forrásszöveg'!A"&amp;(MATCH("VHR-S0592",Forrásszöveg!$A$6:$A$2497,0)+5),"67. § (1) eleje")</f>
        <v>67. § (1) eleje</v>
      </c>
      <c r="F1963" s="16" t="str">
        <f aca="false">HYPERLINK("https://net.jogtar.hu/jogszabaly?docid=a2400418.kor#pr639id","Jogtár megnyitása")</f>
        <v>Jogtár megnyitása</v>
      </c>
    </row>
    <row r="1964" customFormat="false" ht="34" hidden="false" customHeight="true" outlineLevel="0" collapsed="false">
      <c r="A1964" s="15" t="s">
        <v>6892</v>
      </c>
      <c r="B1964" s="15" t="s">
        <v>1471</v>
      </c>
      <c r="C1964" s="15" t="s">
        <v>6893</v>
      </c>
      <c r="D1964" s="15" t="s">
        <v>6894</v>
      </c>
      <c r="E1964" s="16" t="str">
        <f aca="false">HYPERLINK("#'Forrásszöveg'!A"&amp;(MATCH("VHR-S0592",Forrásszöveg!$A$6:$A$2497,0)+5),"67. § (1) eleje")</f>
        <v>67. § (1) eleje</v>
      </c>
      <c r="F1964" s="16" t="str">
        <f aca="false">HYPERLINK("https://net.jogtar.hu/jogszabaly?docid=a2400418.kor#pr640id","Jogtár megnyitása")</f>
        <v>Jogtár megnyitása</v>
      </c>
    </row>
    <row r="1965" customFormat="false" ht="34" hidden="false" customHeight="true" outlineLevel="0" collapsed="false">
      <c r="A1965" s="15" t="s">
        <v>6895</v>
      </c>
      <c r="B1965" s="15" t="s">
        <v>1471</v>
      </c>
      <c r="C1965" s="15" t="s">
        <v>6896</v>
      </c>
      <c r="D1965" s="15" t="s">
        <v>6897</v>
      </c>
      <c r="E1965" s="16" t="str">
        <f aca="false">HYPERLINK("#'Forrásszöveg'!A"&amp;(MATCH("VHR-S0592",Forrásszöveg!$A$6:$A$2497,0)+5),"67. § (1) eleje")</f>
        <v>67. § (1) eleje</v>
      </c>
      <c r="F1965" s="16" t="str">
        <f aca="false">HYPERLINK("https://net.jogtar.hu/jogszabaly?docid=a2400418.kor#pr641id","Jogtár megnyitása")</f>
        <v>Jogtár megnyitása</v>
      </c>
    </row>
    <row r="1966" customFormat="false" ht="52" hidden="false" customHeight="true" outlineLevel="0" collapsed="false">
      <c r="A1966" s="15" t="s">
        <v>6898</v>
      </c>
      <c r="B1966" s="15" t="s">
        <v>1471</v>
      </c>
      <c r="C1966" s="15" t="s">
        <v>6899</v>
      </c>
      <c r="D1966" s="15" t="s">
        <v>6900</v>
      </c>
      <c r="E1966" s="16" t="str">
        <f aca="false">HYPERLINK("#'Forrásszöveg'!A"&amp;(MATCH("VHR-S0592",Forrásszöveg!$A$6:$A$2497,0)+5),"67. § (1) eleje")</f>
        <v>67. § (1) eleje</v>
      </c>
      <c r="F1966" s="16" t="str">
        <f aca="false">HYPERLINK("https://net.jogtar.hu/jogszabaly?docid=a2400418.kor#pr642id","Jogtár megnyitása")</f>
        <v>Jogtár megnyitása</v>
      </c>
    </row>
    <row r="1967" customFormat="false" ht="38" hidden="false" customHeight="true" outlineLevel="0" collapsed="false">
      <c r="A1967" s="15" t="s">
        <v>6901</v>
      </c>
      <c r="B1967" s="15" t="s">
        <v>1471</v>
      </c>
      <c r="C1967" s="15" t="s">
        <v>6902</v>
      </c>
      <c r="D1967" s="15" t="s">
        <v>6903</v>
      </c>
      <c r="E1967" s="16" t="str">
        <f aca="false">HYPERLINK("#'Forrásszöveg'!A"&amp;(MATCH("VHR-S0592",Forrásszöveg!$A$6:$A$2497,0)+5),"67. § (1) eleje")</f>
        <v>67. § (1) eleje</v>
      </c>
      <c r="F1967" s="16" t="str">
        <f aca="false">HYPERLINK("https://net.jogtar.hu/jogszabaly?docid=a2400418.kor#pr643id","Jogtár megnyitása")</f>
        <v>Jogtár megnyitása</v>
      </c>
    </row>
    <row r="1968" customFormat="false" ht="38" hidden="false" customHeight="true" outlineLevel="0" collapsed="false">
      <c r="A1968" s="15" t="s">
        <v>6904</v>
      </c>
      <c r="B1968" s="15" t="s">
        <v>1471</v>
      </c>
      <c r="C1968" s="15" t="s">
        <v>6905</v>
      </c>
      <c r="D1968" s="15" t="s">
        <v>6906</v>
      </c>
      <c r="E1968" s="16" t="str">
        <f aca="false">HYPERLINK("#'Forrásszöveg'!A"&amp;(MATCH("VHR-S0592",Forrásszöveg!$A$6:$A$2497,0)+5),"67. § (1) eleje")</f>
        <v>67. § (1) eleje</v>
      </c>
      <c r="F1968" s="16" t="str">
        <f aca="false">HYPERLINK("https://net.jogtar.hu/jogszabaly?docid=a2400418.kor#pr644id","Jogtár megnyitása")</f>
        <v>Jogtár megnyitása</v>
      </c>
    </row>
    <row r="1969" customFormat="false" ht="34" hidden="false" customHeight="true" outlineLevel="0" collapsed="false">
      <c r="A1969" s="15" t="s">
        <v>6907</v>
      </c>
      <c r="B1969" s="15" t="s">
        <v>1471</v>
      </c>
      <c r="C1969" s="15" t="s">
        <v>6908</v>
      </c>
      <c r="D1969" s="15" t="s">
        <v>6909</v>
      </c>
      <c r="E1969" s="16" t="str">
        <f aca="false">HYPERLINK("#'Forrásszöveg'!A"&amp;(MATCH("VHR-S0592",Forrásszöveg!$A$6:$A$2497,0)+5),"67. § (1) eleje")</f>
        <v>67. § (1) eleje</v>
      </c>
      <c r="F1969" s="16" t="str">
        <f aca="false">HYPERLINK("https://net.jogtar.hu/jogszabaly?docid=a2400418.kor#pr645id","Jogtár megnyitása")</f>
        <v>Jogtár megnyitása</v>
      </c>
    </row>
    <row r="1970" customFormat="false" ht="38" hidden="false" customHeight="true" outlineLevel="0" collapsed="false">
      <c r="A1970" s="15" t="s">
        <v>6910</v>
      </c>
      <c r="B1970" s="15" t="s">
        <v>1471</v>
      </c>
      <c r="C1970" s="15" t="s">
        <v>6911</v>
      </c>
      <c r="D1970" s="15" t="s">
        <v>6912</v>
      </c>
      <c r="E1970" s="16" t="str">
        <f aca="false">HYPERLINK("#'Forrásszöveg'!A"&amp;(MATCH("VHR-S0592",Forrásszöveg!$A$6:$A$2497,0)+5),"67. § (1) eleje")</f>
        <v>67. § (1) eleje</v>
      </c>
      <c r="F1970" s="16" t="str">
        <f aca="false">HYPERLINK("https://net.jogtar.hu/jogszabaly?docid=a2400418.kor#pr646id","Jogtár megnyitása")</f>
        <v>Jogtár megnyitása</v>
      </c>
    </row>
    <row r="1971" customFormat="false" ht="38" hidden="false" customHeight="true" outlineLevel="0" collapsed="false">
      <c r="A1971" s="15" t="s">
        <v>6913</v>
      </c>
      <c r="B1971" s="15" t="s">
        <v>1471</v>
      </c>
      <c r="C1971" s="15" t="s">
        <v>6914</v>
      </c>
      <c r="D1971" s="15" t="s">
        <v>6915</v>
      </c>
      <c r="E1971" s="16" t="str">
        <f aca="false">HYPERLINK("#'Forrásszöveg'!A"&amp;(MATCH("VHR-S0592",Forrásszöveg!$A$6:$A$2497,0)+5),"67. § (1) eleje")</f>
        <v>67. § (1) eleje</v>
      </c>
      <c r="F1971" s="16" t="str">
        <f aca="false">HYPERLINK("https://net.jogtar.hu/jogszabaly?docid=a2400418.kor#pr647id","Jogtár megnyitása")</f>
        <v>Jogtár megnyitása</v>
      </c>
    </row>
    <row r="1972" customFormat="false" ht="34" hidden="false" customHeight="true" outlineLevel="0" collapsed="false">
      <c r="A1972" s="15" t="s">
        <v>6916</v>
      </c>
      <c r="B1972" s="15" t="s">
        <v>1471</v>
      </c>
      <c r="C1972" s="15" t="s">
        <v>6917</v>
      </c>
      <c r="D1972" s="15" t="s">
        <v>6918</v>
      </c>
      <c r="E1972" s="16" t="str">
        <f aca="false">HYPERLINK("#'Forrásszöveg'!A"&amp;(MATCH("VHR-S0592",Forrásszöveg!$A$6:$A$2497,0)+5),"67. § (1) eleje")</f>
        <v>67. § (1) eleje</v>
      </c>
      <c r="F1972" s="16" t="str">
        <f aca="false">HYPERLINK("https://net.jogtar.hu/jogszabaly?docid=a2400418.kor#pr648id","Jogtár megnyitása")</f>
        <v>Jogtár megnyitása</v>
      </c>
    </row>
    <row r="1973" customFormat="false" ht="34" hidden="false" customHeight="true" outlineLevel="0" collapsed="false">
      <c r="A1973" s="15" t="s">
        <v>6919</v>
      </c>
      <c r="B1973" s="15" t="s">
        <v>1471</v>
      </c>
      <c r="C1973" s="15" t="s">
        <v>6920</v>
      </c>
      <c r="D1973" s="15" t="s">
        <v>6921</v>
      </c>
      <c r="E1973" s="16" t="str">
        <f aca="false">HYPERLINK("#'Forrásszöveg'!A"&amp;(MATCH("VHR-S0592",Forrásszöveg!$A$6:$A$2497,0)+5),"67. § (1) eleje")</f>
        <v>67. § (1) eleje</v>
      </c>
      <c r="F1973" s="16" t="str">
        <f aca="false">HYPERLINK("https://net.jogtar.hu/jogszabaly?docid=a2400418.kor#pr649id","Jogtár megnyitása")</f>
        <v>Jogtár megnyitása</v>
      </c>
    </row>
    <row r="1974" customFormat="false" ht="66" hidden="false" customHeight="true" outlineLevel="0" collapsed="false">
      <c r="A1974" s="15" t="s">
        <v>6922</v>
      </c>
      <c r="B1974" s="15" t="s">
        <v>1471</v>
      </c>
      <c r="C1974" s="15" t="s">
        <v>6923</v>
      </c>
      <c r="D1974" s="15" t="s">
        <v>6924</v>
      </c>
      <c r="E1974" s="16" t="str">
        <f aca="false">HYPERLINK("#'Forrásszöveg'!A"&amp;(MATCH("VHR-S0592",Forrásszöveg!$A$6:$A$2497,0)+5),"67. § (1) eleje")</f>
        <v>67. § (1) eleje</v>
      </c>
      <c r="F1974" s="16" t="str">
        <f aca="false">HYPERLINK("https://net.jogtar.hu/jogszabaly?docid=a2400418.kor#pr650id","Jogtár megnyitása")</f>
        <v>Jogtár megnyitása</v>
      </c>
    </row>
    <row r="1975" customFormat="false" ht="38" hidden="false" customHeight="true" outlineLevel="0" collapsed="false">
      <c r="A1975" s="15" t="s">
        <v>6925</v>
      </c>
      <c r="B1975" s="15" t="s">
        <v>1471</v>
      </c>
      <c r="C1975" s="15" t="s">
        <v>6926</v>
      </c>
      <c r="D1975" s="15" t="s">
        <v>6927</v>
      </c>
      <c r="E1975" s="16" t="str">
        <f aca="false">HYPERLINK("#'Forrásszöveg'!A"&amp;(MATCH("VHR-S0592",Forrásszöveg!$A$6:$A$2497,0)+5),"67. § (1) eleje")</f>
        <v>67. § (1) eleje</v>
      </c>
      <c r="F1975" s="16" t="str">
        <f aca="false">HYPERLINK("https://net.jogtar.hu/jogszabaly?docid=a2400418.kor#pr651id","Jogtár megnyitása")</f>
        <v>Jogtár megnyitása</v>
      </c>
    </row>
    <row r="1976" customFormat="false" ht="52" hidden="false" customHeight="true" outlineLevel="0" collapsed="false">
      <c r="A1976" s="15" t="s">
        <v>6928</v>
      </c>
      <c r="B1976" s="15" t="s">
        <v>1471</v>
      </c>
      <c r="C1976" s="15" t="s">
        <v>6929</v>
      </c>
      <c r="D1976" s="15" t="s">
        <v>6930</v>
      </c>
      <c r="E1976" s="16" t="str">
        <f aca="false">HYPERLINK("#'Forrásszöveg'!A"&amp;(MATCH("VHR-S0592",Forrásszöveg!$A$6:$A$2497,0)+5),"67. § (1) eleje")</f>
        <v>67. § (1) eleje</v>
      </c>
      <c r="F1976" s="16" t="str">
        <f aca="false">HYPERLINK("https://net.jogtar.hu/jogszabaly?docid=a2400418.kor#pr652id","Jogtár megnyitása")</f>
        <v>Jogtár megnyitása</v>
      </c>
    </row>
    <row r="1977" customFormat="false" ht="34" hidden="false" customHeight="true" outlineLevel="0" collapsed="false">
      <c r="A1977" s="15" t="s">
        <v>6931</v>
      </c>
      <c r="B1977" s="15" t="s">
        <v>1471</v>
      </c>
      <c r="C1977" s="15" t="s">
        <v>6932</v>
      </c>
      <c r="D1977" s="15" t="s">
        <v>6933</v>
      </c>
      <c r="E1977" s="16" t="str">
        <f aca="false">HYPERLINK("#'Forrásszöveg'!A"&amp;(MATCH("VHR-S0592",Forrásszöveg!$A$6:$A$2497,0)+5),"67. § (1) eleje")</f>
        <v>67. § (1) eleje</v>
      </c>
      <c r="F1977" s="16" t="str">
        <f aca="false">HYPERLINK("https://net.jogtar.hu/jogszabaly?docid=a2400418.kor#pr653id","Jogtár megnyitása")</f>
        <v>Jogtár megnyitása</v>
      </c>
    </row>
    <row r="1978" customFormat="false" ht="34" hidden="false" customHeight="true" outlineLevel="0" collapsed="false">
      <c r="A1978" s="15" t="s">
        <v>6934</v>
      </c>
      <c r="B1978" s="15" t="s">
        <v>1471</v>
      </c>
      <c r="C1978" s="15" t="s">
        <v>6935</v>
      </c>
      <c r="D1978" s="15" t="s">
        <v>6936</v>
      </c>
      <c r="E1978" s="16" t="str">
        <f aca="false">HYPERLINK("#'Forrásszöveg'!A"&amp;(MATCH("VHR-S0592",Forrásszöveg!$A$6:$A$2497,0)+5),"67. § (1) eleje")</f>
        <v>67. § (1) eleje</v>
      </c>
      <c r="F1978" s="16" t="str">
        <f aca="false">HYPERLINK("https://net.jogtar.hu/jogszabaly?docid=a2400418.kor#pr654id","Jogtár megnyitása")</f>
        <v>Jogtár megnyitása</v>
      </c>
    </row>
    <row r="1979" customFormat="false" ht="66" hidden="false" customHeight="true" outlineLevel="0" collapsed="false">
      <c r="A1979" s="15" t="s">
        <v>6937</v>
      </c>
      <c r="B1979" s="15" t="s">
        <v>1471</v>
      </c>
      <c r="C1979" s="15" t="s">
        <v>6938</v>
      </c>
      <c r="D1979" s="15" t="s">
        <v>6939</v>
      </c>
      <c r="E1979" s="16" t="str">
        <f aca="false">HYPERLINK("#'Forrásszöveg'!A"&amp;(MATCH("VHR-S0592",Forrásszöveg!$A$6:$A$2497,0)+5),"67. § (1) eleje")</f>
        <v>67. § (1) eleje</v>
      </c>
      <c r="F1979" s="16" t="str">
        <f aca="false">HYPERLINK("https://net.jogtar.hu/jogszabaly?docid=a2400418.kor#pr655id","Jogtár megnyitása")</f>
        <v>Jogtár megnyitása</v>
      </c>
    </row>
    <row r="1980" customFormat="false" ht="34" hidden="false" customHeight="true" outlineLevel="0" collapsed="false">
      <c r="A1980" s="15" t="s">
        <v>6940</v>
      </c>
      <c r="B1980" s="15" t="s">
        <v>1471</v>
      </c>
      <c r="C1980" s="15" t="s">
        <v>4275</v>
      </c>
      <c r="D1980" s="15" t="s">
        <v>6941</v>
      </c>
      <c r="E1980" s="16" t="str">
        <f aca="false">HYPERLINK("#'Forrásszöveg'!A"&amp;(MATCH("VHR-S0656",Forrásszöveg!$A$6:$A$2497,0)+5),"67. § (2) eleje")</f>
        <v>67. § (2) eleje</v>
      </c>
      <c r="F1980" s="16" t="str">
        <f aca="false">HYPERLINK("https://net.jogtar.hu/jogszabaly?docid=a2400418.kor#pr656id","Jogtár megnyitása")</f>
        <v>Jogtár megnyitása</v>
      </c>
    </row>
    <row r="1981" customFormat="false" ht="34" hidden="false" customHeight="true" outlineLevel="0" collapsed="false">
      <c r="A1981" s="15" t="s">
        <v>6942</v>
      </c>
      <c r="B1981" s="15" t="s">
        <v>1471</v>
      </c>
      <c r="C1981" s="15" t="s">
        <v>6943</v>
      </c>
      <c r="D1981" s="15" t="s">
        <v>6944</v>
      </c>
      <c r="E1981" s="16" t="str">
        <f aca="false">HYPERLINK("#'Forrásszöveg'!A"&amp;(MATCH("VHR-S0656",Forrásszöveg!$A$6:$A$2497,0)+5),"67. § (2) eleje")</f>
        <v>67. § (2) eleje</v>
      </c>
      <c r="F1981" s="16" t="str">
        <f aca="false">HYPERLINK("https://net.jogtar.hu/jogszabaly?docid=a2400418.kor#pr657id","Jogtár megnyitása")</f>
        <v>Jogtár megnyitása</v>
      </c>
    </row>
    <row r="1982" customFormat="false" ht="34" hidden="false" customHeight="true" outlineLevel="0" collapsed="false">
      <c r="A1982" s="15" t="s">
        <v>6945</v>
      </c>
      <c r="B1982" s="15" t="s">
        <v>1471</v>
      </c>
      <c r="C1982" s="15" t="s">
        <v>6946</v>
      </c>
      <c r="D1982" s="15" t="s">
        <v>6947</v>
      </c>
      <c r="E1982" s="16" t="str">
        <f aca="false">HYPERLINK("#'Forrásszöveg'!A"&amp;(MATCH("VHR-S0656",Forrásszöveg!$A$6:$A$2497,0)+5),"67. § (2) eleje")</f>
        <v>67. § (2) eleje</v>
      </c>
      <c r="F1982" s="16" t="str">
        <f aca="false">HYPERLINK("https://net.jogtar.hu/jogszabaly?docid=a2400418.kor#pr658id","Jogtár megnyitása")</f>
        <v>Jogtár megnyitása</v>
      </c>
    </row>
    <row r="1983" customFormat="false" ht="34" hidden="false" customHeight="true" outlineLevel="0" collapsed="false">
      <c r="A1983" s="15" t="s">
        <v>6948</v>
      </c>
      <c r="B1983" s="15" t="s">
        <v>1471</v>
      </c>
      <c r="C1983" s="15" t="s">
        <v>6949</v>
      </c>
      <c r="D1983" s="15" t="s">
        <v>6950</v>
      </c>
      <c r="E1983" s="16" t="str">
        <f aca="false">HYPERLINK("#'Forrásszöveg'!A"&amp;(MATCH("VHR-S0656",Forrásszöveg!$A$6:$A$2497,0)+5),"67. § (2) eleje")</f>
        <v>67. § (2) eleje</v>
      </c>
      <c r="F1983" s="16" t="str">
        <f aca="false">HYPERLINK("https://net.jogtar.hu/jogszabaly?docid=a2400418.kor#pr659id","Jogtár megnyitása")</f>
        <v>Jogtár megnyitása</v>
      </c>
    </row>
    <row r="1984" customFormat="false" ht="34" hidden="false" customHeight="true" outlineLevel="0" collapsed="false">
      <c r="A1984" s="15" t="s">
        <v>6951</v>
      </c>
      <c r="B1984" s="15" t="s">
        <v>1471</v>
      </c>
      <c r="C1984" s="15" t="s">
        <v>6952</v>
      </c>
      <c r="D1984" s="15" t="s">
        <v>6953</v>
      </c>
      <c r="E1984" s="16" t="str">
        <f aca="false">HYPERLINK("#'Forrásszöveg'!A"&amp;(MATCH("VHR-S0656",Forrásszöveg!$A$6:$A$2497,0)+5),"67. § (2) eleje")</f>
        <v>67. § (2) eleje</v>
      </c>
      <c r="F1984" s="16" t="str">
        <f aca="false">HYPERLINK("https://net.jogtar.hu/jogszabaly?docid=a2400418.kor#pr660id","Jogtár megnyitása")</f>
        <v>Jogtár megnyitása</v>
      </c>
    </row>
    <row r="1985" customFormat="false" ht="34" hidden="false" customHeight="true" outlineLevel="0" collapsed="false">
      <c r="A1985" s="15" t="s">
        <v>6954</v>
      </c>
      <c r="B1985" s="15" t="s">
        <v>1471</v>
      </c>
      <c r="C1985" s="15" t="s">
        <v>6955</v>
      </c>
      <c r="D1985" s="15" t="s">
        <v>6956</v>
      </c>
      <c r="E1985" s="16" t="str">
        <f aca="false">HYPERLINK("#'Forrásszöveg'!A"&amp;(MATCH("VHR-S0656",Forrásszöveg!$A$6:$A$2497,0)+5),"67. § (2) eleje")</f>
        <v>67. § (2) eleje</v>
      </c>
      <c r="F1985" s="16" t="str">
        <f aca="false">HYPERLINK("https://net.jogtar.hu/jogszabaly?docid=a2400418.kor#pr661id","Jogtár megnyitása")</f>
        <v>Jogtár megnyitása</v>
      </c>
    </row>
    <row r="1986" customFormat="false" ht="34" hidden="false" customHeight="true" outlineLevel="0" collapsed="false">
      <c r="A1986" s="15" t="s">
        <v>6957</v>
      </c>
      <c r="B1986" s="15" t="s">
        <v>1471</v>
      </c>
      <c r="C1986" s="15" t="s">
        <v>6958</v>
      </c>
      <c r="D1986" s="15" t="s">
        <v>5803</v>
      </c>
      <c r="E1986" s="16" t="str">
        <f aca="false">HYPERLINK("#'Forrásszöveg'!A"&amp;(MATCH("VHR-S0656",Forrásszöveg!$A$6:$A$2497,0)+5),"67. § (2) eleje")</f>
        <v>67. § (2) eleje</v>
      </c>
      <c r="F1986" s="16" t="str">
        <f aca="false">HYPERLINK("https://net.jogtar.hu/jogszabaly?docid=a2400418.kor#pr662id","Jogtár megnyitása")</f>
        <v>Jogtár megnyitása</v>
      </c>
    </row>
    <row r="1987" customFormat="false" ht="34" hidden="false" customHeight="true" outlineLevel="0" collapsed="false">
      <c r="A1987" s="15" t="s">
        <v>6959</v>
      </c>
      <c r="B1987" s="15" t="s">
        <v>1471</v>
      </c>
      <c r="C1987" s="15" t="s">
        <v>6960</v>
      </c>
      <c r="D1987" s="15" t="s">
        <v>5806</v>
      </c>
      <c r="E1987" s="16" t="str">
        <f aca="false">HYPERLINK("#'Forrásszöveg'!A"&amp;(MATCH("VHR-S0656",Forrásszöveg!$A$6:$A$2497,0)+5),"67. § (2) eleje")</f>
        <v>67. § (2) eleje</v>
      </c>
      <c r="F1987" s="16" t="str">
        <f aca="false">HYPERLINK("https://net.jogtar.hu/jogszabaly?docid=a2400418.kor#pr663id","Jogtár megnyitása")</f>
        <v>Jogtár megnyitása</v>
      </c>
    </row>
    <row r="1988" customFormat="false" ht="38" hidden="false" customHeight="true" outlineLevel="0" collapsed="false">
      <c r="A1988" s="15" t="s">
        <v>6961</v>
      </c>
      <c r="B1988" s="15" t="s">
        <v>1471</v>
      </c>
      <c r="C1988" s="15" t="s">
        <v>6962</v>
      </c>
      <c r="D1988" s="15" t="s">
        <v>6963</v>
      </c>
      <c r="E1988" s="16" t="str">
        <f aca="false">HYPERLINK("#'Forrásszöveg'!A"&amp;(MATCH("VHR-S0656",Forrásszöveg!$A$6:$A$2497,0)+5),"67. § (2) eleje")</f>
        <v>67. § (2) eleje</v>
      </c>
      <c r="F1988" s="16" t="str">
        <f aca="false">HYPERLINK("https://net.jogtar.hu/jogszabaly?docid=a2400418.kor#pr664id","Jogtár megnyitása")</f>
        <v>Jogtár megnyitása</v>
      </c>
    </row>
    <row r="1989" customFormat="false" ht="38" hidden="false" customHeight="true" outlineLevel="0" collapsed="false">
      <c r="A1989" s="15" t="s">
        <v>6964</v>
      </c>
      <c r="B1989" s="15" t="s">
        <v>1471</v>
      </c>
      <c r="C1989" s="15" t="s">
        <v>6965</v>
      </c>
      <c r="D1989" s="15" t="s">
        <v>6966</v>
      </c>
      <c r="E1989" s="16" t="str">
        <f aca="false">HYPERLINK("#'Forrásszöveg'!A"&amp;(MATCH("VHR-S0656",Forrásszöveg!$A$6:$A$2497,0)+5),"67. § (2) eleje")</f>
        <v>67. § (2) eleje</v>
      </c>
      <c r="F1989" s="16" t="str">
        <f aca="false">HYPERLINK("https://net.jogtar.hu/jogszabaly?docid=a2400418.kor#pr665id","Jogtár megnyitása")</f>
        <v>Jogtár megnyitása</v>
      </c>
    </row>
    <row r="1990" customFormat="false" ht="38" hidden="false" customHeight="true" outlineLevel="0" collapsed="false">
      <c r="A1990" s="15" t="s">
        <v>6967</v>
      </c>
      <c r="B1990" s="15" t="s">
        <v>1471</v>
      </c>
      <c r="C1990" s="15" t="s">
        <v>6968</v>
      </c>
      <c r="D1990" s="15" t="s">
        <v>6969</v>
      </c>
      <c r="E1990" s="16" t="str">
        <f aca="false">HYPERLINK("#'Forrásszöveg'!A"&amp;(MATCH("VHR-S0656",Forrásszöveg!$A$6:$A$2497,0)+5),"67. § (2) eleje")</f>
        <v>67. § (2) eleje</v>
      </c>
      <c r="F1990" s="16" t="str">
        <f aca="false">HYPERLINK("https://net.jogtar.hu/jogszabaly?docid=a2400418.kor#pr666id","Jogtár megnyitása")</f>
        <v>Jogtár megnyitása</v>
      </c>
    </row>
    <row r="1991" customFormat="false" ht="34" hidden="false" customHeight="true" outlineLevel="0" collapsed="false">
      <c r="A1991" s="15" t="s">
        <v>6970</v>
      </c>
      <c r="B1991" s="15" t="s">
        <v>1471</v>
      </c>
      <c r="C1991" s="15" t="s">
        <v>6971</v>
      </c>
      <c r="D1991" s="15" t="s">
        <v>6972</v>
      </c>
      <c r="E1991" s="16" t="str">
        <f aca="false">HYPERLINK("#'Forrásszöveg'!A"&amp;(MATCH("VHR-S0656",Forrásszöveg!$A$6:$A$2497,0)+5),"67. § (2) eleje")</f>
        <v>67. § (2) eleje</v>
      </c>
      <c r="F1991" s="16" t="str">
        <f aca="false">HYPERLINK("https://net.jogtar.hu/jogszabaly?docid=a2400418.kor#pr667id","Jogtár megnyitása")</f>
        <v>Jogtár megnyitása</v>
      </c>
    </row>
    <row r="1992" customFormat="false" ht="34" hidden="false" customHeight="true" outlineLevel="0" collapsed="false">
      <c r="A1992" s="15" t="s">
        <v>6973</v>
      </c>
      <c r="B1992" s="15" t="s">
        <v>1471</v>
      </c>
      <c r="C1992" s="15" t="s">
        <v>6974</v>
      </c>
      <c r="D1992" s="15" t="s">
        <v>6975</v>
      </c>
      <c r="E1992" s="16" t="str">
        <f aca="false">HYPERLINK("#'Forrásszöveg'!A"&amp;(MATCH("VHR-S0656",Forrásszöveg!$A$6:$A$2497,0)+5),"67. § (2) eleje")</f>
        <v>67. § (2) eleje</v>
      </c>
      <c r="F1992" s="16" t="str">
        <f aca="false">HYPERLINK("https://net.jogtar.hu/jogszabaly?docid=a2400418.kor#pr668id","Jogtár megnyitása")</f>
        <v>Jogtár megnyitása</v>
      </c>
    </row>
    <row r="1993" customFormat="false" ht="34" hidden="false" customHeight="true" outlineLevel="0" collapsed="false">
      <c r="A1993" s="15" t="s">
        <v>6976</v>
      </c>
      <c r="B1993" s="15" t="s">
        <v>1471</v>
      </c>
      <c r="C1993" s="15" t="s">
        <v>4278</v>
      </c>
      <c r="D1993" s="15" t="s">
        <v>6977</v>
      </c>
      <c r="E1993" s="16" t="str">
        <f aca="false">HYPERLINK("#'Forrásszöveg'!A"&amp;(MATCH("VHR-S0669",Forrásszöveg!$A$6:$A$2497,0)+5),"67. § (3) eleje")</f>
        <v>67. § (3) eleje</v>
      </c>
      <c r="F1993" s="16" t="str">
        <f aca="false">HYPERLINK("https://net.jogtar.hu/jogszabaly?docid=a2400418.kor#pr669id","Jogtár megnyitása")</f>
        <v>Jogtár megnyitása</v>
      </c>
    </row>
    <row r="1994" customFormat="false" ht="66" hidden="false" customHeight="true" outlineLevel="0" collapsed="false">
      <c r="A1994" s="15" t="s">
        <v>6978</v>
      </c>
      <c r="B1994" s="15" t="s">
        <v>1471</v>
      </c>
      <c r="C1994" s="15" t="s">
        <v>4284</v>
      </c>
      <c r="D1994" s="15" t="s">
        <v>6979</v>
      </c>
      <c r="E1994" s="16" t="str">
        <f aca="false">HYPERLINK("#'Forrásszöveg'!A"&amp;(MATCH("VHR-S0670",Forrásszöveg!$A$6:$A$2497,0)+5),"68. § (1) eleje")</f>
        <v>68. § (1) eleje</v>
      </c>
      <c r="F1994" s="16" t="str">
        <f aca="false">HYPERLINK("https://net.jogtar.hu/jogszabaly?docid=a2400418.kor#pr670id","Jogtár megnyitása")</f>
        <v>Jogtár megnyitása</v>
      </c>
    </row>
    <row r="1995" customFormat="false" ht="38" hidden="false" customHeight="true" outlineLevel="0" collapsed="false">
      <c r="A1995" s="15" t="s">
        <v>6980</v>
      </c>
      <c r="B1995" s="15" t="s">
        <v>1471</v>
      </c>
      <c r="C1995" s="15" t="s">
        <v>4287</v>
      </c>
      <c r="D1995" s="15" t="s">
        <v>6981</v>
      </c>
      <c r="E1995" s="16" t="str">
        <f aca="false">HYPERLINK("#'Forrásszöveg'!A"&amp;(MATCH("VHR-S0671",Forrásszöveg!$A$6:$A$2497,0)+5),"68. § (2) eleje")</f>
        <v>68. § (2) eleje</v>
      </c>
      <c r="F1995" s="16" t="str">
        <f aca="false">HYPERLINK("https://net.jogtar.hu/jogszabaly?docid=a2400418.kor#pr671id","Jogtár megnyitása")</f>
        <v>Jogtár megnyitása</v>
      </c>
    </row>
    <row r="1996" customFormat="false" ht="52" hidden="false" customHeight="true" outlineLevel="0" collapsed="false">
      <c r="A1996" s="15" t="s">
        <v>6982</v>
      </c>
      <c r="B1996" s="15" t="s">
        <v>1471</v>
      </c>
      <c r="C1996" s="15" t="s">
        <v>6983</v>
      </c>
      <c r="D1996" s="15" t="s">
        <v>6984</v>
      </c>
      <c r="E1996" s="16" t="str">
        <f aca="false">HYPERLINK("#'Forrásszöveg'!A"&amp;(MATCH("VHR-S0672",Forrásszöveg!$A$6:$A$2497,0)+5),"68. § (3) eleje")</f>
        <v>68. § (3) eleje</v>
      </c>
      <c r="F1996" s="16" t="str">
        <f aca="false">HYPERLINK("https://net.jogtar.hu/jogszabaly?docid=a2400418.kor#pr672id","Jogtár megnyitása")</f>
        <v>Jogtár megnyitása</v>
      </c>
    </row>
    <row r="1997" customFormat="false" ht="52" hidden="false" customHeight="true" outlineLevel="0" collapsed="false">
      <c r="A1997" s="15" t="s">
        <v>6985</v>
      </c>
      <c r="B1997" s="15" t="s">
        <v>1471</v>
      </c>
      <c r="C1997" s="15" t="s">
        <v>6986</v>
      </c>
      <c r="D1997" s="15" t="s">
        <v>6987</v>
      </c>
      <c r="E1997" s="16" t="str">
        <f aca="false">HYPERLINK("#'Forrásszöveg'!A"&amp;(MATCH("VHR-S0673",Forrásszöveg!$A$6:$A$2497,0)+5),"68. § (4) eleje")</f>
        <v>68. § (4) eleje</v>
      </c>
      <c r="F1997" s="16" t="str">
        <f aca="false">HYPERLINK("https://net.jogtar.hu/jogszabaly?docid=a2400418.kor#pr673id","Jogtár megnyitása")</f>
        <v>Jogtár megnyitása</v>
      </c>
    </row>
    <row r="1998" customFormat="false" ht="38" hidden="false" customHeight="true" outlineLevel="0" collapsed="false">
      <c r="A1998" s="15" t="s">
        <v>6988</v>
      </c>
      <c r="B1998" s="15" t="s">
        <v>1471</v>
      </c>
      <c r="C1998" s="15" t="s">
        <v>6989</v>
      </c>
      <c r="D1998" s="15" t="s">
        <v>6990</v>
      </c>
      <c r="E1998" s="16" t="str">
        <f aca="false">HYPERLINK("#'Forrásszöveg'!A"&amp;(MATCH("VHR-S0674",Forrásszöveg!$A$6:$A$2497,0)+5),"68. § (5) eleje")</f>
        <v>68. § (5) eleje</v>
      </c>
      <c r="F1998" s="16" t="str">
        <f aca="false">HYPERLINK("https://net.jogtar.hu/jogszabaly?docid=a2400418.kor#pr674id","Jogtár megnyitása")</f>
        <v>Jogtár megnyitása</v>
      </c>
    </row>
    <row r="1999" customFormat="false" ht="34" hidden="false" customHeight="true" outlineLevel="0" collapsed="false">
      <c r="A1999" s="15" t="s">
        <v>6991</v>
      </c>
      <c r="B1999" s="15" t="s">
        <v>1471</v>
      </c>
      <c r="C1999" s="15" t="s">
        <v>1413</v>
      </c>
      <c r="D1999" s="15" t="s">
        <v>6992</v>
      </c>
      <c r="E1999" s="16" t="str">
        <f aca="false">HYPERLINK("#'Forrásszöveg'!A"&amp;(MATCH("VHR-S0675",Forrásszöveg!$A$6:$A$2497,0)+5),"69. § eleje")</f>
        <v>69. § eleje</v>
      </c>
      <c r="F1999" s="16" t="str">
        <f aca="false">HYPERLINK("https://net.jogtar.hu/jogszabaly?docid=a2400418.kor#pr675id","Jogtár megnyitása")</f>
        <v>Jogtár megnyitása</v>
      </c>
    </row>
    <row r="2000" customFormat="false" ht="38" hidden="false" customHeight="true" outlineLevel="0" collapsed="false">
      <c r="A2000" s="15" t="s">
        <v>6993</v>
      </c>
      <c r="B2000" s="15" t="s">
        <v>1471</v>
      </c>
      <c r="C2000" s="15" t="s">
        <v>6994</v>
      </c>
      <c r="D2000" s="15" t="s">
        <v>6995</v>
      </c>
      <c r="E2000" s="16" t="str">
        <f aca="false">HYPERLINK("#'Forrásszöveg'!A"&amp;(MATCH("VHR-S0675",Forrásszöveg!$A$6:$A$2497,0)+5),"69. § eleje")</f>
        <v>69. § eleje</v>
      </c>
      <c r="F2000" s="16" t="str">
        <f aca="false">HYPERLINK("https://net.jogtar.hu/jogszabaly?docid=a2400418.kor#pr676id","Jogtár megnyitása")</f>
        <v>Jogtár megnyitása</v>
      </c>
    </row>
    <row r="2001" customFormat="false" ht="34" hidden="false" customHeight="true" outlineLevel="0" collapsed="false">
      <c r="A2001" s="15" t="s">
        <v>6996</v>
      </c>
      <c r="B2001" s="15" t="s">
        <v>1471</v>
      </c>
      <c r="C2001" s="15" t="s">
        <v>6997</v>
      </c>
      <c r="D2001" s="15" t="s">
        <v>6998</v>
      </c>
      <c r="E2001" s="16" t="str">
        <f aca="false">HYPERLINK("#'Forrásszöveg'!A"&amp;(MATCH("VHR-S0675",Forrásszöveg!$A$6:$A$2497,0)+5),"69. § eleje")</f>
        <v>69. § eleje</v>
      </c>
      <c r="F2001" s="16" t="str">
        <f aca="false">HYPERLINK("https://net.jogtar.hu/jogszabaly?docid=a2400418.kor#pr677id","Jogtár megnyitása")</f>
        <v>Jogtár megnyitása</v>
      </c>
    </row>
    <row r="2002" customFormat="false" ht="34" hidden="false" customHeight="true" outlineLevel="0" collapsed="false">
      <c r="A2002" s="15" t="s">
        <v>6999</v>
      </c>
      <c r="B2002" s="15" t="s">
        <v>1471</v>
      </c>
      <c r="C2002" s="15" t="s">
        <v>7000</v>
      </c>
      <c r="D2002" s="15" t="s">
        <v>7001</v>
      </c>
      <c r="E2002" s="16" t="str">
        <f aca="false">HYPERLINK("#'Forrásszöveg'!A"&amp;(MATCH("VHR-S0675",Forrásszöveg!$A$6:$A$2497,0)+5),"69. § eleje")</f>
        <v>69. § eleje</v>
      </c>
      <c r="F2002" s="16" t="str">
        <f aca="false">HYPERLINK("https://net.jogtar.hu/jogszabaly?docid=a2400418.kor#pr678id","Jogtár megnyitása")</f>
        <v>Jogtár megnyitása</v>
      </c>
    </row>
    <row r="2003" customFormat="false" ht="34" hidden="false" customHeight="true" outlineLevel="0" collapsed="false">
      <c r="A2003" s="15" t="s">
        <v>7002</v>
      </c>
      <c r="B2003" s="15" t="s">
        <v>1471</v>
      </c>
      <c r="C2003" s="15" t="s">
        <v>7003</v>
      </c>
      <c r="D2003" s="15" t="s">
        <v>7004</v>
      </c>
      <c r="E2003" s="16" t="str">
        <f aca="false">HYPERLINK("#'Forrásszöveg'!A"&amp;(MATCH("VHR-S0675",Forrásszöveg!$A$6:$A$2497,0)+5),"69. § eleje")</f>
        <v>69. § eleje</v>
      </c>
      <c r="F2003" s="16" t="str">
        <f aca="false">HYPERLINK("https://net.jogtar.hu/jogszabaly?docid=a2400418.kor#pr679id","Jogtár megnyitása")</f>
        <v>Jogtár megnyitása</v>
      </c>
    </row>
    <row r="2004" customFormat="false" ht="34" hidden="false" customHeight="true" outlineLevel="0" collapsed="false">
      <c r="A2004" s="15" t="s">
        <v>7005</v>
      </c>
      <c r="B2004" s="15" t="s">
        <v>1471</v>
      </c>
      <c r="C2004" s="15" t="s">
        <v>7006</v>
      </c>
      <c r="D2004" s="15" t="s">
        <v>7007</v>
      </c>
      <c r="E2004" s="16" t="str">
        <f aca="false">HYPERLINK("#'Forrásszöveg'!A"&amp;(MATCH("VHR-S0675",Forrásszöveg!$A$6:$A$2497,0)+5),"69. § eleje")</f>
        <v>69. § eleje</v>
      </c>
      <c r="F2004" s="16" t="str">
        <f aca="false">HYPERLINK("https://net.jogtar.hu/jogszabaly?docid=a2400418.kor#pr680id","Jogtár megnyitása")</f>
        <v>Jogtár megnyitása</v>
      </c>
    </row>
    <row r="2005" customFormat="false" ht="38" hidden="false" customHeight="true" outlineLevel="0" collapsed="false">
      <c r="A2005" s="15" t="s">
        <v>7008</v>
      </c>
      <c r="B2005" s="15" t="s">
        <v>1471</v>
      </c>
      <c r="C2005" s="15" t="s">
        <v>7009</v>
      </c>
      <c r="D2005" s="15" t="s">
        <v>7010</v>
      </c>
      <c r="E2005" s="16" t="str">
        <f aca="false">HYPERLINK("#'Forrásszöveg'!A"&amp;(MATCH("VHR-S0675",Forrásszöveg!$A$6:$A$2497,0)+5),"69. § eleje")</f>
        <v>69. § eleje</v>
      </c>
      <c r="F2005" s="16" t="str">
        <f aca="false">HYPERLINK("https://net.jogtar.hu/jogszabaly?docid=a2400418.kor#pr681id","Jogtár megnyitása")</f>
        <v>Jogtár megnyitása</v>
      </c>
    </row>
    <row r="2006" customFormat="false" ht="34" hidden="false" customHeight="true" outlineLevel="0" collapsed="false">
      <c r="A2006" s="15" t="s">
        <v>7011</v>
      </c>
      <c r="B2006" s="15" t="s">
        <v>1471</v>
      </c>
      <c r="C2006" s="15" t="s">
        <v>7012</v>
      </c>
      <c r="D2006" s="15" t="s">
        <v>7013</v>
      </c>
      <c r="E2006" s="16" t="str">
        <f aca="false">HYPERLINK("#'Forrásszöveg'!A"&amp;(MATCH("VHR-S0675",Forrásszöveg!$A$6:$A$2497,0)+5),"69. § eleje")</f>
        <v>69. § eleje</v>
      </c>
      <c r="F2006" s="16" t="str">
        <f aca="false">HYPERLINK("https://net.jogtar.hu/jogszabaly?docid=a2400418.kor#pr682id","Jogtár megnyitása")</f>
        <v>Jogtár megnyitása</v>
      </c>
    </row>
    <row r="2007" customFormat="false" ht="38" hidden="false" customHeight="true" outlineLevel="0" collapsed="false">
      <c r="A2007" s="15" t="s">
        <v>7014</v>
      </c>
      <c r="B2007" s="15" t="s">
        <v>1471</v>
      </c>
      <c r="C2007" s="15" t="s">
        <v>1499</v>
      </c>
      <c r="D2007" s="15" t="s">
        <v>1499</v>
      </c>
      <c r="E2007" s="16" t="str">
        <f aca="false">HYPERLINK("#'Forrásszöveg'!A"&amp;(MATCH("VHR-S0675",Forrásszöveg!$A$6:$A$2497,0)+5),"69. § eleje")</f>
        <v>69. § eleje</v>
      </c>
      <c r="F2007" s="16" t="str">
        <f aca="false">HYPERLINK("https://net.jogtar.hu/jogszabaly?docid=a2400418.kor#pr683id","Jogtár megnyitása")</f>
        <v>Jogtár megnyitása</v>
      </c>
    </row>
    <row r="2008" customFormat="false" ht="94" hidden="false" customHeight="true" outlineLevel="0" collapsed="false">
      <c r="A2008" s="15" t="s">
        <v>7015</v>
      </c>
      <c r="B2008" s="15" t="s">
        <v>1471</v>
      </c>
      <c r="C2008" s="15" t="s">
        <v>4307</v>
      </c>
      <c r="D2008" s="15" t="s">
        <v>7016</v>
      </c>
      <c r="E2008" s="16" t="str">
        <f aca="false">HYPERLINK("#'Forrásszöveg'!A"&amp;(MATCH("VHR-S0684",Forrásszöveg!$A$6:$A$2497,0)+5),"70. § (1) eleje")</f>
        <v>70. § (1) eleje</v>
      </c>
      <c r="F2008" s="16" t="str">
        <f aca="false">HYPERLINK("https://net.jogtar.hu/jogszabaly?docid=a2400418.kor#pr684id","Jogtár megnyitása")</f>
        <v>Jogtár megnyitása</v>
      </c>
    </row>
    <row r="2009" customFormat="false" ht="52" hidden="false" customHeight="true" outlineLevel="0" collapsed="false">
      <c r="A2009" s="15" t="s">
        <v>7017</v>
      </c>
      <c r="B2009" s="15" t="s">
        <v>1471</v>
      </c>
      <c r="C2009" s="15" t="s">
        <v>4310</v>
      </c>
      <c r="D2009" s="15" t="s">
        <v>7018</v>
      </c>
      <c r="E2009" s="16" t="str">
        <f aca="false">HYPERLINK("#'Forrásszöveg'!A"&amp;(MATCH("VHR-S0685",Forrásszöveg!$A$6:$A$2497,0)+5),"70. § (2) eleje")</f>
        <v>70. § (2) eleje</v>
      </c>
      <c r="F2009" s="16" t="str">
        <f aca="false">HYPERLINK("https://net.jogtar.hu/jogszabaly?docid=a2400418.kor#pr685id","Jogtár megnyitása")</f>
        <v>Jogtár megnyitása</v>
      </c>
    </row>
    <row r="2010" customFormat="false" ht="52" hidden="false" customHeight="true" outlineLevel="0" collapsed="false">
      <c r="A2010" s="15" t="s">
        <v>7019</v>
      </c>
      <c r="B2010" s="15" t="s">
        <v>1471</v>
      </c>
      <c r="C2010" s="15" t="s">
        <v>4313</v>
      </c>
      <c r="D2010" s="15" t="s">
        <v>7020</v>
      </c>
      <c r="E2010" s="16" t="str">
        <f aca="false">HYPERLINK("#'Forrásszöveg'!A"&amp;(MATCH("VHR-S0686",Forrásszöveg!$A$6:$A$2497,0)+5),"70. § (3) eleje")</f>
        <v>70. § (3) eleje</v>
      </c>
      <c r="F2010" s="16" t="str">
        <f aca="false">HYPERLINK("https://net.jogtar.hu/jogszabaly?docid=a2400418.kor#pr686id","Jogtár megnyitása")</f>
        <v>Jogtár megnyitása</v>
      </c>
    </row>
    <row r="2011" customFormat="false" ht="52" hidden="false" customHeight="true" outlineLevel="0" collapsed="false">
      <c r="A2011" s="15" t="s">
        <v>7021</v>
      </c>
      <c r="B2011" s="15" t="s">
        <v>1471</v>
      </c>
      <c r="C2011" s="15" t="s">
        <v>4381</v>
      </c>
      <c r="D2011" s="15" t="s">
        <v>7022</v>
      </c>
      <c r="E2011" s="16" t="str">
        <f aca="false">HYPERLINK("#'Forrásszöveg'!A"&amp;(MATCH("VHR-S0687",Forrásszöveg!$A$6:$A$2497,0)+5),"71. § (1) eleje")</f>
        <v>71. § (1) eleje</v>
      </c>
      <c r="F2011" s="16" t="str">
        <f aca="false">HYPERLINK("https://net.jogtar.hu/jogszabaly?docid=a2400418.kor#pr687id","Jogtár megnyitása")</f>
        <v>Jogtár megnyitása</v>
      </c>
    </row>
    <row r="2012" customFormat="false" ht="38" hidden="false" customHeight="true" outlineLevel="0" collapsed="false">
      <c r="A2012" s="15" t="s">
        <v>7023</v>
      </c>
      <c r="B2012" s="15" t="s">
        <v>1471</v>
      </c>
      <c r="C2012" s="15" t="s">
        <v>4383</v>
      </c>
      <c r="D2012" s="15" t="s">
        <v>7024</v>
      </c>
      <c r="E2012" s="16" t="str">
        <f aca="false">HYPERLINK("#'Forrásszöveg'!A"&amp;(MATCH("VHR-S0688",Forrásszöveg!$A$6:$A$2497,0)+5),"71. § (2) eleje")</f>
        <v>71. § (2) eleje</v>
      </c>
      <c r="F2012" s="16" t="str">
        <f aca="false">HYPERLINK("https://net.jogtar.hu/jogszabaly?docid=a2400418.kor#pr688id","Jogtár megnyitása")</f>
        <v>Jogtár megnyitása</v>
      </c>
    </row>
    <row r="2013" customFormat="false" ht="66" hidden="false" customHeight="true" outlineLevel="0" collapsed="false">
      <c r="A2013" s="15" t="s">
        <v>7025</v>
      </c>
      <c r="B2013" s="15" t="s">
        <v>1471</v>
      </c>
      <c r="C2013" s="15" t="s">
        <v>4391</v>
      </c>
      <c r="D2013" s="15" t="s">
        <v>7026</v>
      </c>
      <c r="E2013" s="16" t="str">
        <f aca="false">HYPERLINK("#'Forrásszöveg'!A"&amp;(MATCH("VHR-S0689",Forrásszöveg!$A$6:$A$2497,0)+5),"72. § (1) eleje")</f>
        <v>72. § (1) eleje</v>
      </c>
      <c r="F2013" s="16" t="str">
        <f aca="false">HYPERLINK("https://net.jogtar.hu/jogszabaly?docid=a2400418.kor#pr689id","Jogtár megnyitása")</f>
        <v>Jogtár megnyitása</v>
      </c>
    </row>
    <row r="2014" customFormat="false" ht="52" hidden="false" customHeight="true" outlineLevel="0" collapsed="false">
      <c r="A2014" s="15" t="s">
        <v>7027</v>
      </c>
      <c r="B2014" s="15" t="s">
        <v>1471</v>
      </c>
      <c r="C2014" s="15" t="s">
        <v>4394</v>
      </c>
      <c r="D2014" s="15" t="s">
        <v>7028</v>
      </c>
      <c r="E2014" s="16" t="str">
        <f aca="false">HYPERLINK("#'Forrásszöveg'!A"&amp;(MATCH("VHR-S0690",Forrásszöveg!$A$6:$A$2497,0)+5),"72. § (2) eleje")</f>
        <v>72. § (2) eleje</v>
      </c>
      <c r="F2014" s="16" t="str">
        <f aca="false">HYPERLINK("https://net.jogtar.hu/jogszabaly?docid=a2400418.kor#pr690id","Jogtár megnyitása")</f>
        <v>Jogtár megnyitása</v>
      </c>
    </row>
    <row r="2015" customFormat="false" ht="34" hidden="false" customHeight="true" outlineLevel="0" collapsed="false">
      <c r="A2015" s="15" t="s">
        <v>7029</v>
      </c>
      <c r="B2015" s="15" t="s">
        <v>1471</v>
      </c>
      <c r="C2015" s="15" t="s">
        <v>1500</v>
      </c>
      <c r="D2015" s="15" t="s">
        <v>1500</v>
      </c>
      <c r="E2015" s="16" t="str">
        <f aca="false">HYPERLINK("#'Forrásszöveg'!A"&amp;(MATCH("VHR-S0689",Forrásszöveg!$A$6:$A$2497,0)+5),"72. § eleje")</f>
        <v>72. § eleje</v>
      </c>
      <c r="F2015" s="16" t="str">
        <f aca="false">HYPERLINK("https://net.jogtar.hu/jogszabaly?docid=a2400418.kor#pr691id","Jogtár megnyitása")</f>
        <v>Jogtár megnyitása</v>
      </c>
    </row>
    <row r="2016" customFormat="false" ht="52" hidden="false" customHeight="true" outlineLevel="0" collapsed="false">
      <c r="A2016" s="15" t="s">
        <v>7030</v>
      </c>
      <c r="B2016" s="15" t="s">
        <v>1471</v>
      </c>
      <c r="C2016" s="15" t="s">
        <v>4409</v>
      </c>
      <c r="D2016" s="15" t="s">
        <v>7031</v>
      </c>
      <c r="E2016" s="16" t="str">
        <f aca="false">HYPERLINK("#'Forrásszöveg'!A"&amp;(MATCH("VHR-S0692",Forrásszöveg!$A$6:$A$2497,0)+5),"73. § (1) eleje")</f>
        <v>73. § (1) eleje</v>
      </c>
      <c r="F2016" s="16" t="str">
        <f aca="false">HYPERLINK("https://net.jogtar.hu/jogszabaly?docid=a2400418.kor#pr692id","Jogtár megnyitása")</f>
        <v>Jogtár megnyitása</v>
      </c>
    </row>
    <row r="2017" customFormat="false" ht="66" hidden="false" customHeight="true" outlineLevel="0" collapsed="false">
      <c r="A2017" s="15" t="s">
        <v>7032</v>
      </c>
      <c r="B2017" s="15" t="s">
        <v>1471</v>
      </c>
      <c r="C2017" s="15" t="s">
        <v>4412</v>
      </c>
      <c r="D2017" s="15" t="s">
        <v>7033</v>
      </c>
      <c r="E2017" s="16" t="str">
        <f aca="false">HYPERLINK("#'Forrásszöveg'!A"&amp;(MATCH("VHR-S0693",Forrásszöveg!$A$6:$A$2497,0)+5),"73. § (2) eleje")</f>
        <v>73. § (2) eleje</v>
      </c>
      <c r="F2017" s="16" t="str">
        <f aca="false">HYPERLINK("https://net.jogtar.hu/jogszabaly?docid=a2400418.kor#pr693id","Jogtár megnyitása")</f>
        <v>Jogtár megnyitása</v>
      </c>
    </row>
    <row r="2018" customFormat="false" ht="52" hidden="false" customHeight="true" outlineLevel="0" collapsed="false">
      <c r="A2018" s="15" t="s">
        <v>7034</v>
      </c>
      <c r="B2018" s="15" t="s">
        <v>1471</v>
      </c>
      <c r="C2018" s="15" t="s">
        <v>4425</v>
      </c>
      <c r="D2018" s="15" t="s">
        <v>7035</v>
      </c>
      <c r="E2018" s="16" t="str">
        <f aca="false">HYPERLINK("#'Forrásszöveg'!A"&amp;(MATCH("VHR-S0694",Forrásszöveg!$A$6:$A$2497,0)+5),"74. § (1) eleje")</f>
        <v>74. § (1) eleje</v>
      </c>
      <c r="F2018" s="16" t="str">
        <f aca="false">HYPERLINK("https://net.jogtar.hu/jogszabaly?docid=a2400418.kor#pr694id","Jogtár megnyitása")</f>
        <v>Jogtár megnyitása</v>
      </c>
    </row>
    <row r="2019" customFormat="false" ht="52" hidden="false" customHeight="true" outlineLevel="0" collapsed="false">
      <c r="A2019" s="15" t="s">
        <v>7036</v>
      </c>
      <c r="B2019" s="15" t="s">
        <v>1471</v>
      </c>
      <c r="C2019" s="15" t="s">
        <v>4428</v>
      </c>
      <c r="D2019" s="15" t="s">
        <v>7037</v>
      </c>
      <c r="E2019" s="16" t="str">
        <f aca="false">HYPERLINK("#'Forrásszöveg'!A"&amp;(MATCH("VHR-S0695",Forrásszöveg!$A$6:$A$2497,0)+5),"74. § (2) eleje")</f>
        <v>74. § (2) eleje</v>
      </c>
      <c r="F2019" s="16" t="str">
        <f aca="false">HYPERLINK("https://net.jogtar.hu/jogszabaly?docid=a2400418.kor#pr695id","Jogtár megnyitása")</f>
        <v>Jogtár megnyitása</v>
      </c>
    </row>
    <row r="2020" customFormat="false" ht="66" hidden="false" customHeight="true" outlineLevel="0" collapsed="false">
      <c r="A2020" s="15" t="s">
        <v>7038</v>
      </c>
      <c r="B2020" s="15" t="s">
        <v>1471</v>
      </c>
      <c r="C2020" s="15" t="s">
        <v>4513</v>
      </c>
      <c r="D2020" s="15" t="s">
        <v>7039</v>
      </c>
      <c r="E2020" s="16" t="str">
        <f aca="false">HYPERLINK("#'Forrásszöveg'!A"&amp;(MATCH("VHR-S0696",Forrásszöveg!$A$6:$A$2497,0)+5),"75. § (1) eleje")</f>
        <v>75. § (1) eleje</v>
      </c>
      <c r="F2020" s="16" t="str">
        <f aca="false">HYPERLINK("https://net.jogtar.hu/jogszabaly?docid=a2400418.kor#pr696id","Jogtár megnyitása")</f>
        <v>Jogtár megnyitása</v>
      </c>
    </row>
    <row r="2021" customFormat="false" ht="66" hidden="false" customHeight="true" outlineLevel="0" collapsed="false">
      <c r="A2021" s="15" t="s">
        <v>7040</v>
      </c>
      <c r="B2021" s="15" t="s">
        <v>1471</v>
      </c>
      <c r="C2021" s="15" t="s">
        <v>4516</v>
      </c>
      <c r="D2021" s="15" t="s">
        <v>7041</v>
      </c>
      <c r="E2021" s="16" t="str">
        <f aca="false">HYPERLINK("#'Forrásszöveg'!A"&amp;(MATCH("VHR-S0697",Forrásszöveg!$A$6:$A$2497,0)+5),"75. § (2) eleje")</f>
        <v>75. § (2) eleje</v>
      </c>
      <c r="F2021" s="16" t="str">
        <f aca="false">HYPERLINK("https://net.jogtar.hu/jogszabaly?docid=a2400418.kor#pr697id","Jogtár megnyitása")</f>
        <v>Jogtár megnyitása</v>
      </c>
    </row>
    <row r="2022" customFormat="false" ht="34" hidden="false" customHeight="true" outlineLevel="0" collapsed="false">
      <c r="A2022" s="15" t="s">
        <v>7042</v>
      </c>
      <c r="B2022" s="15" t="s">
        <v>1471</v>
      </c>
      <c r="C2022" s="15" t="s">
        <v>4537</v>
      </c>
      <c r="D2022" s="15" t="s">
        <v>7043</v>
      </c>
      <c r="E2022" s="16" t="str">
        <f aca="false">HYPERLINK("#'Forrásszöveg'!A"&amp;(MATCH("VHR-S0698",Forrásszöveg!$A$6:$A$2497,0)+5),"75. § (3) eleje")</f>
        <v>75. § (3) eleje</v>
      </c>
      <c r="F2022" s="16" t="str">
        <f aca="false">HYPERLINK("https://net.jogtar.hu/jogszabaly?docid=a2400418.kor#pr698id","Jogtár megnyitása")</f>
        <v>Jogtár megnyitása</v>
      </c>
    </row>
    <row r="2023" customFormat="false" ht="34" hidden="false" customHeight="true" outlineLevel="0" collapsed="false">
      <c r="A2023" s="15" t="s">
        <v>7044</v>
      </c>
      <c r="B2023" s="15" t="s">
        <v>1471</v>
      </c>
      <c r="C2023" s="15" t="s">
        <v>4556</v>
      </c>
      <c r="D2023" s="15" t="s">
        <v>7045</v>
      </c>
      <c r="E2023" s="16" t="str">
        <f aca="false">HYPERLINK("#'Forrásszöveg'!A"&amp;(MATCH("VHR-S0699",Forrásszöveg!$A$6:$A$2497,0)+5),"75. § (4) eleje")</f>
        <v>75. § (4) eleje</v>
      </c>
      <c r="F2023" s="16" t="str">
        <f aca="false">HYPERLINK("https://net.jogtar.hu/jogszabaly?docid=a2400418.kor#pr699id","Jogtár megnyitása")</f>
        <v>Jogtár megnyitása</v>
      </c>
    </row>
    <row r="2024" customFormat="false" ht="38" hidden="false" customHeight="true" outlineLevel="0" collapsed="false">
      <c r="A2024" s="15" t="s">
        <v>7046</v>
      </c>
      <c r="B2024" s="15" t="s">
        <v>1471</v>
      </c>
      <c r="C2024" s="15" t="s">
        <v>7047</v>
      </c>
      <c r="D2024" s="15" t="s">
        <v>7048</v>
      </c>
      <c r="E2024" s="16" t="str">
        <f aca="false">HYPERLINK("#'Forrásszöveg'!A"&amp;(MATCH("VHR-S0699",Forrásszöveg!$A$6:$A$2497,0)+5),"75. § (4) eleje")</f>
        <v>75. § (4) eleje</v>
      </c>
      <c r="F2024" s="16" t="str">
        <f aca="false">HYPERLINK("https://net.jogtar.hu/jogszabaly?docid=a2400418.kor#pr700id","Jogtár megnyitása")</f>
        <v>Jogtár megnyitása</v>
      </c>
    </row>
    <row r="2025" customFormat="false" ht="34" hidden="false" customHeight="true" outlineLevel="0" collapsed="false">
      <c r="A2025" s="15" t="s">
        <v>7049</v>
      </c>
      <c r="B2025" s="15" t="s">
        <v>1471</v>
      </c>
      <c r="C2025" s="15" t="s">
        <v>7050</v>
      </c>
      <c r="D2025" s="15" t="s">
        <v>7051</v>
      </c>
      <c r="E2025" s="16" t="str">
        <f aca="false">HYPERLINK("#'Forrásszöveg'!A"&amp;(MATCH("VHR-S0699",Forrásszöveg!$A$6:$A$2497,0)+5),"75. § (4) eleje")</f>
        <v>75. § (4) eleje</v>
      </c>
      <c r="F2025" s="16" t="str">
        <f aca="false">HYPERLINK("https://net.jogtar.hu/jogszabaly?docid=a2400418.kor#pr701id","Jogtár megnyitása")</f>
        <v>Jogtár megnyitása</v>
      </c>
    </row>
    <row r="2026" customFormat="false" ht="34" hidden="false" customHeight="true" outlineLevel="0" collapsed="false">
      <c r="A2026" s="15" t="s">
        <v>7052</v>
      </c>
      <c r="B2026" s="15" t="s">
        <v>1471</v>
      </c>
      <c r="C2026" s="15" t="s">
        <v>7053</v>
      </c>
      <c r="D2026" s="15" t="s">
        <v>7054</v>
      </c>
      <c r="E2026" s="16" t="str">
        <f aca="false">HYPERLINK("#'Forrásszöveg'!A"&amp;(MATCH("VHR-S0699",Forrásszöveg!$A$6:$A$2497,0)+5),"75. § (4) eleje")</f>
        <v>75. § (4) eleje</v>
      </c>
      <c r="F2026" s="16" t="str">
        <f aca="false">HYPERLINK("https://net.jogtar.hu/jogszabaly?docid=a2400418.kor#pr702id","Jogtár megnyitása")</f>
        <v>Jogtár megnyitása</v>
      </c>
    </row>
    <row r="2027" customFormat="false" ht="34" hidden="false" customHeight="true" outlineLevel="0" collapsed="false">
      <c r="A2027" s="15" t="s">
        <v>7055</v>
      </c>
      <c r="B2027" s="15" t="s">
        <v>1471</v>
      </c>
      <c r="C2027" s="15" t="s">
        <v>7056</v>
      </c>
      <c r="D2027" s="15" t="s">
        <v>7057</v>
      </c>
      <c r="E2027" s="16" t="str">
        <f aca="false">HYPERLINK("#'Forrásszöveg'!A"&amp;(MATCH("VHR-S0699",Forrásszöveg!$A$6:$A$2497,0)+5),"75. § (4) eleje")</f>
        <v>75. § (4) eleje</v>
      </c>
      <c r="F2027" s="16" t="str">
        <f aca="false">HYPERLINK("https://net.jogtar.hu/jogszabaly?docid=a2400418.kor#pr703id","Jogtár megnyitása")</f>
        <v>Jogtár megnyitása</v>
      </c>
    </row>
    <row r="2028" customFormat="false" ht="38" hidden="false" customHeight="true" outlineLevel="0" collapsed="false">
      <c r="A2028" s="15" t="s">
        <v>7058</v>
      </c>
      <c r="B2028" s="15" t="s">
        <v>1471</v>
      </c>
      <c r="C2028" s="15" t="s">
        <v>7059</v>
      </c>
      <c r="D2028" s="15" t="s">
        <v>7060</v>
      </c>
      <c r="E2028" s="16" t="str">
        <f aca="false">HYPERLINK("#'Forrásszöveg'!A"&amp;(MATCH("VHR-S0699",Forrásszöveg!$A$6:$A$2497,0)+5),"75. § (4) eleje")</f>
        <v>75. § (4) eleje</v>
      </c>
      <c r="F2028" s="16" t="str">
        <f aca="false">HYPERLINK("https://net.jogtar.hu/jogszabaly?docid=a2400418.kor#pr704id","Jogtár megnyitása")</f>
        <v>Jogtár megnyitása</v>
      </c>
    </row>
    <row r="2029" customFormat="false" ht="34" hidden="false" customHeight="true" outlineLevel="0" collapsed="false">
      <c r="A2029" s="15" t="s">
        <v>7061</v>
      </c>
      <c r="B2029" s="15" t="s">
        <v>1471</v>
      </c>
      <c r="C2029" s="15" t="s">
        <v>7062</v>
      </c>
      <c r="D2029" s="15" t="s">
        <v>7063</v>
      </c>
      <c r="E2029" s="16" t="str">
        <f aca="false">HYPERLINK("#'Forrásszöveg'!A"&amp;(MATCH("VHR-S0699",Forrásszöveg!$A$6:$A$2497,0)+5),"75. § (4) eleje")</f>
        <v>75. § (4) eleje</v>
      </c>
      <c r="F2029" s="16" t="str">
        <f aca="false">HYPERLINK("https://net.jogtar.hu/jogszabaly?docid=a2400418.kor#pr705id","Jogtár megnyitása")</f>
        <v>Jogtár megnyitása</v>
      </c>
    </row>
    <row r="2030" customFormat="false" ht="34" hidden="false" customHeight="true" outlineLevel="0" collapsed="false">
      <c r="A2030" s="15" t="s">
        <v>7064</v>
      </c>
      <c r="B2030" s="15" t="s">
        <v>1471</v>
      </c>
      <c r="C2030" s="15" t="s">
        <v>7065</v>
      </c>
      <c r="D2030" s="15" t="s">
        <v>7066</v>
      </c>
      <c r="E2030" s="16" t="str">
        <f aca="false">HYPERLINK("#'Forrásszöveg'!A"&amp;(MATCH("VHR-S0699",Forrásszöveg!$A$6:$A$2497,0)+5),"75. § (4) eleje")</f>
        <v>75. § (4) eleje</v>
      </c>
      <c r="F2030" s="16" t="str">
        <f aca="false">HYPERLINK("https://net.jogtar.hu/jogszabaly?docid=a2400418.kor#pr706id","Jogtár megnyitása")</f>
        <v>Jogtár megnyitása</v>
      </c>
    </row>
    <row r="2031" customFormat="false" ht="38" hidden="false" customHeight="true" outlineLevel="0" collapsed="false">
      <c r="A2031" s="15" t="s">
        <v>7067</v>
      </c>
      <c r="B2031" s="15" t="s">
        <v>1471</v>
      </c>
      <c r="C2031" s="15" t="s">
        <v>4559</v>
      </c>
      <c r="D2031" s="15" t="s">
        <v>7068</v>
      </c>
      <c r="E2031" s="16" t="str">
        <f aca="false">HYPERLINK("#'Forrásszöveg'!A"&amp;(MATCH("VHR-S0707",Forrásszöveg!$A$6:$A$2497,0)+5),"75. § (5) eleje")</f>
        <v>75. § (5) eleje</v>
      </c>
      <c r="F2031" s="16" t="str">
        <f aca="false">HYPERLINK("https://net.jogtar.hu/jogszabaly?docid=a2400418.kor#pr707id","Jogtár megnyitása")</f>
        <v>Jogtár megnyitása</v>
      </c>
    </row>
    <row r="2032" customFormat="false" ht="34" hidden="false" customHeight="true" outlineLevel="0" collapsed="false">
      <c r="A2032" s="15" t="s">
        <v>7069</v>
      </c>
      <c r="B2032" s="15" t="s">
        <v>1471</v>
      </c>
      <c r="C2032" s="15" t="s">
        <v>7070</v>
      </c>
      <c r="D2032" s="15" t="s">
        <v>7071</v>
      </c>
      <c r="E2032" s="16" t="str">
        <f aca="false">HYPERLINK("#'Forrásszöveg'!A"&amp;(MATCH("VHR-S0708",Forrásszöveg!$A$6:$A$2497,0)+5),"75. § (6) eleje")</f>
        <v>75. § (6) eleje</v>
      </c>
      <c r="F2032" s="16" t="str">
        <f aca="false">HYPERLINK("https://net.jogtar.hu/jogszabaly?docid=a2400418.kor#pr708id","Jogtár megnyitása")</f>
        <v>Jogtár megnyitása</v>
      </c>
    </row>
    <row r="2033" customFormat="false" ht="38" hidden="false" customHeight="true" outlineLevel="0" collapsed="false">
      <c r="A2033" s="15" t="s">
        <v>7072</v>
      </c>
      <c r="B2033" s="15" t="s">
        <v>1471</v>
      </c>
      <c r="C2033" s="15" t="s">
        <v>7073</v>
      </c>
      <c r="D2033" s="15" t="s">
        <v>7074</v>
      </c>
      <c r="E2033" s="16" t="str">
        <f aca="false">HYPERLINK("#'Forrásszöveg'!A"&amp;(MATCH("VHR-S0708",Forrásszöveg!$A$6:$A$2497,0)+5),"75. § (6) eleje")</f>
        <v>75. § (6) eleje</v>
      </c>
      <c r="F2033" s="16" t="str">
        <f aca="false">HYPERLINK("https://net.jogtar.hu/jogszabaly?docid=a2400418.kor#pr709id","Jogtár megnyitása")</f>
        <v>Jogtár megnyitása</v>
      </c>
    </row>
    <row r="2034" customFormat="false" ht="34" hidden="false" customHeight="true" outlineLevel="0" collapsed="false">
      <c r="A2034" s="15" t="s">
        <v>7075</v>
      </c>
      <c r="B2034" s="15" t="s">
        <v>1471</v>
      </c>
      <c r="C2034" s="15" t="s">
        <v>7076</v>
      </c>
      <c r="D2034" s="15" t="s">
        <v>7077</v>
      </c>
      <c r="E2034" s="16" t="str">
        <f aca="false">HYPERLINK("#'Forrásszöveg'!A"&amp;(MATCH("VHR-S0708",Forrásszöveg!$A$6:$A$2497,0)+5),"75. § (6) eleje")</f>
        <v>75. § (6) eleje</v>
      </c>
      <c r="F2034" s="16" t="str">
        <f aca="false">HYPERLINK("https://net.jogtar.hu/jogszabaly?docid=a2400418.kor#pr710id","Jogtár megnyitása")</f>
        <v>Jogtár megnyitása</v>
      </c>
    </row>
    <row r="2035" customFormat="false" ht="34" hidden="false" customHeight="true" outlineLevel="0" collapsed="false">
      <c r="A2035" s="15" t="s">
        <v>7078</v>
      </c>
      <c r="B2035" s="15" t="s">
        <v>1471</v>
      </c>
      <c r="C2035" s="15" t="s">
        <v>7079</v>
      </c>
      <c r="D2035" s="15" t="s">
        <v>7080</v>
      </c>
      <c r="E2035" s="16" t="str">
        <f aca="false">HYPERLINK("#'Forrásszöveg'!A"&amp;(MATCH("VHR-S0708",Forrásszöveg!$A$6:$A$2497,0)+5),"75. § (6) eleje")</f>
        <v>75. § (6) eleje</v>
      </c>
      <c r="F2035" s="16" t="str">
        <f aca="false">HYPERLINK("https://net.jogtar.hu/jogszabaly?docid=a2400418.kor#pr711id","Jogtár megnyitása")</f>
        <v>Jogtár megnyitása</v>
      </c>
    </row>
    <row r="2036" customFormat="false" ht="34" hidden="false" customHeight="true" outlineLevel="0" collapsed="false">
      <c r="A2036" s="15" t="s">
        <v>7081</v>
      </c>
      <c r="B2036" s="15" t="s">
        <v>1471</v>
      </c>
      <c r="C2036" s="15" t="s">
        <v>7082</v>
      </c>
      <c r="D2036" s="15" t="s">
        <v>7083</v>
      </c>
      <c r="E2036" s="16" t="str">
        <f aca="false">HYPERLINK("#'Forrásszöveg'!A"&amp;(MATCH("VHR-S0708",Forrásszöveg!$A$6:$A$2497,0)+5),"75. § (6) eleje")</f>
        <v>75. § (6) eleje</v>
      </c>
      <c r="F2036" s="16" t="str">
        <f aca="false">HYPERLINK("https://net.jogtar.hu/jogszabaly?docid=a2400418.kor#pr712id","Jogtár megnyitása")</f>
        <v>Jogtár megnyitása</v>
      </c>
    </row>
    <row r="2037" customFormat="false" ht="34" hidden="false" customHeight="true" outlineLevel="0" collapsed="false">
      <c r="A2037" s="15" t="s">
        <v>7084</v>
      </c>
      <c r="B2037" s="15" t="s">
        <v>1471</v>
      </c>
      <c r="C2037" s="15" t="s">
        <v>7085</v>
      </c>
      <c r="D2037" s="15" t="s">
        <v>7086</v>
      </c>
      <c r="E2037" s="16" t="str">
        <f aca="false">HYPERLINK("#'Forrásszöveg'!A"&amp;(MATCH("VHR-S0708",Forrásszöveg!$A$6:$A$2497,0)+5),"75. § (6) eleje")</f>
        <v>75. § (6) eleje</v>
      </c>
      <c r="F2037" s="16" t="str">
        <f aca="false">HYPERLINK("https://net.jogtar.hu/jogszabaly?docid=a2400418.kor#pr713id","Jogtár megnyitása")</f>
        <v>Jogtár megnyitása</v>
      </c>
    </row>
    <row r="2038" customFormat="false" ht="34" hidden="false" customHeight="true" outlineLevel="0" collapsed="false">
      <c r="A2038" s="15" t="s">
        <v>7087</v>
      </c>
      <c r="B2038" s="15" t="s">
        <v>1471</v>
      </c>
      <c r="C2038" s="15" t="s">
        <v>7088</v>
      </c>
      <c r="D2038" s="15" t="s">
        <v>7089</v>
      </c>
      <c r="E2038" s="16" t="str">
        <f aca="false">HYPERLINK("#'Forrásszöveg'!A"&amp;(MATCH("VHR-S0708",Forrásszöveg!$A$6:$A$2497,0)+5),"75. § (6) eleje")</f>
        <v>75. § (6) eleje</v>
      </c>
      <c r="F2038" s="16" t="str">
        <f aca="false">HYPERLINK("https://net.jogtar.hu/jogszabaly?docid=a2400418.kor#pr714id","Jogtár megnyitása")</f>
        <v>Jogtár megnyitása</v>
      </c>
    </row>
    <row r="2039" customFormat="false" ht="38" hidden="false" customHeight="true" outlineLevel="0" collapsed="false">
      <c r="A2039" s="15" t="s">
        <v>7090</v>
      </c>
      <c r="B2039" s="15" t="s">
        <v>1471</v>
      </c>
      <c r="C2039" s="15" t="s">
        <v>7091</v>
      </c>
      <c r="D2039" s="15" t="s">
        <v>7092</v>
      </c>
      <c r="E2039" s="16" t="str">
        <f aca="false">HYPERLINK("#'Forrásszöveg'!A"&amp;(MATCH("VHR-S0708",Forrásszöveg!$A$6:$A$2497,0)+5),"75. § (6) eleje")</f>
        <v>75. § (6) eleje</v>
      </c>
      <c r="F2039" s="16" t="str">
        <f aca="false">HYPERLINK("https://net.jogtar.hu/jogszabaly?docid=a2400418.kor#pr715id","Jogtár megnyitása")</f>
        <v>Jogtár megnyitása</v>
      </c>
    </row>
    <row r="2040" customFormat="false" ht="38" hidden="false" customHeight="true" outlineLevel="0" collapsed="false">
      <c r="A2040" s="15" t="s">
        <v>7093</v>
      </c>
      <c r="B2040" s="15" t="s">
        <v>1471</v>
      </c>
      <c r="C2040" s="15" t="s">
        <v>7094</v>
      </c>
      <c r="D2040" s="15" t="s">
        <v>7095</v>
      </c>
      <c r="E2040" s="16" t="str">
        <f aca="false">HYPERLINK("#'Forrásszöveg'!A"&amp;(MATCH("VHR-S0708",Forrásszöveg!$A$6:$A$2497,0)+5),"75. § (6) eleje")</f>
        <v>75. § (6) eleje</v>
      </c>
      <c r="F2040" s="16" t="str">
        <f aca="false">HYPERLINK("https://net.jogtar.hu/jogszabaly?docid=a2400418.kor#pr716id","Jogtár megnyitása")</f>
        <v>Jogtár megnyitása</v>
      </c>
    </row>
    <row r="2041" customFormat="false" ht="38" hidden="false" customHeight="true" outlineLevel="0" collapsed="false">
      <c r="A2041" s="15" t="s">
        <v>7096</v>
      </c>
      <c r="B2041" s="15" t="s">
        <v>1471</v>
      </c>
      <c r="C2041" s="15" t="s">
        <v>7097</v>
      </c>
      <c r="D2041" s="15" t="s">
        <v>7098</v>
      </c>
      <c r="E2041" s="16" t="str">
        <f aca="false">HYPERLINK("#'Forrásszöveg'!A"&amp;(MATCH("VHR-S0717",Forrásszöveg!$A$6:$A$2497,0)+5),"75. § (7) eleje")</f>
        <v>75. § (7) eleje</v>
      </c>
      <c r="F2041" s="16" t="str">
        <f aca="false">HYPERLINK("https://net.jogtar.hu/jogszabaly?docid=a2400418.kor#pr717id","Jogtár megnyitása")</f>
        <v>Jogtár megnyitása</v>
      </c>
    </row>
    <row r="2042" customFormat="false" ht="52" hidden="false" customHeight="true" outlineLevel="0" collapsed="false">
      <c r="A2042" s="15" t="s">
        <v>7099</v>
      </c>
      <c r="B2042" s="15" t="s">
        <v>1471</v>
      </c>
      <c r="C2042" s="15" t="s">
        <v>7100</v>
      </c>
      <c r="D2042" s="15" t="s">
        <v>7101</v>
      </c>
      <c r="E2042" s="16" t="str">
        <f aca="false">HYPERLINK("#'Forrásszöveg'!A"&amp;(MATCH("VHR-S0717",Forrásszöveg!$A$6:$A$2497,0)+5),"75. § (7) eleje")</f>
        <v>75. § (7) eleje</v>
      </c>
      <c r="F2042" s="16" t="str">
        <f aca="false">HYPERLINK("https://net.jogtar.hu/jogszabaly?docid=a2400418.kor#pr718id","Jogtár megnyitása")</f>
        <v>Jogtár megnyitása</v>
      </c>
    </row>
    <row r="2043" customFormat="false" ht="34" hidden="false" customHeight="true" outlineLevel="0" collapsed="false">
      <c r="A2043" s="15" t="s">
        <v>7102</v>
      </c>
      <c r="B2043" s="15" t="s">
        <v>1471</v>
      </c>
      <c r="C2043" s="15" t="s">
        <v>7103</v>
      </c>
      <c r="D2043" s="15" t="s">
        <v>7104</v>
      </c>
      <c r="E2043" s="16" t="str">
        <f aca="false">HYPERLINK("#'Forrásszöveg'!A"&amp;(MATCH("VHR-S0717",Forrásszöveg!$A$6:$A$2497,0)+5),"75. § (7) eleje")</f>
        <v>75. § (7) eleje</v>
      </c>
      <c r="F2043" s="16" t="str">
        <f aca="false">HYPERLINK("https://net.jogtar.hu/jogszabaly?docid=a2400418.kor#pr719id","Jogtár megnyitása")</f>
        <v>Jogtár megnyitása</v>
      </c>
    </row>
    <row r="2044" customFormat="false" ht="52" hidden="false" customHeight="true" outlineLevel="0" collapsed="false">
      <c r="A2044" s="15" t="s">
        <v>7105</v>
      </c>
      <c r="B2044" s="15" t="s">
        <v>1471</v>
      </c>
      <c r="C2044" s="15" t="s">
        <v>7106</v>
      </c>
      <c r="D2044" s="15" t="s">
        <v>7107</v>
      </c>
      <c r="E2044" s="16" t="str">
        <f aca="false">HYPERLINK("#'Forrásszöveg'!A"&amp;(MATCH("VHR-S0717",Forrásszöveg!$A$6:$A$2497,0)+5),"75. § (7) eleje")</f>
        <v>75. § (7) eleje</v>
      </c>
      <c r="F2044" s="16" t="str">
        <f aca="false">HYPERLINK("https://net.jogtar.hu/jogszabaly?docid=a2400418.kor#pr720id","Jogtár megnyitása")</f>
        <v>Jogtár megnyitása</v>
      </c>
    </row>
    <row r="2045" customFormat="false" ht="34" hidden="false" customHeight="true" outlineLevel="0" collapsed="false">
      <c r="A2045" s="15" t="s">
        <v>7108</v>
      </c>
      <c r="B2045" s="15" t="s">
        <v>1471</v>
      </c>
      <c r="C2045" s="15" t="s">
        <v>7109</v>
      </c>
      <c r="D2045" s="15" t="s">
        <v>7110</v>
      </c>
      <c r="E2045" s="16" t="str">
        <f aca="false">HYPERLINK("#'Forrásszöveg'!A"&amp;(MATCH("VHR-S0717",Forrásszöveg!$A$6:$A$2497,0)+5),"75. § (7) eleje")</f>
        <v>75. § (7) eleje</v>
      </c>
      <c r="F2045" s="16" t="str">
        <f aca="false">HYPERLINK("https://net.jogtar.hu/jogszabaly?docid=a2400418.kor#pr721id","Jogtár megnyitása")</f>
        <v>Jogtár megnyitása</v>
      </c>
    </row>
    <row r="2046" customFormat="false" ht="38" hidden="false" customHeight="true" outlineLevel="0" collapsed="false">
      <c r="A2046" s="15" t="s">
        <v>7111</v>
      </c>
      <c r="B2046" s="15" t="s">
        <v>1471</v>
      </c>
      <c r="C2046" s="15" t="s">
        <v>7112</v>
      </c>
      <c r="D2046" s="15" t="s">
        <v>7113</v>
      </c>
      <c r="E2046" s="16" t="str">
        <f aca="false">HYPERLINK("#'Forrásszöveg'!A"&amp;(MATCH("VHR-S0717",Forrásszöveg!$A$6:$A$2497,0)+5),"75. § (7) eleje")</f>
        <v>75. § (7) eleje</v>
      </c>
      <c r="F2046" s="16" t="str">
        <f aca="false">HYPERLINK("https://net.jogtar.hu/jogszabaly?docid=a2400418.kor#pr722id","Jogtár megnyitása")</f>
        <v>Jogtár megnyitása</v>
      </c>
    </row>
    <row r="2047" customFormat="false" ht="52" hidden="false" customHeight="true" outlineLevel="0" collapsed="false">
      <c r="A2047" s="15" t="s">
        <v>7114</v>
      </c>
      <c r="B2047" s="15" t="s">
        <v>1471</v>
      </c>
      <c r="C2047" s="15" t="s">
        <v>7115</v>
      </c>
      <c r="D2047" s="15" t="s">
        <v>7116</v>
      </c>
      <c r="E2047" s="16" t="str">
        <f aca="false">HYPERLINK("#'Forrásszöveg'!A"&amp;(MATCH("VHR-S0723",Forrásszöveg!$A$6:$A$2497,0)+5),"75. § (8) eleje")</f>
        <v>75. § (8) eleje</v>
      </c>
      <c r="F2047" s="16" t="str">
        <f aca="false">HYPERLINK("https://net.jogtar.hu/jogszabaly?docid=a2400418.kor#pr723id","Jogtár megnyitása")</f>
        <v>Jogtár megnyitása</v>
      </c>
    </row>
    <row r="2048" customFormat="false" ht="52" hidden="false" customHeight="true" outlineLevel="0" collapsed="false">
      <c r="A2048" s="15" t="s">
        <v>7117</v>
      </c>
      <c r="B2048" s="15" t="s">
        <v>1471</v>
      </c>
      <c r="C2048" s="15" t="s">
        <v>7118</v>
      </c>
      <c r="D2048" s="15" t="s">
        <v>7119</v>
      </c>
      <c r="E2048" s="16" t="str">
        <f aca="false">HYPERLINK("#'Forrásszöveg'!A"&amp;(MATCH("VHR-S0724",Forrásszöveg!$A$6:$A$2497,0)+5),"75. § (9) eleje")</f>
        <v>75. § (9) eleje</v>
      </c>
      <c r="F2048" s="16" t="str">
        <f aca="false">HYPERLINK("https://net.jogtar.hu/jogszabaly?docid=a2400418.kor#pr724id","Jogtár megnyitása")</f>
        <v>Jogtár megnyitása</v>
      </c>
    </row>
    <row r="2049" customFormat="false" ht="34" hidden="false" customHeight="true" outlineLevel="0" collapsed="false">
      <c r="A2049" s="15" t="s">
        <v>7120</v>
      </c>
      <c r="B2049" s="15" t="s">
        <v>1471</v>
      </c>
      <c r="C2049" s="15" t="s">
        <v>7121</v>
      </c>
      <c r="D2049" s="15" t="s">
        <v>7122</v>
      </c>
      <c r="E2049" s="16" t="str">
        <f aca="false">HYPERLINK("#'Forrásszöveg'!A"&amp;(MATCH("VHR-S0725",Forrásszöveg!$A$6:$A$2497,0)+5),"75. § (10) eleje")</f>
        <v>75. § (10) eleje</v>
      </c>
      <c r="F2049" s="16" t="str">
        <f aca="false">HYPERLINK("https://net.jogtar.hu/jogszabaly?docid=a2400418.kor#pr725id","Jogtár megnyitása")</f>
        <v>Jogtár megnyitása</v>
      </c>
    </row>
    <row r="2050" customFormat="false" ht="38" hidden="false" customHeight="true" outlineLevel="0" collapsed="false">
      <c r="A2050" s="15" t="s">
        <v>7123</v>
      </c>
      <c r="B2050" s="15" t="s">
        <v>1471</v>
      </c>
      <c r="C2050" s="15" t="s">
        <v>7124</v>
      </c>
      <c r="D2050" s="15" t="s">
        <v>7125</v>
      </c>
      <c r="E2050" s="16" t="str">
        <f aca="false">HYPERLINK("#'Forrásszöveg'!A"&amp;(MATCH("VHR-S0725",Forrásszöveg!$A$6:$A$2497,0)+5),"75. § (10) eleje")</f>
        <v>75. § (10) eleje</v>
      </c>
      <c r="F2050" s="16" t="str">
        <f aca="false">HYPERLINK("https://net.jogtar.hu/jogszabaly?docid=a2400418.kor#pr726id","Jogtár megnyitása")</f>
        <v>Jogtár megnyitása</v>
      </c>
    </row>
    <row r="2051" customFormat="false" ht="66" hidden="false" customHeight="true" outlineLevel="0" collapsed="false">
      <c r="A2051" s="15" t="s">
        <v>7126</v>
      </c>
      <c r="B2051" s="15" t="s">
        <v>1471</v>
      </c>
      <c r="C2051" s="15" t="s">
        <v>7127</v>
      </c>
      <c r="D2051" s="15" t="s">
        <v>7128</v>
      </c>
      <c r="E2051" s="16" t="str">
        <f aca="false">HYPERLINK("#'Forrásszöveg'!A"&amp;(MATCH("VHR-S0725",Forrásszöveg!$A$6:$A$2497,0)+5),"75. § (10) eleje")</f>
        <v>75. § (10) eleje</v>
      </c>
      <c r="F2051" s="16" t="str">
        <f aca="false">HYPERLINK("https://net.jogtar.hu/jogszabaly?docid=a2400418.kor#pr727id","Jogtár megnyitása")</f>
        <v>Jogtár megnyitása</v>
      </c>
    </row>
    <row r="2052" customFormat="false" ht="34" hidden="false" customHeight="true" outlineLevel="0" collapsed="false">
      <c r="A2052" s="15" t="s">
        <v>7129</v>
      </c>
      <c r="B2052" s="15" t="s">
        <v>1471</v>
      </c>
      <c r="C2052" s="15" t="s">
        <v>7130</v>
      </c>
      <c r="D2052" s="15" t="s">
        <v>7131</v>
      </c>
      <c r="E2052" s="16" t="str">
        <f aca="false">HYPERLINK("#'Forrásszöveg'!A"&amp;(MATCH("VHR-S0728",Forrásszöveg!$A$6:$A$2497,0)+5),"75. § (11) eleje")</f>
        <v>75. § (11) eleje</v>
      </c>
      <c r="F2052" s="16" t="str">
        <f aca="false">HYPERLINK("https://net.jogtar.hu/jogszabaly?docid=a2400418.kor#pr728id","Jogtár megnyitása")</f>
        <v>Jogtár megnyitása</v>
      </c>
    </row>
    <row r="2053" customFormat="false" ht="34" hidden="false" customHeight="true" outlineLevel="0" collapsed="false">
      <c r="A2053" s="15" t="s">
        <v>7132</v>
      </c>
      <c r="B2053" s="15" t="s">
        <v>1471</v>
      </c>
      <c r="C2053" s="15" t="s">
        <v>7133</v>
      </c>
      <c r="D2053" s="15" t="s">
        <v>7134</v>
      </c>
      <c r="E2053" s="16" t="str">
        <f aca="false">HYPERLINK("#'Forrásszöveg'!A"&amp;(MATCH("VHR-S0728",Forrásszöveg!$A$6:$A$2497,0)+5),"75. § (11) eleje")</f>
        <v>75. § (11) eleje</v>
      </c>
      <c r="F2053" s="16" t="str">
        <f aca="false">HYPERLINK("https://net.jogtar.hu/jogszabaly?docid=a2400418.kor#pr729id","Jogtár megnyitása")</f>
        <v>Jogtár megnyitása</v>
      </c>
    </row>
    <row r="2054" customFormat="false" ht="34" hidden="false" customHeight="true" outlineLevel="0" collapsed="false">
      <c r="A2054" s="15" t="s">
        <v>7135</v>
      </c>
      <c r="B2054" s="15" t="s">
        <v>1471</v>
      </c>
      <c r="C2054" s="15" t="s">
        <v>7136</v>
      </c>
      <c r="D2054" s="15" t="s">
        <v>7137</v>
      </c>
      <c r="E2054" s="16" t="str">
        <f aca="false">HYPERLINK("#'Forrásszöveg'!A"&amp;(MATCH("VHR-S0728",Forrásszöveg!$A$6:$A$2497,0)+5),"75. § (11) eleje")</f>
        <v>75. § (11) eleje</v>
      </c>
      <c r="F2054" s="16" t="str">
        <f aca="false">HYPERLINK("https://net.jogtar.hu/jogszabaly?docid=a2400418.kor#pr730id","Jogtár megnyitása")</f>
        <v>Jogtár megnyitása</v>
      </c>
    </row>
    <row r="2055" customFormat="false" ht="34" hidden="false" customHeight="true" outlineLevel="0" collapsed="false">
      <c r="A2055" s="15" t="s">
        <v>7138</v>
      </c>
      <c r="B2055" s="15" t="s">
        <v>1471</v>
      </c>
      <c r="C2055" s="15" t="s">
        <v>7139</v>
      </c>
      <c r="D2055" s="15" t="s">
        <v>7140</v>
      </c>
      <c r="E2055" s="16" t="str">
        <f aca="false">HYPERLINK("#'Forrásszöveg'!A"&amp;(MATCH("VHR-S0728",Forrásszöveg!$A$6:$A$2497,0)+5),"75. § (11) eleje")</f>
        <v>75. § (11) eleje</v>
      </c>
      <c r="F2055" s="16" t="str">
        <f aca="false">HYPERLINK("https://net.jogtar.hu/jogszabaly?docid=a2400418.kor#pr731id","Jogtár megnyitása")</f>
        <v>Jogtár megnyitása</v>
      </c>
    </row>
    <row r="2056" customFormat="false" ht="38" hidden="false" customHeight="true" outlineLevel="0" collapsed="false">
      <c r="A2056" s="15" t="s">
        <v>7141</v>
      </c>
      <c r="B2056" s="15" t="s">
        <v>1471</v>
      </c>
      <c r="C2056" s="15" t="s">
        <v>7142</v>
      </c>
      <c r="D2056" s="15" t="s">
        <v>7143</v>
      </c>
      <c r="E2056" s="16" t="str">
        <f aca="false">HYPERLINK("#'Forrásszöveg'!A"&amp;(MATCH("VHR-S0728",Forrásszöveg!$A$6:$A$2497,0)+5),"75. § (11) eleje")</f>
        <v>75. § (11) eleje</v>
      </c>
      <c r="F2056" s="16" t="str">
        <f aca="false">HYPERLINK("https://net.jogtar.hu/jogszabaly?docid=a2400418.kor#pr732id","Jogtár megnyitása")</f>
        <v>Jogtár megnyitása</v>
      </c>
    </row>
    <row r="2057" customFormat="false" ht="52" hidden="false" customHeight="true" outlineLevel="0" collapsed="false">
      <c r="A2057" s="15" t="s">
        <v>7144</v>
      </c>
      <c r="B2057" s="15" t="s">
        <v>1471</v>
      </c>
      <c r="C2057" s="15" t="s">
        <v>4563</v>
      </c>
      <c r="D2057" s="15" t="s">
        <v>7145</v>
      </c>
      <c r="E2057" s="16" t="str">
        <f aca="false">HYPERLINK("#'Forrásszöveg'!A"&amp;(MATCH("VHR-S0733",Forrásszöveg!$A$6:$A$2497,0)+5),"76. § (1) eleje")</f>
        <v>76. § (1) eleje</v>
      </c>
      <c r="F2057" s="16" t="str">
        <f aca="false">HYPERLINK("https://net.jogtar.hu/jogszabaly?docid=a2400418.kor#pr733id","Jogtár megnyitása")</f>
        <v>Jogtár megnyitása</v>
      </c>
    </row>
    <row r="2058" customFormat="false" ht="38" hidden="false" customHeight="true" outlineLevel="0" collapsed="false">
      <c r="A2058" s="15" t="s">
        <v>7146</v>
      </c>
      <c r="B2058" s="15" t="s">
        <v>1471</v>
      </c>
      <c r="C2058" s="15" t="s">
        <v>4566</v>
      </c>
      <c r="D2058" s="15" t="s">
        <v>7147</v>
      </c>
      <c r="E2058" s="16" t="str">
        <f aca="false">HYPERLINK("#'Forrásszöveg'!A"&amp;(MATCH("VHR-S0734",Forrásszöveg!$A$6:$A$2497,0)+5),"76. § (2) eleje")</f>
        <v>76. § (2) eleje</v>
      </c>
      <c r="F2058" s="16" t="str">
        <f aca="false">HYPERLINK("https://net.jogtar.hu/jogszabaly?docid=a2400418.kor#pr734id","Jogtár megnyitása")</f>
        <v>Jogtár megnyitása</v>
      </c>
    </row>
    <row r="2059" customFormat="false" ht="34" hidden="false" customHeight="true" outlineLevel="0" collapsed="false">
      <c r="A2059" s="15" t="s">
        <v>7148</v>
      </c>
      <c r="B2059" s="15" t="s">
        <v>1471</v>
      </c>
      <c r="C2059" s="15" t="s">
        <v>4569</v>
      </c>
      <c r="D2059" s="15" t="s">
        <v>7149</v>
      </c>
      <c r="E2059" s="16" t="str">
        <f aca="false">HYPERLINK("#'Forrásszöveg'!A"&amp;(MATCH("VHR-S0735",Forrásszöveg!$A$6:$A$2497,0)+5),"76. § (3) eleje")</f>
        <v>76. § (3) eleje</v>
      </c>
      <c r="F2059" s="16" t="str">
        <f aca="false">HYPERLINK("https://net.jogtar.hu/jogszabaly?docid=a2400418.kor#pr735id","Jogtár megnyitása")</f>
        <v>Jogtár megnyitása</v>
      </c>
    </row>
    <row r="2060" customFormat="false" ht="34" hidden="false" customHeight="true" outlineLevel="0" collapsed="false">
      <c r="A2060" s="15" t="s">
        <v>7150</v>
      </c>
      <c r="B2060" s="15" t="s">
        <v>1471</v>
      </c>
      <c r="C2060" s="15" t="s">
        <v>7151</v>
      </c>
      <c r="D2060" s="15" t="s">
        <v>7152</v>
      </c>
      <c r="E2060" s="16" t="str">
        <f aca="false">HYPERLINK("#'Forrásszöveg'!A"&amp;(MATCH("VHR-S0735",Forrásszöveg!$A$6:$A$2497,0)+5),"76. § (3) eleje")</f>
        <v>76. § (3) eleje</v>
      </c>
      <c r="F2060" s="16" t="str">
        <f aca="false">HYPERLINK("https://net.jogtar.hu/jogszabaly?docid=a2400418.kor#pr736id","Jogtár megnyitása")</f>
        <v>Jogtár megnyitása</v>
      </c>
    </row>
    <row r="2061" customFormat="false" ht="34" hidden="false" customHeight="true" outlineLevel="0" collapsed="false">
      <c r="A2061" s="15" t="s">
        <v>7153</v>
      </c>
      <c r="B2061" s="15" t="s">
        <v>1471</v>
      </c>
      <c r="C2061" s="15" t="s">
        <v>7154</v>
      </c>
      <c r="D2061" s="15" t="s">
        <v>7155</v>
      </c>
      <c r="E2061" s="16" t="str">
        <f aca="false">HYPERLINK("#'Forrásszöveg'!A"&amp;(MATCH("VHR-S0735",Forrásszöveg!$A$6:$A$2497,0)+5),"76. § (3) eleje")</f>
        <v>76. § (3) eleje</v>
      </c>
      <c r="F2061" s="16" t="str">
        <f aca="false">HYPERLINK("https://net.jogtar.hu/jogszabaly?docid=a2400418.kor#pr737id","Jogtár megnyitása")</f>
        <v>Jogtár megnyitása</v>
      </c>
    </row>
    <row r="2062" customFormat="false" ht="34" hidden="false" customHeight="true" outlineLevel="0" collapsed="false">
      <c r="A2062" s="15" t="s">
        <v>7156</v>
      </c>
      <c r="B2062" s="15" t="s">
        <v>1471</v>
      </c>
      <c r="C2062" s="15" t="s">
        <v>7157</v>
      </c>
      <c r="D2062" s="15" t="s">
        <v>7158</v>
      </c>
      <c r="E2062" s="16" t="str">
        <f aca="false">HYPERLINK("#'Forrásszöveg'!A"&amp;(MATCH("VHR-S0735",Forrásszöveg!$A$6:$A$2497,0)+5),"76. § (3) eleje")</f>
        <v>76. § (3) eleje</v>
      </c>
      <c r="F2062" s="16" t="str">
        <f aca="false">HYPERLINK("https://net.jogtar.hu/jogszabaly?docid=a2400418.kor#pr738id","Jogtár megnyitása")</f>
        <v>Jogtár megnyitása</v>
      </c>
    </row>
    <row r="2063" customFormat="false" ht="34" hidden="false" customHeight="true" outlineLevel="0" collapsed="false">
      <c r="A2063" s="15" t="s">
        <v>7159</v>
      </c>
      <c r="B2063" s="15" t="s">
        <v>1471</v>
      </c>
      <c r="C2063" s="15" t="s">
        <v>7160</v>
      </c>
      <c r="D2063" s="15" t="s">
        <v>7161</v>
      </c>
      <c r="E2063" s="16" t="str">
        <f aca="false">HYPERLINK("#'Forrásszöveg'!A"&amp;(MATCH("VHR-S0735",Forrásszöveg!$A$6:$A$2497,0)+5),"76. § (3) eleje")</f>
        <v>76. § (3) eleje</v>
      </c>
      <c r="F2063" s="16" t="str">
        <f aca="false">HYPERLINK("https://net.jogtar.hu/jogszabaly?docid=a2400418.kor#pr739id","Jogtár megnyitása")</f>
        <v>Jogtár megnyitása</v>
      </c>
    </row>
    <row r="2064" customFormat="false" ht="38" hidden="false" customHeight="true" outlineLevel="0" collapsed="false">
      <c r="A2064" s="15" t="s">
        <v>7162</v>
      </c>
      <c r="B2064" s="15" t="s">
        <v>1471</v>
      </c>
      <c r="C2064" s="15" t="s">
        <v>7163</v>
      </c>
      <c r="D2064" s="15" t="s">
        <v>7164</v>
      </c>
      <c r="E2064" s="16" t="str">
        <f aca="false">HYPERLINK("#'Forrásszöveg'!A"&amp;(MATCH("VHR-S0735",Forrásszöveg!$A$6:$A$2497,0)+5),"76. § (3) eleje")</f>
        <v>76. § (3) eleje</v>
      </c>
      <c r="F2064" s="16" t="str">
        <f aca="false">HYPERLINK("https://net.jogtar.hu/jogszabaly?docid=a2400418.kor#pr740id","Jogtár megnyitása")</f>
        <v>Jogtár megnyitása</v>
      </c>
    </row>
    <row r="2065" customFormat="false" ht="38" hidden="false" customHeight="true" outlineLevel="0" collapsed="false">
      <c r="A2065" s="15" t="s">
        <v>7165</v>
      </c>
      <c r="B2065" s="15" t="s">
        <v>1471</v>
      </c>
      <c r="C2065" s="15" t="s">
        <v>7166</v>
      </c>
      <c r="D2065" s="15" t="s">
        <v>7167</v>
      </c>
      <c r="E2065" s="16" t="str">
        <f aca="false">HYPERLINK("#'Forrásszöveg'!A"&amp;(MATCH("VHR-S0735",Forrásszöveg!$A$6:$A$2497,0)+5),"76. § (3) eleje")</f>
        <v>76. § (3) eleje</v>
      </c>
      <c r="F2065" s="16" t="str">
        <f aca="false">HYPERLINK("https://net.jogtar.hu/jogszabaly?docid=a2400418.kor#pr741id","Jogtár megnyitása")</f>
        <v>Jogtár megnyitása</v>
      </c>
    </row>
    <row r="2066" customFormat="false" ht="34" hidden="false" customHeight="true" outlineLevel="0" collapsed="false">
      <c r="A2066" s="15" t="s">
        <v>7168</v>
      </c>
      <c r="B2066" s="15" t="s">
        <v>1471</v>
      </c>
      <c r="C2066" s="15" t="s">
        <v>7169</v>
      </c>
      <c r="D2066" s="15" t="s">
        <v>7170</v>
      </c>
      <c r="E2066" s="16" t="str">
        <f aca="false">HYPERLINK("#'Forrásszöveg'!A"&amp;(MATCH("VHR-S0735",Forrásszöveg!$A$6:$A$2497,0)+5),"76. § (3) eleje")</f>
        <v>76. § (3) eleje</v>
      </c>
      <c r="F2066" s="16" t="str">
        <f aca="false">HYPERLINK("https://net.jogtar.hu/jogszabaly?docid=a2400418.kor#pr742id","Jogtár megnyitása")</f>
        <v>Jogtár megnyitása</v>
      </c>
    </row>
    <row r="2067" customFormat="false" ht="34" hidden="false" customHeight="true" outlineLevel="0" collapsed="false">
      <c r="A2067" s="15" t="s">
        <v>7171</v>
      </c>
      <c r="B2067" s="15" t="s">
        <v>1471</v>
      </c>
      <c r="C2067" s="15" t="s">
        <v>7172</v>
      </c>
      <c r="D2067" s="15" t="s">
        <v>7173</v>
      </c>
      <c r="E2067" s="16" t="str">
        <f aca="false">HYPERLINK("#'Forrásszöveg'!A"&amp;(MATCH("VHR-S0735",Forrásszöveg!$A$6:$A$2497,0)+5),"76. § (3) eleje")</f>
        <v>76. § (3) eleje</v>
      </c>
      <c r="F2067" s="16" t="str">
        <f aca="false">HYPERLINK("https://net.jogtar.hu/jogszabaly?docid=a2400418.kor#pr743id","Jogtár megnyitása")</f>
        <v>Jogtár megnyitása</v>
      </c>
    </row>
    <row r="2068" customFormat="false" ht="34" hidden="false" customHeight="true" outlineLevel="0" collapsed="false">
      <c r="A2068" s="15" t="s">
        <v>7174</v>
      </c>
      <c r="B2068" s="15" t="s">
        <v>1471</v>
      </c>
      <c r="C2068" s="15" t="s">
        <v>7175</v>
      </c>
      <c r="D2068" s="15" t="s">
        <v>7176</v>
      </c>
      <c r="E2068" s="16" t="str">
        <f aca="false">HYPERLINK("#'Forrásszöveg'!A"&amp;(MATCH("VHR-S0735",Forrásszöveg!$A$6:$A$2497,0)+5),"76. § (3) eleje")</f>
        <v>76. § (3) eleje</v>
      </c>
      <c r="F2068" s="16" t="str">
        <f aca="false">HYPERLINK("https://net.jogtar.hu/jogszabaly?docid=a2400418.kor#pr744id","Jogtár megnyitása")</f>
        <v>Jogtár megnyitása</v>
      </c>
    </row>
    <row r="2069" customFormat="false" ht="34" hidden="false" customHeight="true" outlineLevel="0" collapsed="false">
      <c r="A2069" s="15" t="s">
        <v>7177</v>
      </c>
      <c r="B2069" s="15" t="s">
        <v>1471</v>
      </c>
      <c r="C2069" s="15" t="s">
        <v>7178</v>
      </c>
      <c r="D2069" s="15" t="s">
        <v>7179</v>
      </c>
      <c r="E2069" s="16" t="str">
        <f aca="false">HYPERLINK("#'Forrásszöveg'!A"&amp;(MATCH("VHR-S0735",Forrásszöveg!$A$6:$A$2497,0)+5),"76. § (3) eleje")</f>
        <v>76. § (3) eleje</v>
      </c>
      <c r="F2069" s="16" t="str">
        <f aca="false">HYPERLINK("https://net.jogtar.hu/jogszabaly?docid=a2400418.kor#pr745id","Jogtár megnyitása")</f>
        <v>Jogtár megnyitása</v>
      </c>
    </row>
    <row r="2070" customFormat="false" ht="34" hidden="false" customHeight="true" outlineLevel="0" collapsed="false">
      <c r="A2070" s="15" t="s">
        <v>7180</v>
      </c>
      <c r="B2070" s="15" t="s">
        <v>1471</v>
      </c>
      <c r="C2070" s="15" t="s">
        <v>7181</v>
      </c>
      <c r="D2070" s="15" t="s">
        <v>7182</v>
      </c>
      <c r="E2070" s="16" t="str">
        <f aca="false">HYPERLINK("#'Forrásszöveg'!A"&amp;(MATCH("VHR-S0735",Forrásszöveg!$A$6:$A$2497,0)+5),"76. § (3) eleje")</f>
        <v>76. § (3) eleje</v>
      </c>
      <c r="F2070" s="16" t="str">
        <f aca="false">HYPERLINK("https://net.jogtar.hu/jogszabaly?docid=a2400418.kor#pr746id","Jogtár megnyitása")</f>
        <v>Jogtár megnyitása</v>
      </c>
    </row>
    <row r="2071" customFormat="false" ht="34" hidden="false" customHeight="true" outlineLevel="0" collapsed="false">
      <c r="A2071" s="15" t="s">
        <v>7183</v>
      </c>
      <c r="B2071" s="15" t="s">
        <v>1471</v>
      </c>
      <c r="C2071" s="15" t="s">
        <v>7184</v>
      </c>
      <c r="D2071" s="15" t="s">
        <v>7185</v>
      </c>
      <c r="E2071" s="16" t="str">
        <f aca="false">HYPERLINK("#'Forrásszöveg'!A"&amp;(MATCH("VHR-S0735",Forrásszöveg!$A$6:$A$2497,0)+5),"76. § (3) eleje")</f>
        <v>76. § (3) eleje</v>
      </c>
      <c r="F2071" s="16" t="str">
        <f aca="false">HYPERLINK("https://net.jogtar.hu/jogszabaly?docid=a2400418.kor#pr747id","Jogtár megnyitása")</f>
        <v>Jogtár megnyitása</v>
      </c>
    </row>
    <row r="2072" customFormat="false" ht="34" hidden="false" customHeight="true" outlineLevel="0" collapsed="false">
      <c r="A2072" s="15" t="s">
        <v>7186</v>
      </c>
      <c r="B2072" s="15" t="s">
        <v>1471</v>
      </c>
      <c r="C2072" s="15" t="s">
        <v>7187</v>
      </c>
      <c r="D2072" s="15" t="s">
        <v>7188</v>
      </c>
      <c r="E2072" s="16" t="str">
        <f aca="false">HYPERLINK("#'Forrásszöveg'!A"&amp;(MATCH("VHR-S0735",Forrásszöveg!$A$6:$A$2497,0)+5),"76. § (3) eleje")</f>
        <v>76. § (3) eleje</v>
      </c>
      <c r="F2072" s="16" t="str">
        <f aca="false">HYPERLINK("https://net.jogtar.hu/jogszabaly?docid=a2400418.kor#pr748id","Jogtár megnyitása")</f>
        <v>Jogtár megnyitása</v>
      </c>
    </row>
    <row r="2073" customFormat="false" ht="34" hidden="false" customHeight="true" outlineLevel="0" collapsed="false">
      <c r="A2073" s="15" t="s">
        <v>7189</v>
      </c>
      <c r="B2073" s="15" t="s">
        <v>1471</v>
      </c>
      <c r="C2073" s="15" t="s">
        <v>7190</v>
      </c>
      <c r="D2073" s="15" t="s">
        <v>7191</v>
      </c>
      <c r="E2073" s="16" t="str">
        <f aca="false">HYPERLINK("#'Forrásszöveg'!A"&amp;(MATCH("VHR-S0735",Forrásszöveg!$A$6:$A$2497,0)+5),"76. § (3) eleje")</f>
        <v>76. § (3) eleje</v>
      </c>
      <c r="F2073" s="16" t="str">
        <f aca="false">HYPERLINK("https://net.jogtar.hu/jogszabaly?docid=a2400418.kor#pr749id","Jogtár megnyitása")</f>
        <v>Jogtár megnyitása</v>
      </c>
    </row>
    <row r="2074" customFormat="false" ht="34" hidden="false" customHeight="true" outlineLevel="0" collapsed="false">
      <c r="A2074" s="15" t="s">
        <v>7192</v>
      </c>
      <c r="B2074" s="15" t="s">
        <v>1471</v>
      </c>
      <c r="C2074" s="15" t="s">
        <v>4572</v>
      </c>
      <c r="D2074" s="15" t="s">
        <v>7193</v>
      </c>
      <c r="E2074" s="16" t="str">
        <f aca="false">HYPERLINK("#'Forrásszöveg'!A"&amp;(MATCH("VHR-S0750",Forrásszöveg!$A$6:$A$2497,0)+5),"76. § (4) eleje")</f>
        <v>76. § (4) eleje</v>
      </c>
      <c r="F2074" s="16" t="str">
        <f aca="false">HYPERLINK("https://net.jogtar.hu/jogszabaly?docid=a2400418.kor#pr750id","Jogtár megnyitása")</f>
        <v>Jogtár megnyitása</v>
      </c>
    </row>
    <row r="2075" customFormat="false" ht="34" hidden="false" customHeight="true" outlineLevel="0" collapsed="false">
      <c r="A2075" s="15" t="s">
        <v>7194</v>
      </c>
      <c r="B2075" s="15" t="s">
        <v>1471</v>
      </c>
      <c r="C2075" s="15" t="s">
        <v>7195</v>
      </c>
      <c r="D2075" s="15" t="s">
        <v>7196</v>
      </c>
      <c r="E2075" s="16" t="str">
        <f aca="false">HYPERLINK("#'Forrásszöveg'!A"&amp;(MATCH("VHR-S0750",Forrásszöveg!$A$6:$A$2497,0)+5),"76. § (4) eleje")</f>
        <v>76. § (4) eleje</v>
      </c>
      <c r="F2075" s="16" t="str">
        <f aca="false">HYPERLINK("https://net.jogtar.hu/jogszabaly?docid=a2400418.kor#pr751id","Jogtár megnyitása")</f>
        <v>Jogtár megnyitása</v>
      </c>
    </row>
    <row r="2076" customFormat="false" ht="34" hidden="false" customHeight="true" outlineLevel="0" collapsed="false">
      <c r="A2076" s="15" t="s">
        <v>7197</v>
      </c>
      <c r="B2076" s="15" t="s">
        <v>1471</v>
      </c>
      <c r="C2076" s="15" t="s">
        <v>7198</v>
      </c>
      <c r="D2076" s="15" t="s">
        <v>7199</v>
      </c>
      <c r="E2076" s="16" t="str">
        <f aca="false">HYPERLINK("#'Forrásszöveg'!A"&amp;(MATCH("VHR-S0750",Forrásszöveg!$A$6:$A$2497,0)+5),"76. § (4) eleje")</f>
        <v>76. § (4) eleje</v>
      </c>
      <c r="F2076" s="16" t="str">
        <f aca="false">HYPERLINK("https://net.jogtar.hu/jogszabaly?docid=a2400418.kor#pr752id","Jogtár megnyitása")</f>
        <v>Jogtár megnyitása</v>
      </c>
    </row>
    <row r="2077" customFormat="false" ht="52" hidden="false" customHeight="true" outlineLevel="0" collapsed="false">
      <c r="A2077" s="15" t="s">
        <v>7200</v>
      </c>
      <c r="B2077" s="15" t="s">
        <v>1471</v>
      </c>
      <c r="C2077" s="15" t="s">
        <v>7201</v>
      </c>
      <c r="D2077" s="15" t="s">
        <v>7202</v>
      </c>
      <c r="E2077" s="16" t="str">
        <f aca="false">HYPERLINK("#'Forrásszöveg'!A"&amp;(MATCH("VHR-S0750",Forrásszöveg!$A$6:$A$2497,0)+5),"76. § (4) eleje")</f>
        <v>76. § (4) eleje</v>
      </c>
      <c r="F2077" s="16" t="str">
        <f aca="false">HYPERLINK("https://net.jogtar.hu/jogszabaly?docid=a2400418.kor#pr753id","Jogtár megnyitása")</f>
        <v>Jogtár megnyitása</v>
      </c>
    </row>
    <row r="2078" customFormat="false" ht="34" hidden="false" customHeight="true" outlineLevel="0" collapsed="false">
      <c r="A2078" s="15" t="s">
        <v>7203</v>
      </c>
      <c r="B2078" s="15" t="s">
        <v>1471</v>
      </c>
      <c r="C2078" s="15" t="s">
        <v>7204</v>
      </c>
      <c r="D2078" s="15" t="s">
        <v>7205</v>
      </c>
      <c r="E2078" s="16" t="str">
        <f aca="false">HYPERLINK("#'Forrásszöveg'!A"&amp;(MATCH("VHR-S0750",Forrásszöveg!$A$6:$A$2497,0)+5),"76. § (4) eleje")</f>
        <v>76. § (4) eleje</v>
      </c>
      <c r="F2078" s="16" t="str">
        <f aca="false">HYPERLINK("https://net.jogtar.hu/jogszabaly?docid=a2400418.kor#pr754id","Jogtár megnyitása")</f>
        <v>Jogtár megnyitása</v>
      </c>
    </row>
    <row r="2079" customFormat="false" ht="34" hidden="false" customHeight="true" outlineLevel="0" collapsed="false">
      <c r="A2079" s="15" t="s">
        <v>7206</v>
      </c>
      <c r="B2079" s="15" t="s">
        <v>1471</v>
      </c>
      <c r="C2079" s="15" t="s">
        <v>7207</v>
      </c>
      <c r="D2079" s="15" t="s">
        <v>7208</v>
      </c>
      <c r="E2079" s="16" t="str">
        <f aca="false">HYPERLINK("#'Forrásszöveg'!A"&amp;(MATCH("VHR-S0750",Forrásszöveg!$A$6:$A$2497,0)+5),"76. § (4) eleje")</f>
        <v>76. § (4) eleje</v>
      </c>
      <c r="F2079" s="16" t="str">
        <f aca="false">HYPERLINK("https://net.jogtar.hu/jogszabaly?docid=a2400418.kor#pr755id","Jogtár megnyitása")</f>
        <v>Jogtár megnyitása</v>
      </c>
    </row>
    <row r="2080" customFormat="false" ht="38" hidden="false" customHeight="true" outlineLevel="0" collapsed="false">
      <c r="A2080" s="15" t="s">
        <v>7209</v>
      </c>
      <c r="B2080" s="15" t="s">
        <v>1471</v>
      </c>
      <c r="C2080" s="15" t="s">
        <v>7210</v>
      </c>
      <c r="D2080" s="15" t="s">
        <v>7211</v>
      </c>
      <c r="E2080" s="16" t="str">
        <f aca="false">HYPERLINK("#'Forrásszöveg'!A"&amp;(MATCH("VHR-S0750",Forrásszöveg!$A$6:$A$2497,0)+5),"76. § (4) eleje")</f>
        <v>76. § (4) eleje</v>
      </c>
      <c r="F2080" s="16" t="str">
        <f aca="false">HYPERLINK("https://net.jogtar.hu/jogszabaly?docid=a2400418.kor#pr756id","Jogtár megnyitása")</f>
        <v>Jogtár megnyitása</v>
      </c>
    </row>
    <row r="2081" customFormat="false" ht="80" hidden="false" customHeight="true" outlineLevel="0" collapsed="false">
      <c r="A2081" s="15" t="s">
        <v>7212</v>
      </c>
      <c r="B2081" s="15" t="s">
        <v>1471</v>
      </c>
      <c r="C2081" s="15" t="s">
        <v>7213</v>
      </c>
      <c r="D2081" s="15" t="s">
        <v>7214</v>
      </c>
      <c r="E2081" s="16" t="str">
        <f aca="false">HYPERLINK("#'Forrásszöveg'!A"&amp;(MATCH("VHR-S0757",Forrásszöveg!$A$6:$A$2497,0)+5),"76. § (5) eleje")</f>
        <v>76. § (5) eleje</v>
      </c>
      <c r="F2081" s="16" t="str">
        <f aca="false">HYPERLINK("https://net.jogtar.hu/jogszabaly?docid=a2400418.kor#pr757id","Jogtár megnyitása")</f>
        <v>Jogtár megnyitása</v>
      </c>
    </row>
    <row r="2082" customFormat="false" ht="34" hidden="false" customHeight="true" outlineLevel="0" collapsed="false">
      <c r="A2082" s="15" t="s">
        <v>7215</v>
      </c>
      <c r="B2082" s="15" t="s">
        <v>1471</v>
      </c>
      <c r="C2082" s="15" t="s">
        <v>7216</v>
      </c>
      <c r="D2082" s="15" t="s">
        <v>7217</v>
      </c>
      <c r="E2082" s="16" t="str">
        <f aca="false">HYPERLINK("#'Forrásszöveg'!A"&amp;(MATCH("VHR-S0758",Forrásszöveg!$A$6:$A$2497,0)+5),"76. § (6) eleje")</f>
        <v>76. § (6) eleje</v>
      </c>
      <c r="F2082" s="16" t="str">
        <f aca="false">HYPERLINK("https://net.jogtar.hu/jogszabaly?docid=a2400418.kor#pr758id","Jogtár megnyitása")</f>
        <v>Jogtár megnyitása</v>
      </c>
    </row>
    <row r="2083" customFormat="false" ht="34" hidden="false" customHeight="true" outlineLevel="0" collapsed="false">
      <c r="A2083" s="15" t="s">
        <v>7218</v>
      </c>
      <c r="B2083" s="15" t="s">
        <v>1471</v>
      </c>
      <c r="C2083" s="15" t="s">
        <v>7219</v>
      </c>
      <c r="D2083" s="15" t="s">
        <v>7220</v>
      </c>
      <c r="E2083" s="16" t="str">
        <f aca="false">HYPERLINK("#'Forrásszöveg'!A"&amp;(MATCH("VHR-S0758",Forrásszöveg!$A$6:$A$2497,0)+5),"76. § (6) eleje")</f>
        <v>76. § (6) eleje</v>
      </c>
      <c r="F2083" s="16" t="str">
        <f aca="false">HYPERLINK("https://net.jogtar.hu/jogszabaly?docid=a2400418.kor#pr759id","Jogtár megnyitása")</f>
        <v>Jogtár megnyitása</v>
      </c>
    </row>
    <row r="2084" customFormat="false" ht="34" hidden="false" customHeight="true" outlineLevel="0" collapsed="false">
      <c r="A2084" s="15" t="s">
        <v>7221</v>
      </c>
      <c r="B2084" s="15" t="s">
        <v>1471</v>
      </c>
      <c r="C2084" s="15" t="s">
        <v>7222</v>
      </c>
      <c r="D2084" s="15" t="s">
        <v>7223</v>
      </c>
      <c r="E2084" s="16" t="str">
        <f aca="false">HYPERLINK("#'Forrásszöveg'!A"&amp;(MATCH("VHR-S0758",Forrásszöveg!$A$6:$A$2497,0)+5),"76. § (6) eleje")</f>
        <v>76. § (6) eleje</v>
      </c>
      <c r="F2084" s="16" t="str">
        <f aca="false">HYPERLINK("https://net.jogtar.hu/jogszabaly?docid=a2400418.kor#pr760id","Jogtár megnyitása")</f>
        <v>Jogtár megnyitása</v>
      </c>
    </row>
    <row r="2085" customFormat="false" ht="38" hidden="false" customHeight="true" outlineLevel="0" collapsed="false">
      <c r="A2085" s="15" t="s">
        <v>7224</v>
      </c>
      <c r="B2085" s="15" t="s">
        <v>1471</v>
      </c>
      <c r="C2085" s="15" t="s">
        <v>7225</v>
      </c>
      <c r="D2085" s="15" t="s">
        <v>7226</v>
      </c>
      <c r="E2085" s="16" t="str">
        <f aca="false">HYPERLINK("#'Forrásszöveg'!A"&amp;(MATCH("VHR-S0758",Forrásszöveg!$A$6:$A$2497,0)+5),"76. § (6) eleje")</f>
        <v>76. § (6) eleje</v>
      </c>
      <c r="F2085" s="16" t="str">
        <f aca="false">HYPERLINK("https://net.jogtar.hu/jogszabaly?docid=a2400418.kor#pr761id","Jogtár megnyitása")</f>
        <v>Jogtár megnyitása</v>
      </c>
    </row>
    <row r="2086" customFormat="false" ht="52" hidden="false" customHeight="true" outlineLevel="0" collapsed="false">
      <c r="A2086" s="15" t="s">
        <v>7227</v>
      </c>
      <c r="B2086" s="15" t="s">
        <v>1471</v>
      </c>
      <c r="C2086" s="15" t="s">
        <v>7228</v>
      </c>
      <c r="D2086" s="15" t="s">
        <v>7229</v>
      </c>
      <c r="E2086" s="16" t="str">
        <f aca="false">HYPERLINK("#'Forrásszöveg'!A"&amp;(MATCH("VHR-S0762",Forrásszöveg!$A$6:$A$2497,0)+5),"76. § (7) eleje")</f>
        <v>76. § (7) eleje</v>
      </c>
      <c r="F2086" s="16" t="str">
        <f aca="false">HYPERLINK("https://net.jogtar.hu/jogszabaly?docid=a2400418.kor#pr762id","Jogtár megnyitása")</f>
        <v>Jogtár megnyitása</v>
      </c>
    </row>
    <row r="2087" customFormat="false" ht="52" hidden="false" customHeight="true" outlineLevel="0" collapsed="false">
      <c r="A2087" s="15" t="s">
        <v>7230</v>
      </c>
      <c r="B2087" s="15" t="s">
        <v>1471</v>
      </c>
      <c r="C2087" s="15" t="s">
        <v>7231</v>
      </c>
      <c r="D2087" s="15" t="s">
        <v>7232</v>
      </c>
      <c r="E2087" s="16" t="str">
        <f aca="false">HYPERLINK("#'Forrásszöveg'!A"&amp;(MATCH("VHR-S0763",Forrásszöveg!$A$6:$A$2497,0)+5),"76. § (8) eleje")</f>
        <v>76. § (8) eleje</v>
      </c>
      <c r="F2087" s="16" t="str">
        <f aca="false">HYPERLINK("https://net.jogtar.hu/jogszabaly?docid=a2400418.kor#pr763id","Jogtár megnyitása")</f>
        <v>Jogtár megnyitása</v>
      </c>
    </row>
    <row r="2088" customFormat="false" ht="38" hidden="false" customHeight="true" outlineLevel="0" collapsed="false">
      <c r="A2088" s="15" t="s">
        <v>7233</v>
      </c>
      <c r="B2088" s="15" t="s">
        <v>1471</v>
      </c>
      <c r="C2088" s="15" t="s">
        <v>1501</v>
      </c>
      <c r="D2088" s="15" t="s">
        <v>1501</v>
      </c>
      <c r="E2088" s="16" t="str">
        <f aca="false">HYPERLINK("#'Forrásszöveg'!A"&amp;(MATCH("VHR-S0733",Forrásszöveg!$A$6:$A$2497,0)+5),"76. § eleje")</f>
        <v>76. § eleje</v>
      </c>
      <c r="F2088" s="16" t="str">
        <f aca="false">HYPERLINK("https://net.jogtar.hu/jogszabaly?docid=a2400418.kor#pr764id","Jogtár megnyitása")</f>
        <v>Jogtár megnyitása</v>
      </c>
    </row>
    <row r="2089" customFormat="false" ht="34" hidden="false" customHeight="true" outlineLevel="0" collapsed="false">
      <c r="A2089" s="15" t="s">
        <v>7234</v>
      </c>
      <c r="B2089" s="15" t="s">
        <v>1471</v>
      </c>
      <c r="C2089" s="15" t="s">
        <v>4579</v>
      </c>
      <c r="D2089" s="15" t="s">
        <v>7235</v>
      </c>
      <c r="E2089" s="16" t="str">
        <f aca="false">HYPERLINK("#'Forrásszöveg'!A"&amp;(MATCH("VHR-S0765",Forrásszöveg!$A$6:$A$2497,0)+5),"77. § (1) eleje")</f>
        <v>77. § (1) eleje</v>
      </c>
      <c r="F2089" s="16" t="str">
        <f aca="false">HYPERLINK("https://net.jogtar.hu/jogszabaly?docid=a2400418.kor#pr765id","Jogtár megnyitása")</f>
        <v>Jogtár megnyitása</v>
      </c>
    </row>
    <row r="2090" customFormat="false" ht="38" hidden="false" customHeight="true" outlineLevel="0" collapsed="false">
      <c r="A2090" s="15" t="s">
        <v>7236</v>
      </c>
      <c r="B2090" s="15" t="s">
        <v>1471</v>
      </c>
      <c r="C2090" s="15" t="s">
        <v>7237</v>
      </c>
      <c r="D2090" s="15" t="s">
        <v>7238</v>
      </c>
      <c r="E2090" s="16" t="str">
        <f aca="false">HYPERLINK("#'Forrásszöveg'!A"&amp;(MATCH("VHR-S0765",Forrásszöveg!$A$6:$A$2497,0)+5),"77. § (1) eleje")</f>
        <v>77. § (1) eleje</v>
      </c>
      <c r="F2090" s="16" t="str">
        <f aca="false">HYPERLINK("https://net.jogtar.hu/jogszabaly?docid=a2400418.kor#pr766id","Jogtár megnyitása")</f>
        <v>Jogtár megnyitása</v>
      </c>
    </row>
    <row r="2091" customFormat="false" ht="34" hidden="false" customHeight="true" outlineLevel="0" collapsed="false">
      <c r="A2091" s="15" t="s">
        <v>7239</v>
      </c>
      <c r="B2091" s="15" t="s">
        <v>1471</v>
      </c>
      <c r="C2091" s="15" t="s">
        <v>7240</v>
      </c>
      <c r="D2091" s="15" t="s">
        <v>7241</v>
      </c>
      <c r="E2091" s="16" t="str">
        <f aca="false">HYPERLINK("#'Forrásszöveg'!A"&amp;(MATCH("VHR-S0765",Forrásszöveg!$A$6:$A$2497,0)+5),"77. § (1) eleje")</f>
        <v>77. § (1) eleje</v>
      </c>
      <c r="F2091" s="16" t="str">
        <f aca="false">HYPERLINK("https://net.jogtar.hu/jogszabaly?docid=a2400418.kor#pr767id","Jogtár megnyitása")</f>
        <v>Jogtár megnyitása</v>
      </c>
    </row>
    <row r="2092" customFormat="false" ht="38" hidden="false" customHeight="true" outlineLevel="0" collapsed="false">
      <c r="A2092" s="15" t="s">
        <v>7242</v>
      </c>
      <c r="B2092" s="15" t="s">
        <v>1471</v>
      </c>
      <c r="C2092" s="15" t="s">
        <v>7243</v>
      </c>
      <c r="D2092" s="15" t="s">
        <v>7244</v>
      </c>
      <c r="E2092" s="16" t="str">
        <f aca="false">HYPERLINK("#'Forrásszöveg'!A"&amp;(MATCH("VHR-S0765",Forrásszöveg!$A$6:$A$2497,0)+5),"77. § (1) eleje")</f>
        <v>77. § (1) eleje</v>
      </c>
      <c r="F2092" s="16" t="str">
        <f aca="false">HYPERLINK("https://net.jogtar.hu/jogszabaly?docid=a2400418.kor#pr768id","Jogtár megnyitása")</f>
        <v>Jogtár megnyitása</v>
      </c>
    </row>
    <row r="2093" customFormat="false" ht="34" hidden="false" customHeight="true" outlineLevel="0" collapsed="false">
      <c r="A2093" s="15" t="s">
        <v>7245</v>
      </c>
      <c r="B2093" s="15" t="s">
        <v>1471</v>
      </c>
      <c r="C2093" s="15" t="s">
        <v>7246</v>
      </c>
      <c r="D2093" s="15" t="s">
        <v>7247</v>
      </c>
      <c r="E2093" s="16" t="str">
        <f aca="false">HYPERLINK("#'Forrásszöveg'!A"&amp;(MATCH("VHR-S0765",Forrásszöveg!$A$6:$A$2497,0)+5),"77. § (1) eleje")</f>
        <v>77. § (1) eleje</v>
      </c>
      <c r="F2093" s="16" t="str">
        <f aca="false">HYPERLINK("https://net.jogtar.hu/jogszabaly?docid=a2400418.kor#pr769id","Jogtár megnyitása")</f>
        <v>Jogtár megnyitása</v>
      </c>
    </row>
    <row r="2094" customFormat="false" ht="34" hidden="false" customHeight="true" outlineLevel="0" collapsed="false">
      <c r="A2094" s="15" t="s">
        <v>7248</v>
      </c>
      <c r="B2094" s="15" t="s">
        <v>1471</v>
      </c>
      <c r="C2094" s="15" t="s">
        <v>7249</v>
      </c>
      <c r="D2094" s="15" t="s">
        <v>7250</v>
      </c>
      <c r="E2094" s="16" t="str">
        <f aca="false">HYPERLINK("#'Forrásszöveg'!A"&amp;(MATCH("VHR-S0765",Forrásszöveg!$A$6:$A$2497,0)+5),"77. § (1) eleje")</f>
        <v>77. § (1) eleje</v>
      </c>
      <c r="F2094" s="16" t="str">
        <f aca="false">HYPERLINK("https://net.jogtar.hu/jogszabaly?docid=a2400418.kor#pr770id","Jogtár megnyitása")</f>
        <v>Jogtár megnyitása</v>
      </c>
    </row>
    <row r="2095" customFormat="false" ht="34" hidden="false" customHeight="true" outlineLevel="0" collapsed="false">
      <c r="A2095" s="15" t="s">
        <v>7251</v>
      </c>
      <c r="B2095" s="15" t="s">
        <v>1471</v>
      </c>
      <c r="C2095" s="15" t="s">
        <v>7252</v>
      </c>
      <c r="D2095" s="15" t="s">
        <v>7253</v>
      </c>
      <c r="E2095" s="16" t="str">
        <f aca="false">HYPERLINK("#'Forrásszöveg'!A"&amp;(MATCH("VHR-S0765",Forrásszöveg!$A$6:$A$2497,0)+5),"77. § (1) eleje")</f>
        <v>77. § (1) eleje</v>
      </c>
      <c r="F2095" s="16" t="str">
        <f aca="false">HYPERLINK("https://net.jogtar.hu/jogszabaly?docid=a2400418.kor#pr771id","Jogtár megnyitása")</f>
        <v>Jogtár megnyitása</v>
      </c>
    </row>
    <row r="2096" customFormat="false" ht="34" hidden="false" customHeight="true" outlineLevel="0" collapsed="false">
      <c r="A2096" s="15" t="s">
        <v>7254</v>
      </c>
      <c r="B2096" s="15" t="s">
        <v>1471</v>
      </c>
      <c r="C2096" s="15" t="s">
        <v>7255</v>
      </c>
      <c r="D2096" s="15" t="s">
        <v>7256</v>
      </c>
      <c r="E2096" s="16" t="str">
        <f aca="false">HYPERLINK("#'Forrásszöveg'!A"&amp;(MATCH("VHR-S0765",Forrásszöveg!$A$6:$A$2497,0)+5),"77. § (1) eleje")</f>
        <v>77. § (1) eleje</v>
      </c>
      <c r="F2096" s="16" t="str">
        <f aca="false">HYPERLINK("https://net.jogtar.hu/jogszabaly?docid=a2400418.kor#pr772id","Jogtár megnyitása")</f>
        <v>Jogtár megnyitása</v>
      </c>
    </row>
    <row r="2097" customFormat="false" ht="34" hidden="false" customHeight="true" outlineLevel="0" collapsed="false">
      <c r="A2097" s="15" t="s">
        <v>7257</v>
      </c>
      <c r="B2097" s="15" t="s">
        <v>1471</v>
      </c>
      <c r="C2097" s="15" t="s">
        <v>7258</v>
      </c>
      <c r="D2097" s="15" t="s">
        <v>7259</v>
      </c>
      <c r="E2097" s="16" t="str">
        <f aca="false">HYPERLINK("#'Forrásszöveg'!A"&amp;(MATCH("VHR-S0765",Forrásszöveg!$A$6:$A$2497,0)+5),"77. § (1) eleje")</f>
        <v>77. § (1) eleje</v>
      </c>
      <c r="F2097" s="16" t="str">
        <f aca="false">HYPERLINK("https://net.jogtar.hu/jogszabaly?docid=a2400418.kor#pr773id","Jogtár megnyitása")</f>
        <v>Jogtár megnyitása</v>
      </c>
    </row>
    <row r="2098" customFormat="false" ht="34" hidden="false" customHeight="true" outlineLevel="0" collapsed="false">
      <c r="A2098" s="15" t="s">
        <v>7260</v>
      </c>
      <c r="B2098" s="15" t="s">
        <v>1471</v>
      </c>
      <c r="C2098" s="15" t="s">
        <v>7261</v>
      </c>
      <c r="D2098" s="15" t="s">
        <v>7262</v>
      </c>
      <c r="E2098" s="16" t="str">
        <f aca="false">HYPERLINK("#'Forrásszöveg'!A"&amp;(MATCH("VHR-S0765",Forrásszöveg!$A$6:$A$2497,0)+5),"77. § (1) eleje")</f>
        <v>77. § (1) eleje</v>
      </c>
      <c r="F2098" s="16" t="str">
        <f aca="false">HYPERLINK("https://net.jogtar.hu/jogszabaly?docid=a2400418.kor#pr774id","Jogtár megnyitása")</f>
        <v>Jogtár megnyitása</v>
      </c>
    </row>
    <row r="2099" customFormat="false" ht="38" hidden="false" customHeight="true" outlineLevel="0" collapsed="false">
      <c r="A2099" s="15" t="s">
        <v>7263</v>
      </c>
      <c r="B2099" s="15" t="s">
        <v>1471</v>
      </c>
      <c r="C2099" s="15" t="s">
        <v>7264</v>
      </c>
      <c r="D2099" s="15" t="s">
        <v>7265</v>
      </c>
      <c r="E2099" s="16" t="str">
        <f aca="false">HYPERLINK("#'Forrásszöveg'!A"&amp;(MATCH("VHR-S0765",Forrásszöveg!$A$6:$A$2497,0)+5),"77. § (1) eleje")</f>
        <v>77. § (1) eleje</v>
      </c>
      <c r="F2099" s="16" t="str">
        <f aca="false">HYPERLINK("https://net.jogtar.hu/jogszabaly?docid=a2400418.kor#pr775id","Jogtár megnyitása")</f>
        <v>Jogtár megnyitása</v>
      </c>
    </row>
    <row r="2100" customFormat="false" ht="38" hidden="false" customHeight="true" outlineLevel="0" collapsed="false">
      <c r="A2100" s="15" t="s">
        <v>7266</v>
      </c>
      <c r="B2100" s="15" t="s">
        <v>1471</v>
      </c>
      <c r="C2100" s="15" t="s">
        <v>7267</v>
      </c>
      <c r="D2100" s="15" t="s">
        <v>7268</v>
      </c>
      <c r="E2100" s="16" t="str">
        <f aca="false">HYPERLINK("#'Forrásszöveg'!A"&amp;(MATCH("VHR-S0765",Forrásszöveg!$A$6:$A$2497,0)+5),"77. § (1) eleje")</f>
        <v>77. § (1) eleje</v>
      </c>
      <c r="F2100" s="16" t="str">
        <f aca="false">HYPERLINK("https://net.jogtar.hu/jogszabaly?docid=a2400418.kor#pr776id","Jogtár megnyitása")</f>
        <v>Jogtár megnyitása</v>
      </c>
    </row>
    <row r="2101" customFormat="false" ht="34" hidden="false" customHeight="true" outlineLevel="0" collapsed="false">
      <c r="A2101" s="15" t="s">
        <v>7269</v>
      </c>
      <c r="B2101" s="15" t="s">
        <v>1471</v>
      </c>
      <c r="C2101" s="15" t="s">
        <v>7270</v>
      </c>
      <c r="D2101" s="15" t="s">
        <v>7271</v>
      </c>
      <c r="E2101" s="16" t="str">
        <f aca="false">HYPERLINK("#'Forrásszöveg'!A"&amp;(MATCH("VHR-S0765",Forrásszöveg!$A$6:$A$2497,0)+5),"77. § (1) eleje")</f>
        <v>77. § (1) eleje</v>
      </c>
      <c r="F2101" s="16" t="str">
        <f aca="false">HYPERLINK("https://net.jogtar.hu/jogszabaly?docid=a2400418.kor#pr777id","Jogtár megnyitása")</f>
        <v>Jogtár megnyitása</v>
      </c>
    </row>
    <row r="2102" customFormat="false" ht="34" hidden="false" customHeight="true" outlineLevel="0" collapsed="false">
      <c r="A2102" s="15" t="s">
        <v>7272</v>
      </c>
      <c r="B2102" s="15" t="s">
        <v>1471</v>
      </c>
      <c r="C2102" s="15" t="s">
        <v>7273</v>
      </c>
      <c r="D2102" s="15" t="s">
        <v>7274</v>
      </c>
      <c r="E2102" s="16" t="str">
        <f aca="false">HYPERLINK("#'Forrásszöveg'!A"&amp;(MATCH("VHR-S0765",Forrásszöveg!$A$6:$A$2497,0)+5),"77. § (1) eleje")</f>
        <v>77. § (1) eleje</v>
      </c>
      <c r="F2102" s="16" t="str">
        <f aca="false">HYPERLINK("https://net.jogtar.hu/jogszabaly?docid=a2400418.kor#pr778id","Jogtár megnyitása")</f>
        <v>Jogtár megnyitása</v>
      </c>
    </row>
    <row r="2103" customFormat="false" ht="34" hidden="false" customHeight="true" outlineLevel="0" collapsed="false">
      <c r="A2103" s="15" t="s">
        <v>7275</v>
      </c>
      <c r="B2103" s="15" t="s">
        <v>1471</v>
      </c>
      <c r="C2103" s="15" t="s">
        <v>7276</v>
      </c>
      <c r="D2103" s="15" t="s">
        <v>7277</v>
      </c>
      <c r="E2103" s="16" t="str">
        <f aca="false">HYPERLINK("#'Forrásszöveg'!A"&amp;(MATCH("VHR-S0765",Forrásszöveg!$A$6:$A$2497,0)+5),"77. § (1) eleje")</f>
        <v>77. § (1) eleje</v>
      </c>
      <c r="F2103" s="16" t="str">
        <f aca="false">HYPERLINK("https://net.jogtar.hu/jogszabaly?docid=a2400418.kor#pr779id","Jogtár megnyitása")</f>
        <v>Jogtár megnyitása</v>
      </c>
    </row>
    <row r="2104" customFormat="false" ht="38" hidden="false" customHeight="true" outlineLevel="0" collapsed="false">
      <c r="A2104" s="15" t="s">
        <v>7278</v>
      </c>
      <c r="B2104" s="15" t="s">
        <v>1471</v>
      </c>
      <c r="C2104" s="15" t="s">
        <v>7279</v>
      </c>
      <c r="D2104" s="15" t="s">
        <v>7280</v>
      </c>
      <c r="E2104" s="16" t="str">
        <f aca="false">HYPERLINK("#'Forrásszöveg'!A"&amp;(MATCH("VHR-S0765",Forrásszöveg!$A$6:$A$2497,0)+5),"77. § (1) eleje")</f>
        <v>77. § (1) eleje</v>
      </c>
      <c r="F2104" s="16" t="str">
        <f aca="false">HYPERLINK("https://net.jogtar.hu/jogszabaly?docid=a2400418.kor#pr780id","Jogtár megnyitása")</f>
        <v>Jogtár megnyitása</v>
      </c>
    </row>
    <row r="2105" customFormat="false" ht="34" hidden="false" customHeight="true" outlineLevel="0" collapsed="false">
      <c r="A2105" s="15" t="s">
        <v>7281</v>
      </c>
      <c r="B2105" s="15" t="s">
        <v>1471</v>
      </c>
      <c r="C2105" s="15" t="s">
        <v>7282</v>
      </c>
      <c r="D2105" s="15" t="s">
        <v>7283</v>
      </c>
      <c r="E2105" s="16" t="str">
        <f aca="false">HYPERLINK("#'Forrásszöveg'!A"&amp;(MATCH("VHR-S0765",Forrásszöveg!$A$6:$A$2497,0)+5),"77. § (1) eleje")</f>
        <v>77. § (1) eleje</v>
      </c>
      <c r="F2105" s="16" t="str">
        <f aca="false">HYPERLINK("https://net.jogtar.hu/jogszabaly?docid=a2400418.kor#pr781id","Jogtár megnyitása")</f>
        <v>Jogtár megnyitása</v>
      </c>
    </row>
    <row r="2106" customFormat="false" ht="52" hidden="false" customHeight="true" outlineLevel="0" collapsed="false">
      <c r="A2106" s="15" t="s">
        <v>7284</v>
      </c>
      <c r="B2106" s="15" t="s">
        <v>1471</v>
      </c>
      <c r="C2106" s="15" t="s">
        <v>7285</v>
      </c>
      <c r="D2106" s="15" t="s">
        <v>7286</v>
      </c>
      <c r="E2106" s="16" t="str">
        <f aca="false">HYPERLINK("#'Forrásszöveg'!A"&amp;(MATCH("VHR-S0765",Forrásszöveg!$A$6:$A$2497,0)+5),"77. § (1) eleje")</f>
        <v>77. § (1) eleje</v>
      </c>
      <c r="F2106" s="16" t="str">
        <f aca="false">HYPERLINK("https://net.jogtar.hu/jogszabaly?docid=a2400418.kor#pr782id","Jogtár megnyitása")</f>
        <v>Jogtár megnyitása</v>
      </c>
    </row>
    <row r="2107" customFormat="false" ht="34" hidden="false" customHeight="true" outlineLevel="0" collapsed="false">
      <c r="A2107" s="15" t="s">
        <v>7287</v>
      </c>
      <c r="B2107" s="15" t="s">
        <v>1471</v>
      </c>
      <c r="C2107" s="15" t="s">
        <v>7288</v>
      </c>
      <c r="D2107" s="15" t="s">
        <v>7289</v>
      </c>
      <c r="E2107" s="16" t="str">
        <f aca="false">HYPERLINK("#'Forrásszöveg'!A"&amp;(MATCH("VHR-S0765",Forrásszöveg!$A$6:$A$2497,0)+5),"77. § (1) eleje")</f>
        <v>77. § (1) eleje</v>
      </c>
      <c r="F2107" s="16" t="str">
        <f aca="false">HYPERLINK("https://net.jogtar.hu/jogszabaly?docid=a2400418.kor#pr783id","Jogtár megnyitása")</f>
        <v>Jogtár megnyitása</v>
      </c>
    </row>
    <row r="2108" customFormat="false" ht="38" hidden="false" customHeight="true" outlineLevel="0" collapsed="false">
      <c r="A2108" s="15" t="s">
        <v>7290</v>
      </c>
      <c r="B2108" s="15" t="s">
        <v>1471</v>
      </c>
      <c r="C2108" s="15" t="s">
        <v>7291</v>
      </c>
      <c r="D2108" s="15" t="s">
        <v>7292</v>
      </c>
      <c r="E2108" s="16" t="str">
        <f aca="false">HYPERLINK("#'Forrásszöveg'!A"&amp;(MATCH("VHR-S0765",Forrásszöveg!$A$6:$A$2497,0)+5),"77. § (1) eleje")</f>
        <v>77. § (1) eleje</v>
      </c>
      <c r="F2108" s="16" t="str">
        <f aca="false">HYPERLINK("https://net.jogtar.hu/jogszabaly?docid=a2400418.kor#pr784id","Jogtár megnyitása")</f>
        <v>Jogtár megnyitása</v>
      </c>
    </row>
    <row r="2109" customFormat="false" ht="34" hidden="false" customHeight="true" outlineLevel="0" collapsed="false">
      <c r="A2109" s="15" t="s">
        <v>7293</v>
      </c>
      <c r="B2109" s="15" t="s">
        <v>1471</v>
      </c>
      <c r="C2109" s="15" t="s">
        <v>7294</v>
      </c>
      <c r="D2109" s="15" t="s">
        <v>7295</v>
      </c>
      <c r="E2109" s="16" t="str">
        <f aca="false">HYPERLINK("#'Forrásszöveg'!A"&amp;(MATCH("VHR-S0765",Forrásszöveg!$A$6:$A$2497,0)+5),"77. § (1) eleje")</f>
        <v>77. § (1) eleje</v>
      </c>
      <c r="F2109" s="16" t="str">
        <f aca="false">HYPERLINK("https://net.jogtar.hu/jogszabaly?docid=a2400418.kor#pr785id","Jogtár megnyitása")</f>
        <v>Jogtár megnyitása</v>
      </c>
    </row>
    <row r="2110" customFormat="false" ht="34" hidden="false" customHeight="true" outlineLevel="0" collapsed="false">
      <c r="A2110" s="15" t="s">
        <v>7296</v>
      </c>
      <c r="B2110" s="15" t="s">
        <v>1471</v>
      </c>
      <c r="C2110" s="15" t="s">
        <v>7297</v>
      </c>
      <c r="D2110" s="15" t="s">
        <v>7298</v>
      </c>
      <c r="E2110" s="16" t="str">
        <f aca="false">HYPERLINK("#'Forrásszöveg'!A"&amp;(MATCH("VHR-S0765",Forrásszöveg!$A$6:$A$2497,0)+5),"77. § (1) eleje")</f>
        <v>77. § (1) eleje</v>
      </c>
      <c r="F2110" s="16" t="str">
        <f aca="false">HYPERLINK("https://net.jogtar.hu/jogszabaly?docid=a2400418.kor#pr786id","Jogtár megnyitása")</f>
        <v>Jogtár megnyitása</v>
      </c>
    </row>
    <row r="2111" customFormat="false" ht="34" hidden="false" customHeight="true" outlineLevel="0" collapsed="false">
      <c r="A2111" s="15" t="s">
        <v>7299</v>
      </c>
      <c r="B2111" s="15" t="s">
        <v>1471</v>
      </c>
      <c r="C2111" s="15" t="s">
        <v>7300</v>
      </c>
      <c r="D2111" s="15" t="s">
        <v>7301</v>
      </c>
      <c r="E2111" s="16" t="str">
        <f aca="false">HYPERLINK("#'Forrásszöveg'!A"&amp;(MATCH("VHR-S0765",Forrásszöveg!$A$6:$A$2497,0)+5),"77. § (1) eleje")</f>
        <v>77. § (1) eleje</v>
      </c>
      <c r="F2111" s="16" t="str">
        <f aca="false">HYPERLINK("https://net.jogtar.hu/jogszabaly?docid=a2400418.kor#pr787id","Jogtár megnyitása")</f>
        <v>Jogtár megnyitása</v>
      </c>
    </row>
    <row r="2112" customFormat="false" ht="34" hidden="false" customHeight="true" outlineLevel="0" collapsed="false">
      <c r="A2112" s="15" t="s">
        <v>7302</v>
      </c>
      <c r="B2112" s="15" t="s">
        <v>1471</v>
      </c>
      <c r="C2112" s="15" t="s">
        <v>7303</v>
      </c>
      <c r="D2112" s="15" t="s">
        <v>7304</v>
      </c>
      <c r="E2112" s="16" t="str">
        <f aca="false">HYPERLINK("#'Forrásszöveg'!A"&amp;(MATCH("VHR-S0765",Forrásszöveg!$A$6:$A$2497,0)+5),"77. § (1) eleje")</f>
        <v>77. § (1) eleje</v>
      </c>
      <c r="F2112" s="16" t="str">
        <f aca="false">HYPERLINK("https://net.jogtar.hu/jogszabaly?docid=a2400418.kor#pr788id","Jogtár megnyitása")</f>
        <v>Jogtár megnyitása</v>
      </c>
    </row>
    <row r="2113" customFormat="false" ht="38" hidden="false" customHeight="true" outlineLevel="0" collapsed="false">
      <c r="A2113" s="15" t="s">
        <v>7305</v>
      </c>
      <c r="B2113" s="15" t="s">
        <v>1471</v>
      </c>
      <c r="C2113" s="15" t="s">
        <v>7306</v>
      </c>
      <c r="D2113" s="15" t="s">
        <v>7307</v>
      </c>
      <c r="E2113" s="16" t="str">
        <f aca="false">HYPERLINK("#'Forrásszöveg'!A"&amp;(MATCH("VHR-S0765",Forrásszöveg!$A$6:$A$2497,0)+5),"77. § (1) eleje")</f>
        <v>77. § (1) eleje</v>
      </c>
      <c r="F2113" s="16" t="str">
        <f aca="false">HYPERLINK("https://net.jogtar.hu/jogszabaly?docid=a2400418.kor#pr789id","Jogtár megnyitása")</f>
        <v>Jogtár megnyitása</v>
      </c>
    </row>
    <row r="2114" customFormat="false" ht="34" hidden="false" customHeight="true" outlineLevel="0" collapsed="false">
      <c r="A2114" s="15" t="s">
        <v>7308</v>
      </c>
      <c r="B2114" s="15" t="s">
        <v>1471</v>
      </c>
      <c r="C2114" s="15" t="s">
        <v>7309</v>
      </c>
      <c r="D2114" s="15" t="s">
        <v>7310</v>
      </c>
      <c r="E2114" s="16" t="str">
        <f aca="false">HYPERLINK("#'Forrásszöveg'!A"&amp;(MATCH("VHR-S0765",Forrásszöveg!$A$6:$A$2497,0)+5),"77. § (1) eleje")</f>
        <v>77. § (1) eleje</v>
      </c>
      <c r="F2114" s="16" t="str">
        <f aca="false">HYPERLINK("https://net.jogtar.hu/jogszabaly?docid=a2400418.kor#pr790id","Jogtár megnyitása")</f>
        <v>Jogtár megnyitása</v>
      </c>
    </row>
    <row r="2115" customFormat="false" ht="52" hidden="false" customHeight="true" outlineLevel="0" collapsed="false">
      <c r="A2115" s="15" t="s">
        <v>7311</v>
      </c>
      <c r="B2115" s="15" t="s">
        <v>1471</v>
      </c>
      <c r="C2115" s="15" t="s">
        <v>4582</v>
      </c>
      <c r="D2115" s="15" t="s">
        <v>155</v>
      </c>
      <c r="E2115" s="16" t="str">
        <f aca="false">HYPERLINK("#'Forrásszöveg'!A"&amp;(MATCH("VHR-S0791",Forrásszöveg!$A$6:$A$2497,0)+5),"77. § (2) eleje")</f>
        <v>77. § (2) eleje</v>
      </c>
      <c r="F2115" s="16" t="str">
        <f aca="false">HYPERLINK("https://net.jogtar.hu/jogszabaly?docid=a2400418.kor#pr791id","Jogtár megnyitása")</f>
        <v>Jogtár megnyitása</v>
      </c>
    </row>
    <row r="2116" customFormat="false" ht="66" hidden="false" customHeight="true" outlineLevel="0" collapsed="false">
      <c r="A2116" s="15" t="s">
        <v>7312</v>
      </c>
      <c r="B2116" s="15" t="s">
        <v>1471</v>
      </c>
      <c r="C2116" s="15" t="s">
        <v>4585</v>
      </c>
      <c r="D2116" s="15" t="s">
        <v>158</v>
      </c>
      <c r="E2116" s="16" t="str">
        <f aca="false">HYPERLINK("#'Forrásszöveg'!A"&amp;(MATCH("VHR-S0792",Forrásszöveg!$A$6:$A$2497,0)+5),"77. § (3) eleje")</f>
        <v>77. § (3) eleje</v>
      </c>
      <c r="F2116" s="16" t="str">
        <f aca="false">HYPERLINK("https://net.jogtar.hu/jogszabaly?docid=a2400418.kor#pr792id","Jogtár megnyitása")</f>
        <v>Jogtár megnyitása</v>
      </c>
    </row>
    <row r="2117" customFormat="false" ht="52" hidden="false" customHeight="true" outlineLevel="0" collapsed="false">
      <c r="A2117" s="15" t="s">
        <v>7313</v>
      </c>
      <c r="B2117" s="15" t="s">
        <v>1471</v>
      </c>
      <c r="C2117" s="15" t="s">
        <v>4588</v>
      </c>
      <c r="D2117" s="15" t="s">
        <v>161</v>
      </c>
      <c r="E2117" s="16" t="str">
        <f aca="false">HYPERLINK("#'Forrásszöveg'!A"&amp;(MATCH("VHR-S0793",Forrásszöveg!$A$6:$A$2497,0)+5),"77. § (4) eleje")</f>
        <v>77. § (4) eleje</v>
      </c>
      <c r="F2117" s="16" t="str">
        <f aca="false">HYPERLINK("https://net.jogtar.hu/jogszabaly?docid=a2400418.kor#pr793id","Jogtár megnyitása")</f>
        <v>Jogtár megnyitása</v>
      </c>
    </row>
    <row r="2118" customFormat="false" ht="80" hidden="false" customHeight="true" outlineLevel="0" collapsed="false">
      <c r="A2118" s="15" t="s">
        <v>7314</v>
      </c>
      <c r="B2118" s="15" t="s">
        <v>1471</v>
      </c>
      <c r="C2118" s="15" t="s">
        <v>4597</v>
      </c>
      <c r="D2118" s="15" t="s">
        <v>7315</v>
      </c>
      <c r="E2118" s="16" t="str">
        <f aca="false">HYPERLINK("#'Forrásszöveg'!A"&amp;(MATCH("VHR-S0794",Forrásszöveg!$A$6:$A$2497,0)+5),"78. § (1) eleje")</f>
        <v>78. § (1) eleje</v>
      </c>
      <c r="F2118" s="16" t="str">
        <f aca="false">HYPERLINK("https://net.jogtar.hu/jogszabaly?docid=a2400418.kor#pr794id","Jogtár megnyitása")</f>
        <v>Jogtár megnyitása</v>
      </c>
    </row>
    <row r="2119" customFormat="false" ht="38" hidden="false" customHeight="true" outlineLevel="0" collapsed="false">
      <c r="A2119" s="15" t="s">
        <v>7316</v>
      </c>
      <c r="B2119" s="15" t="s">
        <v>1471</v>
      </c>
      <c r="C2119" s="15" t="s">
        <v>4611</v>
      </c>
      <c r="D2119" s="15" t="s">
        <v>7317</v>
      </c>
      <c r="E2119" s="16" t="str">
        <f aca="false">HYPERLINK("#'Forrásszöveg'!A"&amp;(MATCH("VHR-S0795",Forrásszöveg!$A$6:$A$2497,0)+5),"78. § (2) eleje")</f>
        <v>78. § (2) eleje</v>
      </c>
      <c r="F2119" s="16" t="str">
        <f aca="false">HYPERLINK("https://net.jogtar.hu/jogszabaly?docid=a2400418.kor#pr795id","Jogtár megnyitása")</f>
        <v>Jogtár megnyitása</v>
      </c>
    </row>
    <row r="2120" customFormat="false" ht="34" hidden="false" customHeight="true" outlineLevel="0" collapsed="false">
      <c r="A2120" s="15" t="s">
        <v>7318</v>
      </c>
      <c r="B2120" s="15" t="s">
        <v>1471</v>
      </c>
      <c r="C2120" s="15" t="s">
        <v>4614</v>
      </c>
      <c r="D2120" s="15" t="s">
        <v>7319</v>
      </c>
      <c r="E2120" s="16" t="str">
        <f aca="false">HYPERLINK("#'Forrásszöveg'!A"&amp;(MATCH("VHR-S0796",Forrásszöveg!$A$6:$A$2497,0)+5),"78. § (3) eleje")</f>
        <v>78. § (3) eleje</v>
      </c>
      <c r="F2120" s="16" t="str">
        <f aca="false">HYPERLINK("https://net.jogtar.hu/jogszabaly?docid=a2400418.kor#pr796id","Jogtár megnyitása")</f>
        <v>Jogtár megnyitása</v>
      </c>
    </row>
    <row r="2121" customFormat="false" ht="38" hidden="false" customHeight="true" outlineLevel="0" collapsed="false">
      <c r="A2121" s="15" t="s">
        <v>7320</v>
      </c>
      <c r="B2121" s="15" t="s">
        <v>1471</v>
      </c>
      <c r="C2121" s="15" t="s">
        <v>1502</v>
      </c>
      <c r="D2121" s="15" t="s">
        <v>1502</v>
      </c>
      <c r="E2121" s="16" t="str">
        <f aca="false">HYPERLINK("#'Forrásszöveg'!A"&amp;(MATCH("VHR-S0794",Forrásszöveg!$A$6:$A$2497,0)+5),"78. § eleje")</f>
        <v>78. § eleje</v>
      </c>
      <c r="F2121" s="16" t="str">
        <f aca="false">HYPERLINK("https://net.jogtar.hu/jogszabaly?docid=a2400418.kor#pr797id","Jogtár megnyitása")</f>
        <v>Jogtár megnyitása</v>
      </c>
    </row>
    <row r="2122" customFormat="false" ht="66" hidden="false" customHeight="true" outlineLevel="0" collapsed="false">
      <c r="A2122" s="15" t="s">
        <v>7321</v>
      </c>
      <c r="B2122" s="15" t="s">
        <v>1471</v>
      </c>
      <c r="C2122" s="15" t="s">
        <v>4617</v>
      </c>
      <c r="D2122" s="15" t="s">
        <v>7322</v>
      </c>
      <c r="E2122" s="16" t="str">
        <f aca="false">HYPERLINK("#'Forrásszöveg'!A"&amp;(MATCH("VHR-S0798",Forrásszöveg!$A$6:$A$2497,0)+5),"79. § (1) eleje")</f>
        <v>79. § (1) eleje</v>
      </c>
      <c r="F2122" s="16" t="str">
        <f aca="false">HYPERLINK("https://net.jogtar.hu/jogszabaly?docid=a2400418.kor#pr798id","Jogtár megnyitása")</f>
        <v>Jogtár megnyitása</v>
      </c>
    </row>
    <row r="2123" customFormat="false" ht="34" hidden="false" customHeight="true" outlineLevel="0" collapsed="false">
      <c r="A2123" s="15" t="s">
        <v>7323</v>
      </c>
      <c r="B2123" s="15" t="s">
        <v>1471</v>
      </c>
      <c r="C2123" s="15" t="s">
        <v>4620</v>
      </c>
      <c r="D2123" s="15" t="s">
        <v>7324</v>
      </c>
      <c r="E2123" s="16" t="str">
        <f aca="false">HYPERLINK("#'Forrásszöveg'!A"&amp;(MATCH("VHR-S0799",Forrásszöveg!$A$6:$A$2497,0)+5),"79. § (2) eleje")</f>
        <v>79. § (2) eleje</v>
      </c>
      <c r="F2123" s="16" t="str">
        <f aca="false">HYPERLINK("https://net.jogtar.hu/jogszabaly?docid=a2400418.kor#pr799id","Jogtár megnyitása")</f>
        <v>Jogtár megnyitása</v>
      </c>
    </row>
    <row r="2124" customFormat="false" ht="52" hidden="false" customHeight="true" outlineLevel="0" collapsed="false">
      <c r="A2124" s="15" t="s">
        <v>7325</v>
      </c>
      <c r="B2124" s="15" t="s">
        <v>1471</v>
      </c>
      <c r="C2124" s="15" t="s">
        <v>4629</v>
      </c>
      <c r="D2124" s="15" t="s">
        <v>7326</v>
      </c>
      <c r="E2124" s="16" t="str">
        <f aca="false">HYPERLINK("#'Forrásszöveg'!A"&amp;(MATCH("VHR-S0800",Forrásszöveg!$A$6:$A$2497,0)+5),"80. § (1) eleje")</f>
        <v>80. § (1) eleje</v>
      </c>
      <c r="F2124" s="16" t="str">
        <f aca="false">HYPERLINK("https://net.jogtar.hu/jogszabaly?docid=a2400418.kor#pr800id","Jogtár megnyitása")</f>
        <v>Jogtár megnyitása</v>
      </c>
    </row>
    <row r="2125" customFormat="false" ht="66" hidden="false" customHeight="true" outlineLevel="0" collapsed="false">
      <c r="A2125" s="15" t="s">
        <v>7327</v>
      </c>
      <c r="B2125" s="15" t="s">
        <v>1471</v>
      </c>
      <c r="C2125" s="15" t="s">
        <v>4632</v>
      </c>
      <c r="D2125" s="15" t="s">
        <v>7328</v>
      </c>
      <c r="E2125" s="16" t="str">
        <f aca="false">HYPERLINK("#'Forrásszöveg'!A"&amp;(MATCH("VHR-S0801",Forrásszöveg!$A$6:$A$2497,0)+5),"80. § (2) eleje")</f>
        <v>80. § (2) eleje</v>
      </c>
      <c r="F2125" s="16" t="str">
        <f aca="false">HYPERLINK("https://net.jogtar.hu/jogszabaly?docid=a2400418.kor#pr801id","Jogtár megnyitása")</f>
        <v>Jogtár megnyitása</v>
      </c>
    </row>
    <row r="2126" customFormat="false" ht="66" hidden="false" customHeight="true" outlineLevel="0" collapsed="false">
      <c r="A2126" s="15" t="s">
        <v>7329</v>
      </c>
      <c r="B2126" s="15" t="s">
        <v>1471</v>
      </c>
      <c r="C2126" s="15" t="s">
        <v>7330</v>
      </c>
      <c r="D2126" s="15" t="s">
        <v>7331</v>
      </c>
      <c r="E2126" s="16" t="str">
        <f aca="false">HYPERLINK("#'Forrásszöveg'!A"&amp;(MATCH("VHR-S0802",Forrásszöveg!$A$6:$A$2497,0)+5),"80. § (3) eleje")</f>
        <v>80. § (3) eleje</v>
      </c>
      <c r="F2126" s="16" t="str">
        <f aca="false">HYPERLINK("https://net.jogtar.hu/jogszabaly?docid=a2400418.kor#pr802id","Jogtár megnyitása")</f>
        <v>Jogtár megnyitása</v>
      </c>
    </row>
    <row r="2127" customFormat="false" ht="34" hidden="false" customHeight="true" outlineLevel="0" collapsed="false">
      <c r="A2127" s="15" t="s">
        <v>7332</v>
      </c>
      <c r="B2127" s="15" t="s">
        <v>1471</v>
      </c>
      <c r="C2127" s="15" t="s">
        <v>4772</v>
      </c>
      <c r="D2127" s="15" t="s">
        <v>7333</v>
      </c>
      <c r="E2127" s="16" t="str">
        <f aca="false">HYPERLINK("#'Forrásszöveg'!A"&amp;(MATCH("VHR-S0803",Forrásszöveg!$A$6:$A$2497,0)+5),"81. § (1) eleje")</f>
        <v>81. § (1) eleje</v>
      </c>
      <c r="F2127" s="16" t="str">
        <f aca="false">HYPERLINK("https://net.jogtar.hu/jogszabaly?docid=a2400418.kor#pr803id","Jogtár megnyitása")</f>
        <v>Jogtár megnyitása</v>
      </c>
    </row>
    <row r="2128" customFormat="false" ht="38" hidden="false" customHeight="true" outlineLevel="0" collapsed="false">
      <c r="A2128" s="15" t="s">
        <v>7334</v>
      </c>
      <c r="B2128" s="15" t="s">
        <v>1471</v>
      </c>
      <c r="C2128" s="15" t="s">
        <v>4805</v>
      </c>
      <c r="D2128" s="15" t="s">
        <v>7335</v>
      </c>
      <c r="E2128" s="16" t="str">
        <f aca="false">HYPERLINK("#'Forrásszöveg'!A"&amp;(MATCH("VHR-S0804",Forrásszöveg!$A$6:$A$2497,0)+5),"81. § (2) eleje")</f>
        <v>81. § (2) eleje</v>
      </c>
      <c r="F2128" s="16" t="str">
        <f aca="false">HYPERLINK("https://net.jogtar.hu/jogszabaly?docid=a2400418.kor#pr804id","Jogtár megnyitása")</f>
        <v>Jogtár megnyitása</v>
      </c>
    </row>
    <row r="2129" customFormat="false" ht="52" hidden="false" customHeight="true" outlineLevel="0" collapsed="false">
      <c r="A2129" s="15" t="s">
        <v>7336</v>
      </c>
      <c r="B2129" s="15" t="s">
        <v>1471</v>
      </c>
      <c r="C2129" s="15" t="s">
        <v>4886</v>
      </c>
      <c r="D2129" s="15" t="s">
        <v>7337</v>
      </c>
      <c r="E2129" s="16" t="str">
        <f aca="false">HYPERLINK("#'Forrásszöveg'!A"&amp;(MATCH("VHR-S0805",Forrásszöveg!$A$6:$A$2497,0)+5),"81. § (3) eleje")</f>
        <v>81. § (3) eleje</v>
      </c>
      <c r="F2129" s="16" t="str">
        <f aca="false">HYPERLINK("https://net.jogtar.hu/jogszabaly?docid=a2400418.kor#pr805id","Jogtár megnyitása")</f>
        <v>Jogtár megnyitása</v>
      </c>
    </row>
    <row r="2130" customFormat="false" ht="38" hidden="false" customHeight="true" outlineLevel="0" collapsed="false">
      <c r="A2130" s="15" t="s">
        <v>7338</v>
      </c>
      <c r="B2130" s="15" t="s">
        <v>1471</v>
      </c>
      <c r="C2130" s="15" t="s">
        <v>4901</v>
      </c>
      <c r="D2130" s="15" t="s">
        <v>7339</v>
      </c>
      <c r="E2130" s="16" t="str">
        <f aca="false">HYPERLINK("#'Forrásszöveg'!A"&amp;(MATCH("VHR-S0806",Forrásszöveg!$A$6:$A$2497,0)+5),"81. § (4) eleje")</f>
        <v>81. § (4) eleje</v>
      </c>
      <c r="F2130" s="16" t="str">
        <f aca="false">HYPERLINK("https://net.jogtar.hu/jogszabaly?docid=a2400418.kor#pr806id","Jogtár megnyitása")</f>
        <v>Jogtár megnyitása</v>
      </c>
    </row>
    <row r="2131" customFormat="false" ht="66" hidden="false" customHeight="true" outlineLevel="0" collapsed="false">
      <c r="A2131" s="15" t="s">
        <v>7340</v>
      </c>
      <c r="B2131" s="15" t="s">
        <v>1471</v>
      </c>
      <c r="C2131" s="15" t="s">
        <v>4904</v>
      </c>
      <c r="D2131" s="15" t="s">
        <v>7341</v>
      </c>
      <c r="E2131" s="16" t="str">
        <f aca="false">HYPERLINK("#'Forrásszöveg'!A"&amp;(MATCH("VHR-S0807",Forrásszöveg!$A$6:$A$2497,0)+5),"81. § (5) eleje")</f>
        <v>81. § (5) eleje</v>
      </c>
      <c r="F2131" s="16" t="str">
        <f aca="false">HYPERLINK("https://net.jogtar.hu/jogszabaly?docid=a2400418.kor#pr807id","Jogtár megnyitása")</f>
        <v>Jogtár megnyitása</v>
      </c>
    </row>
    <row r="2132" customFormat="false" ht="34" hidden="false" customHeight="true" outlineLevel="0" collapsed="false">
      <c r="A2132" s="15" t="s">
        <v>7342</v>
      </c>
      <c r="B2132" s="15" t="s">
        <v>1471</v>
      </c>
      <c r="C2132" s="15" t="s">
        <v>4971</v>
      </c>
      <c r="D2132" s="15" t="s">
        <v>7343</v>
      </c>
      <c r="E2132" s="16" t="str">
        <f aca="false">HYPERLINK("#'Forrásszöveg'!A"&amp;(MATCH("VHR-S0808",Forrásszöveg!$A$6:$A$2497,0)+5),"82. § (1) eleje")</f>
        <v>82. § (1) eleje</v>
      </c>
      <c r="F2132" s="16" t="str">
        <f aca="false">HYPERLINK("https://net.jogtar.hu/jogszabaly?docid=a2400418.kor#pr808id","Jogtár megnyitása")</f>
        <v>Jogtár megnyitása</v>
      </c>
    </row>
    <row r="2133" customFormat="false" ht="34" hidden="false" customHeight="true" outlineLevel="0" collapsed="false">
      <c r="A2133" s="15" t="s">
        <v>7344</v>
      </c>
      <c r="B2133" s="15" t="s">
        <v>1471</v>
      </c>
      <c r="C2133" s="15" t="s">
        <v>7345</v>
      </c>
      <c r="D2133" s="15" t="s">
        <v>7346</v>
      </c>
      <c r="E2133" s="16" t="str">
        <f aca="false">HYPERLINK("#'Forrásszöveg'!A"&amp;(MATCH("VHR-S0808",Forrásszöveg!$A$6:$A$2497,0)+5),"82. § (1) eleje")</f>
        <v>82. § (1) eleje</v>
      </c>
      <c r="F2133" s="16" t="str">
        <f aca="false">HYPERLINK("https://net.jogtar.hu/jogszabaly?docid=a2400418.kor#pr809id","Jogtár megnyitása")</f>
        <v>Jogtár megnyitása</v>
      </c>
    </row>
    <row r="2134" customFormat="false" ht="34" hidden="false" customHeight="true" outlineLevel="0" collapsed="false">
      <c r="A2134" s="15" t="s">
        <v>7347</v>
      </c>
      <c r="B2134" s="15" t="s">
        <v>1471</v>
      </c>
      <c r="C2134" s="15" t="s">
        <v>7348</v>
      </c>
      <c r="D2134" s="15" t="s">
        <v>7349</v>
      </c>
      <c r="E2134" s="16" t="str">
        <f aca="false">HYPERLINK("#'Forrásszöveg'!A"&amp;(MATCH("VHR-S0808",Forrásszöveg!$A$6:$A$2497,0)+5),"82. § (1) eleje")</f>
        <v>82. § (1) eleje</v>
      </c>
      <c r="F2134" s="16" t="str">
        <f aca="false">HYPERLINK("https://net.jogtar.hu/jogszabaly?docid=a2400418.kor#pr810id","Jogtár megnyitása")</f>
        <v>Jogtár megnyitása</v>
      </c>
    </row>
    <row r="2135" customFormat="false" ht="34" hidden="false" customHeight="true" outlineLevel="0" collapsed="false">
      <c r="A2135" s="15" t="s">
        <v>7350</v>
      </c>
      <c r="B2135" s="15" t="s">
        <v>1471</v>
      </c>
      <c r="C2135" s="15" t="s">
        <v>7351</v>
      </c>
      <c r="D2135" s="15" t="s">
        <v>7352</v>
      </c>
      <c r="E2135" s="16" t="str">
        <f aca="false">HYPERLINK("#'Forrásszöveg'!A"&amp;(MATCH("VHR-S0808",Forrásszöveg!$A$6:$A$2497,0)+5),"82. § (1) eleje")</f>
        <v>82. § (1) eleje</v>
      </c>
      <c r="F2135" s="16" t="str">
        <f aca="false">HYPERLINK("https://net.jogtar.hu/jogszabaly?docid=a2400418.kor#pr811id","Jogtár megnyitása")</f>
        <v>Jogtár megnyitása</v>
      </c>
    </row>
    <row r="2136" customFormat="false" ht="52" hidden="false" customHeight="true" outlineLevel="0" collapsed="false">
      <c r="A2136" s="15" t="s">
        <v>7353</v>
      </c>
      <c r="B2136" s="15" t="s">
        <v>1471</v>
      </c>
      <c r="C2136" s="15" t="s">
        <v>7354</v>
      </c>
      <c r="D2136" s="15" t="s">
        <v>7355</v>
      </c>
      <c r="E2136" s="16" t="str">
        <f aca="false">HYPERLINK("#'Forrásszöveg'!A"&amp;(MATCH("VHR-S0808",Forrásszöveg!$A$6:$A$2497,0)+5),"82. § (1) eleje")</f>
        <v>82. § (1) eleje</v>
      </c>
      <c r="F2136" s="16" t="str">
        <f aca="false">HYPERLINK("https://net.jogtar.hu/jogszabaly?docid=a2400418.kor#pr812id","Jogtár megnyitása")</f>
        <v>Jogtár megnyitása</v>
      </c>
    </row>
    <row r="2137" customFormat="false" ht="52" hidden="false" customHeight="true" outlineLevel="0" collapsed="false">
      <c r="A2137" s="15" t="s">
        <v>7356</v>
      </c>
      <c r="B2137" s="15" t="s">
        <v>1471</v>
      </c>
      <c r="C2137" s="15" t="s">
        <v>4974</v>
      </c>
      <c r="D2137" s="15" t="s">
        <v>7357</v>
      </c>
      <c r="E2137" s="16" t="str">
        <f aca="false">HYPERLINK("#'Forrásszöveg'!A"&amp;(MATCH("VHR-S0813",Forrásszöveg!$A$6:$A$2497,0)+5),"82. § (2) eleje")</f>
        <v>82. § (2) eleje</v>
      </c>
      <c r="F2137" s="16" t="str">
        <f aca="false">HYPERLINK("https://net.jogtar.hu/jogszabaly?docid=a2400418.kor#pr813id","Jogtár megnyitása")</f>
        <v>Jogtár megnyitása</v>
      </c>
    </row>
    <row r="2138" customFormat="false" ht="38" hidden="false" customHeight="true" outlineLevel="0" collapsed="false">
      <c r="A2138" s="15" t="s">
        <v>7358</v>
      </c>
      <c r="B2138" s="15" t="s">
        <v>1471</v>
      </c>
      <c r="C2138" s="15" t="s">
        <v>4978</v>
      </c>
      <c r="D2138" s="15" t="s">
        <v>7359</v>
      </c>
      <c r="E2138" s="16" t="str">
        <f aca="false">HYPERLINK("#'Forrásszöveg'!A"&amp;(MATCH("VHR-S0814",Forrásszöveg!$A$6:$A$2497,0)+5),"83. § (1) eleje")</f>
        <v>83. § (1) eleje</v>
      </c>
      <c r="F2138" s="16" t="str">
        <f aca="false">HYPERLINK("https://net.jogtar.hu/jogszabaly?docid=a2400418.kor#pr814id","Jogtár megnyitása")</f>
        <v>Jogtár megnyitása</v>
      </c>
    </row>
    <row r="2139" customFormat="false" ht="34" hidden="false" customHeight="true" outlineLevel="0" collapsed="false">
      <c r="A2139" s="15" t="s">
        <v>7360</v>
      </c>
      <c r="B2139" s="15" t="s">
        <v>1471</v>
      </c>
      <c r="C2139" s="15" t="s">
        <v>7361</v>
      </c>
      <c r="D2139" s="15" t="s">
        <v>7362</v>
      </c>
      <c r="E2139" s="16" t="str">
        <f aca="false">HYPERLINK("#'Forrásszöveg'!A"&amp;(MATCH("VHR-S0814",Forrásszöveg!$A$6:$A$2497,0)+5),"83. § (1) eleje")</f>
        <v>83. § (1) eleje</v>
      </c>
      <c r="F2139" s="16" t="str">
        <f aca="false">HYPERLINK("https://net.jogtar.hu/jogszabaly?docid=a2400418.kor#pr815id","Jogtár megnyitása")</f>
        <v>Jogtár megnyitása</v>
      </c>
    </row>
    <row r="2140" customFormat="false" ht="38" hidden="false" customHeight="true" outlineLevel="0" collapsed="false">
      <c r="A2140" s="15" t="s">
        <v>7363</v>
      </c>
      <c r="B2140" s="15" t="s">
        <v>1471</v>
      </c>
      <c r="C2140" s="15" t="s">
        <v>7364</v>
      </c>
      <c r="D2140" s="15" t="s">
        <v>7365</v>
      </c>
      <c r="E2140" s="16" t="str">
        <f aca="false">HYPERLINK("#'Forrásszöveg'!A"&amp;(MATCH("VHR-S0814",Forrásszöveg!$A$6:$A$2497,0)+5),"83. § (1) eleje")</f>
        <v>83. § (1) eleje</v>
      </c>
      <c r="F2140" s="16" t="str">
        <f aca="false">HYPERLINK("https://net.jogtar.hu/jogszabaly?docid=a2400418.kor#pr816id","Jogtár megnyitása")</f>
        <v>Jogtár megnyitása</v>
      </c>
    </row>
    <row r="2141" customFormat="false" ht="38" hidden="false" customHeight="true" outlineLevel="0" collapsed="false">
      <c r="A2141" s="15" t="s">
        <v>7366</v>
      </c>
      <c r="B2141" s="15" t="s">
        <v>1471</v>
      </c>
      <c r="C2141" s="15" t="s">
        <v>7367</v>
      </c>
      <c r="D2141" s="15" t="s">
        <v>7368</v>
      </c>
      <c r="E2141" s="16" t="str">
        <f aca="false">HYPERLINK("#'Forrásszöveg'!A"&amp;(MATCH("VHR-S0814",Forrásszöveg!$A$6:$A$2497,0)+5),"83. § (1) eleje")</f>
        <v>83. § (1) eleje</v>
      </c>
      <c r="F2141" s="16" t="str">
        <f aca="false">HYPERLINK("https://net.jogtar.hu/jogszabaly?docid=a2400418.kor#pr817id","Jogtár megnyitása")</f>
        <v>Jogtár megnyitása</v>
      </c>
    </row>
    <row r="2142" customFormat="false" ht="34" hidden="false" customHeight="true" outlineLevel="0" collapsed="false">
      <c r="A2142" s="15" t="s">
        <v>7369</v>
      </c>
      <c r="B2142" s="15" t="s">
        <v>1471</v>
      </c>
      <c r="C2142" s="15" t="s">
        <v>7370</v>
      </c>
      <c r="D2142" s="15" t="s">
        <v>7371</v>
      </c>
      <c r="E2142" s="16" t="str">
        <f aca="false">HYPERLINK("#'Forrásszöveg'!A"&amp;(MATCH("VHR-S0814",Forrásszöveg!$A$6:$A$2497,0)+5),"83. § (1) eleje")</f>
        <v>83. § (1) eleje</v>
      </c>
      <c r="F2142" s="16" t="str">
        <f aca="false">HYPERLINK("https://net.jogtar.hu/jogszabaly?docid=a2400418.kor#pr818id","Jogtár megnyitása")</f>
        <v>Jogtár megnyitása</v>
      </c>
    </row>
    <row r="2143" customFormat="false" ht="38" hidden="false" customHeight="true" outlineLevel="0" collapsed="false">
      <c r="A2143" s="15" t="s">
        <v>7372</v>
      </c>
      <c r="B2143" s="15" t="s">
        <v>1471</v>
      </c>
      <c r="C2143" s="15" t="s">
        <v>7373</v>
      </c>
      <c r="D2143" s="15" t="s">
        <v>7374</v>
      </c>
      <c r="E2143" s="16" t="str">
        <f aca="false">HYPERLINK("#'Forrásszöveg'!A"&amp;(MATCH("VHR-S0814",Forrásszöveg!$A$6:$A$2497,0)+5),"83. § (1) eleje")</f>
        <v>83. § (1) eleje</v>
      </c>
      <c r="F2143" s="16" t="str">
        <f aca="false">HYPERLINK("https://net.jogtar.hu/jogszabaly?docid=a2400418.kor#pr819id","Jogtár megnyitása")</f>
        <v>Jogtár megnyitása</v>
      </c>
    </row>
    <row r="2144" customFormat="false" ht="38" hidden="false" customHeight="true" outlineLevel="0" collapsed="false">
      <c r="A2144" s="15" t="s">
        <v>7375</v>
      </c>
      <c r="B2144" s="15" t="s">
        <v>1471</v>
      </c>
      <c r="C2144" s="15" t="s">
        <v>7376</v>
      </c>
      <c r="D2144" s="15" t="s">
        <v>7377</v>
      </c>
      <c r="E2144" s="16" t="str">
        <f aca="false">HYPERLINK("#'Forrásszöveg'!A"&amp;(MATCH("VHR-S0814",Forrásszöveg!$A$6:$A$2497,0)+5),"83. § (1) eleje")</f>
        <v>83. § (1) eleje</v>
      </c>
      <c r="F2144" s="16" t="str">
        <f aca="false">HYPERLINK("https://net.jogtar.hu/jogszabaly?docid=a2400418.kor#pr820id","Jogtár megnyitása")</f>
        <v>Jogtár megnyitása</v>
      </c>
    </row>
    <row r="2145" customFormat="false" ht="38" hidden="false" customHeight="true" outlineLevel="0" collapsed="false">
      <c r="A2145" s="15" t="s">
        <v>7378</v>
      </c>
      <c r="B2145" s="15" t="s">
        <v>1471</v>
      </c>
      <c r="C2145" s="15" t="s">
        <v>7379</v>
      </c>
      <c r="D2145" s="15" t="s">
        <v>7380</v>
      </c>
      <c r="E2145" s="16" t="str">
        <f aca="false">HYPERLINK("#'Forrásszöveg'!A"&amp;(MATCH("VHR-S0814",Forrásszöveg!$A$6:$A$2497,0)+5),"83. § (1) eleje")</f>
        <v>83. § (1) eleje</v>
      </c>
      <c r="F2145" s="16" t="str">
        <f aca="false">HYPERLINK("https://net.jogtar.hu/jogszabaly?docid=a2400418.kor#pr821id","Jogtár megnyitása")</f>
        <v>Jogtár megnyitása</v>
      </c>
    </row>
    <row r="2146" customFormat="false" ht="52" hidden="false" customHeight="true" outlineLevel="0" collapsed="false">
      <c r="A2146" s="15" t="s">
        <v>7381</v>
      </c>
      <c r="B2146" s="15" t="s">
        <v>1471</v>
      </c>
      <c r="C2146" s="15" t="s">
        <v>4980</v>
      </c>
      <c r="D2146" s="15" t="s">
        <v>7382</v>
      </c>
      <c r="E2146" s="16" t="str">
        <f aca="false">HYPERLINK("#'Forrásszöveg'!A"&amp;(MATCH("VHR-S0822",Forrásszöveg!$A$6:$A$2497,0)+5),"83. § (2) eleje")</f>
        <v>83. § (2) eleje</v>
      </c>
      <c r="F2146" s="16" t="str">
        <f aca="false">HYPERLINK("https://net.jogtar.hu/jogszabaly?docid=a2400418.kor#pr822id","Jogtár megnyitása")</f>
        <v>Jogtár megnyitása</v>
      </c>
    </row>
    <row r="2147" customFormat="false" ht="52" hidden="false" customHeight="true" outlineLevel="0" collapsed="false">
      <c r="A2147" s="15" t="s">
        <v>7383</v>
      </c>
      <c r="B2147" s="15" t="s">
        <v>1471</v>
      </c>
      <c r="C2147" s="15" t="s">
        <v>4989</v>
      </c>
      <c r="D2147" s="15" t="s">
        <v>7384</v>
      </c>
      <c r="E2147" s="16" t="str">
        <f aca="false">HYPERLINK("#'Forrásszöveg'!A"&amp;(MATCH("VHR-S0823",Forrásszöveg!$A$6:$A$2497,0)+5),"83. § (3) eleje")</f>
        <v>83. § (3) eleje</v>
      </c>
      <c r="F2147" s="16" t="str">
        <f aca="false">HYPERLINK("https://net.jogtar.hu/jogszabaly?docid=a2400418.kor#pr823id","Jogtár megnyitása")</f>
        <v>Jogtár megnyitása</v>
      </c>
    </row>
    <row r="2148" customFormat="false" ht="66" hidden="false" customHeight="true" outlineLevel="0" collapsed="false">
      <c r="A2148" s="15" t="s">
        <v>7385</v>
      </c>
      <c r="B2148" s="15" t="s">
        <v>1471</v>
      </c>
      <c r="C2148" s="15" t="s">
        <v>4991</v>
      </c>
      <c r="D2148" s="15" t="s">
        <v>7386</v>
      </c>
      <c r="E2148" s="16" t="str">
        <f aca="false">HYPERLINK("#'Forrásszöveg'!A"&amp;(MATCH("VHR-S0824",Forrásszöveg!$A$6:$A$2497,0)+5),"83. § (4) eleje")</f>
        <v>83. § (4) eleje</v>
      </c>
      <c r="F2148" s="16" t="str">
        <f aca="false">HYPERLINK("https://net.jogtar.hu/jogszabaly?docid=a2400418.kor#pr824id","Jogtár megnyitása")</f>
        <v>Jogtár megnyitása</v>
      </c>
    </row>
    <row r="2149" customFormat="false" ht="52" hidden="false" customHeight="true" outlineLevel="0" collapsed="false">
      <c r="A2149" s="15" t="s">
        <v>7387</v>
      </c>
      <c r="B2149" s="15" t="s">
        <v>1471</v>
      </c>
      <c r="C2149" s="15" t="s">
        <v>4994</v>
      </c>
      <c r="D2149" s="15" t="s">
        <v>7388</v>
      </c>
      <c r="E2149" s="16" t="str">
        <f aca="false">HYPERLINK("#'Forrásszöveg'!A"&amp;(MATCH("VHR-S0825",Forrásszöveg!$A$6:$A$2497,0)+5),"83. § (5) eleje")</f>
        <v>83. § (5) eleje</v>
      </c>
      <c r="F2149" s="16" t="str">
        <f aca="false">HYPERLINK("https://net.jogtar.hu/jogszabaly?docid=a2400418.kor#pr825id","Jogtár megnyitása")</f>
        <v>Jogtár megnyitása</v>
      </c>
    </row>
    <row r="2150" customFormat="false" ht="38" hidden="false" customHeight="true" outlineLevel="0" collapsed="false">
      <c r="A2150" s="15" t="s">
        <v>7389</v>
      </c>
      <c r="B2150" s="15" t="s">
        <v>1471</v>
      </c>
      <c r="C2150" s="15" t="s">
        <v>7390</v>
      </c>
      <c r="D2150" s="15" t="s">
        <v>7391</v>
      </c>
      <c r="E2150" s="16" t="str">
        <f aca="false">HYPERLINK("#'Forrásszöveg'!A"&amp;(MATCH("VHR-S0826",Forrásszöveg!$A$6:$A$2497,0)+5),"84. § (1) eleje")</f>
        <v>84. § (1) eleje</v>
      </c>
      <c r="F2150" s="16" t="str">
        <f aca="false">HYPERLINK("https://net.jogtar.hu/jogszabaly?docid=a2400418.kor#pr826id","Jogtár megnyitása")</f>
        <v>Jogtár megnyitása</v>
      </c>
    </row>
    <row r="2151" customFormat="false" ht="38" hidden="false" customHeight="true" outlineLevel="0" collapsed="false">
      <c r="A2151" s="15" t="s">
        <v>7392</v>
      </c>
      <c r="B2151" s="15" t="s">
        <v>1471</v>
      </c>
      <c r="C2151" s="15" t="s">
        <v>7393</v>
      </c>
      <c r="D2151" s="15" t="s">
        <v>7394</v>
      </c>
      <c r="E2151" s="16" t="str">
        <f aca="false">HYPERLINK("#'Forrásszöveg'!A"&amp;(MATCH("VHR-S0827",Forrásszöveg!$A$6:$A$2497,0)+5),"84. § (2) eleje")</f>
        <v>84. § (2) eleje</v>
      </c>
      <c r="F2151" s="16" t="str">
        <f aca="false">HYPERLINK("https://net.jogtar.hu/jogszabaly?docid=a2400418.kor#pr827id","Jogtár megnyitása")</f>
        <v>Jogtár megnyitása</v>
      </c>
    </row>
    <row r="2152" customFormat="false" ht="52" hidden="false" customHeight="true" outlineLevel="0" collapsed="false">
      <c r="A2152" s="15" t="s">
        <v>7395</v>
      </c>
      <c r="B2152" s="15" t="s">
        <v>1471</v>
      </c>
      <c r="C2152" s="15" t="s">
        <v>7396</v>
      </c>
      <c r="D2152" s="15" t="s">
        <v>7397</v>
      </c>
      <c r="E2152" s="16" t="str">
        <f aca="false">HYPERLINK("#'Forrásszöveg'!A"&amp;(MATCH("VHR-S0828",Forrásszöveg!$A$6:$A$2497,0)+5),"84. § (3) eleje")</f>
        <v>84. § (3) eleje</v>
      </c>
      <c r="F2152" s="16" t="str">
        <f aca="false">HYPERLINK("https://net.jogtar.hu/jogszabaly?docid=a2400418.kor#pr828id","Jogtár megnyitása")</f>
        <v>Jogtár megnyitása</v>
      </c>
    </row>
    <row r="2153" customFormat="false" ht="38" hidden="false" customHeight="true" outlineLevel="0" collapsed="false">
      <c r="A2153" s="15" t="s">
        <v>7398</v>
      </c>
      <c r="B2153" s="15" t="s">
        <v>1471</v>
      </c>
      <c r="C2153" s="15" t="s">
        <v>1450</v>
      </c>
      <c r="D2153" s="15" t="s">
        <v>7399</v>
      </c>
      <c r="E2153" s="16" t="str">
        <f aca="false">HYPERLINK("#'Forrásszöveg'!A"&amp;(MATCH("VHR-S0829",Forrásszöveg!$A$6:$A$2497,0)+5),"85. § eleje")</f>
        <v>85. § eleje</v>
      </c>
      <c r="F2153" s="16" t="str">
        <f aca="false">HYPERLINK("https://net.jogtar.hu/jogszabaly?docid=a2400418.kor#pr829id","Jogtár megnyitása")</f>
        <v>Jogtár megnyitása</v>
      </c>
    </row>
    <row r="2154" customFormat="false" ht="38" hidden="false" customHeight="true" outlineLevel="0" collapsed="false">
      <c r="A2154" s="15" t="s">
        <v>7400</v>
      </c>
      <c r="B2154" s="15" t="s">
        <v>1471</v>
      </c>
      <c r="C2154" s="15" t="s">
        <v>7401</v>
      </c>
      <c r="D2154" s="15" t="s">
        <v>7402</v>
      </c>
      <c r="E2154" s="16" t="str">
        <f aca="false">HYPERLINK("#'Forrásszöveg'!A"&amp;(MATCH("VHR-S0829",Forrásszöveg!$A$6:$A$2497,0)+5),"85. § eleje")</f>
        <v>85. § eleje</v>
      </c>
      <c r="F2154" s="16" t="str">
        <f aca="false">HYPERLINK("https://net.jogtar.hu/jogszabaly?docid=a2400418.kor#pr830id","Jogtár megnyitása")</f>
        <v>Jogtár megnyitása</v>
      </c>
    </row>
    <row r="2155" customFormat="false" ht="34" hidden="false" customHeight="true" outlineLevel="0" collapsed="false">
      <c r="A2155" s="15" t="s">
        <v>7403</v>
      </c>
      <c r="B2155" s="15" t="s">
        <v>1471</v>
      </c>
      <c r="C2155" s="15" t="s">
        <v>7404</v>
      </c>
      <c r="D2155" s="15" t="s">
        <v>7405</v>
      </c>
      <c r="E2155" s="16" t="str">
        <f aca="false">HYPERLINK("#'Forrásszöveg'!A"&amp;(MATCH("VHR-S0829",Forrásszöveg!$A$6:$A$2497,0)+5),"85. § eleje")</f>
        <v>85. § eleje</v>
      </c>
      <c r="F2155" s="16" t="str">
        <f aca="false">HYPERLINK("https://net.jogtar.hu/jogszabaly?docid=a2400418.kor#pr831id","Jogtár megnyitása")</f>
        <v>Jogtár megnyitása</v>
      </c>
    </row>
    <row r="2156" customFormat="false" ht="38" hidden="false" customHeight="true" outlineLevel="0" collapsed="false">
      <c r="A2156" s="15" t="s">
        <v>7406</v>
      </c>
      <c r="B2156" s="15" t="s">
        <v>1471</v>
      </c>
      <c r="C2156" s="15" t="s">
        <v>7407</v>
      </c>
      <c r="D2156" s="15" t="s">
        <v>7408</v>
      </c>
      <c r="E2156" s="16" t="str">
        <f aca="false">HYPERLINK("#'Forrásszöveg'!A"&amp;(MATCH("VHR-S0829",Forrásszöveg!$A$6:$A$2497,0)+5),"85. § eleje")</f>
        <v>85. § eleje</v>
      </c>
      <c r="F2156" s="16" t="str">
        <f aca="false">HYPERLINK("https://net.jogtar.hu/jogszabaly?docid=a2400418.kor#pr832id","Jogtár megnyitása")</f>
        <v>Jogtár megnyitása</v>
      </c>
    </row>
    <row r="2157" customFormat="false" ht="34" hidden="false" customHeight="true" outlineLevel="0" collapsed="false">
      <c r="A2157" s="15" t="s">
        <v>7409</v>
      </c>
      <c r="B2157" s="15" t="s">
        <v>1471</v>
      </c>
      <c r="C2157" s="15" t="s">
        <v>7410</v>
      </c>
      <c r="D2157" s="15" t="s">
        <v>7411</v>
      </c>
      <c r="E2157" s="16" t="str">
        <f aca="false">HYPERLINK("#'Forrásszöveg'!A"&amp;(MATCH("VHR-S0829",Forrásszöveg!$A$6:$A$2497,0)+5),"85. § eleje")</f>
        <v>85. § eleje</v>
      </c>
      <c r="F2157" s="16" t="str">
        <f aca="false">HYPERLINK("https://net.jogtar.hu/jogszabaly?docid=a2400418.kor#pr833id","Jogtár megnyitása")</f>
        <v>Jogtár megnyitása</v>
      </c>
    </row>
    <row r="2158" customFormat="false" ht="52" hidden="false" customHeight="true" outlineLevel="0" collapsed="false">
      <c r="A2158" s="15" t="s">
        <v>7412</v>
      </c>
      <c r="B2158" s="15" t="s">
        <v>1471</v>
      </c>
      <c r="C2158" s="15" t="s">
        <v>5008</v>
      </c>
      <c r="D2158" s="15" t="s">
        <v>7413</v>
      </c>
      <c r="E2158" s="16" t="str">
        <f aca="false">HYPERLINK("#'Forrásszöveg'!A"&amp;(MATCH("VHR-S0834",Forrásszöveg!$A$6:$A$2497,0)+5),"86. § (1) eleje")</f>
        <v>86. § (1) eleje</v>
      </c>
      <c r="F2158" s="16" t="str">
        <f aca="false">HYPERLINK("https://net.jogtar.hu/jogszabaly?docid=a2400418.kor#pr834id","Jogtár megnyitása")</f>
        <v>Jogtár megnyitása</v>
      </c>
    </row>
    <row r="2159" customFormat="false" ht="80" hidden="false" customHeight="true" outlineLevel="0" collapsed="false">
      <c r="A2159" s="15" t="s">
        <v>7414</v>
      </c>
      <c r="B2159" s="15" t="s">
        <v>1471</v>
      </c>
      <c r="C2159" s="15" t="s">
        <v>5017</v>
      </c>
      <c r="D2159" s="15" t="s">
        <v>7415</v>
      </c>
      <c r="E2159" s="16" t="str">
        <f aca="false">HYPERLINK("#'Forrásszöveg'!A"&amp;(MATCH("VHR-S0835",Forrásszöveg!$A$6:$A$2497,0)+5),"86. § (2) eleje")</f>
        <v>86. § (2) eleje</v>
      </c>
      <c r="F2159" s="16" t="str">
        <f aca="false">HYPERLINK("https://net.jogtar.hu/jogszabaly?docid=a2400418.kor#pr835id","Jogtár megnyitása")</f>
        <v>Jogtár megnyitása</v>
      </c>
    </row>
    <row r="2160" customFormat="false" ht="38" hidden="false" customHeight="true" outlineLevel="0" collapsed="false">
      <c r="A2160" s="15" t="s">
        <v>7416</v>
      </c>
      <c r="B2160" s="15" t="s">
        <v>1471</v>
      </c>
      <c r="C2160" s="15" t="s">
        <v>7417</v>
      </c>
      <c r="D2160" s="15" t="s">
        <v>7418</v>
      </c>
      <c r="E2160" s="16" t="str">
        <f aca="false">HYPERLINK("#'Forrásszöveg'!A"&amp;(MATCH("VHR-S0836",Forrásszöveg!$A$6:$A$2497,0)+5),"86. § (3) eleje")</f>
        <v>86. § (3) eleje</v>
      </c>
      <c r="F2160" s="16" t="str">
        <f aca="false">HYPERLINK("https://net.jogtar.hu/jogszabaly?docid=a2400418.kor#pr836id","Jogtár megnyitása")</f>
        <v>Jogtár megnyitása</v>
      </c>
    </row>
    <row r="2161" customFormat="false" ht="38" hidden="false" customHeight="true" outlineLevel="0" collapsed="false">
      <c r="A2161" s="15" t="s">
        <v>7419</v>
      </c>
      <c r="B2161" s="15" t="s">
        <v>1471</v>
      </c>
      <c r="C2161" s="15" t="s">
        <v>7420</v>
      </c>
      <c r="D2161" s="15" t="s">
        <v>7421</v>
      </c>
      <c r="E2161" s="16" t="str">
        <f aca="false">HYPERLINK("#'Forrásszöveg'!A"&amp;(MATCH("VHR-S0837",Forrásszöveg!$A$6:$A$2497,0)+5),"87. § (1) eleje")</f>
        <v>87. § (1) eleje</v>
      </c>
      <c r="F2161" s="16" t="str">
        <f aca="false">HYPERLINK("https://net.jogtar.hu/jogszabaly?docid=a2400418.kor#pr837id","Jogtár megnyitása")</f>
        <v>Jogtár megnyitása</v>
      </c>
    </row>
    <row r="2162" customFormat="false" ht="52" hidden="false" customHeight="true" outlineLevel="0" collapsed="false">
      <c r="A2162" s="15" t="s">
        <v>7422</v>
      </c>
      <c r="B2162" s="15" t="s">
        <v>1471</v>
      </c>
      <c r="C2162" s="15" t="s">
        <v>7423</v>
      </c>
      <c r="D2162" s="15" t="s">
        <v>7424</v>
      </c>
      <c r="E2162" s="16" t="str">
        <f aca="false">HYPERLINK("#'Forrásszöveg'!A"&amp;(MATCH("VHR-S0838",Forrásszöveg!$A$6:$A$2497,0)+5),"87. § (2) eleje")</f>
        <v>87. § (2) eleje</v>
      </c>
      <c r="F2162" s="16" t="str">
        <f aca="false">HYPERLINK("https://net.jogtar.hu/jogszabaly?docid=a2400418.kor#pr838id","Jogtár megnyitása")</f>
        <v>Jogtár megnyitása</v>
      </c>
    </row>
    <row r="2163" customFormat="false" ht="38" hidden="false" customHeight="true" outlineLevel="0" collapsed="false">
      <c r="A2163" s="15" t="s">
        <v>7425</v>
      </c>
      <c r="B2163" s="15" t="s">
        <v>1471</v>
      </c>
      <c r="C2163" s="15" t="s">
        <v>1453</v>
      </c>
      <c r="D2163" s="15" t="s">
        <v>7426</v>
      </c>
      <c r="E2163" s="16" t="str">
        <f aca="false">HYPERLINK("#'Forrásszöveg'!A"&amp;(MATCH("VHR-S0839",Forrásszöveg!$A$6:$A$2497,0)+5),"88. § eleje")</f>
        <v>88. § eleje</v>
      </c>
      <c r="F2163" s="16" t="str">
        <f aca="false">HYPERLINK("https://net.jogtar.hu/jogszabaly?docid=a2400418.kor#pr839id","Jogtár megnyitása")</f>
        <v>Jogtár megnyitása</v>
      </c>
    </row>
    <row r="2164" customFormat="false" ht="34" hidden="false" customHeight="true" outlineLevel="0" collapsed="false">
      <c r="A2164" s="15" t="s">
        <v>7427</v>
      </c>
      <c r="B2164" s="15" t="s">
        <v>1471</v>
      </c>
      <c r="C2164" s="15" t="s">
        <v>1454</v>
      </c>
      <c r="D2164" s="15" t="s">
        <v>7428</v>
      </c>
      <c r="E2164" s="16" t="str">
        <f aca="false">HYPERLINK("#'Forrásszöveg'!A"&amp;(MATCH("VHR-S0840",Forrásszöveg!$A$6:$A$2497,0)+5),"89. § eleje")</f>
        <v>89. § eleje</v>
      </c>
      <c r="F2164" s="16" t="str">
        <f aca="false">HYPERLINK("https://net.jogtar.hu/jogszabaly?docid=a2400418.kor#pr840id","Jogtár megnyitása")</f>
        <v>Jogtár megnyitása</v>
      </c>
    </row>
    <row r="2165" customFormat="false" ht="94" hidden="false" customHeight="true" outlineLevel="0" collapsed="false">
      <c r="A2165" s="15" t="s">
        <v>7429</v>
      </c>
      <c r="B2165" s="15" t="s">
        <v>1471</v>
      </c>
      <c r="C2165" s="15" t="s">
        <v>1503</v>
      </c>
      <c r="D2165" s="15" t="s">
        <v>1503</v>
      </c>
      <c r="E2165" s="16" t="str">
        <f aca="false">HYPERLINK("#'Forrásszöveg'!A"&amp;(MATCH("VHR-S0840",Forrásszöveg!$A$6:$A$2497,0)+5),"89. § eleje")</f>
        <v>89. § eleje</v>
      </c>
      <c r="F2165" s="16" t="str">
        <f aca="false">HYPERLINK("https://net.jogtar.hu/jogszabaly?docid=a2400418.kor#pr841id","Jogtár megnyitása")</f>
        <v>Jogtár megnyitása</v>
      </c>
    </row>
    <row r="2166" customFormat="false" ht="66" hidden="false" customHeight="true" outlineLevel="0" collapsed="false">
      <c r="A2166" s="15" t="s">
        <v>7430</v>
      </c>
      <c r="B2166" s="15" t="s">
        <v>1471</v>
      </c>
      <c r="C2166" s="15" t="s">
        <v>5064</v>
      </c>
      <c r="D2166" s="15" t="s">
        <v>7431</v>
      </c>
      <c r="E2166" s="16" t="str">
        <f aca="false">HYPERLINK("#'Forrásszöveg'!A"&amp;(MATCH("VHR-S0842",Forrásszöveg!$A$6:$A$2497,0)+5),"90. § (1) eleje")</f>
        <v>90. § (1) eleje</v>
      </c>
      <c r="F2166" s="16" t="str">
        <f aca="false">HYPERLINK("https://net.jogtar.hu/jogszabaly?docid=a2400418.kor#pr842id","Jogtár megnyitása")</f>
        <v>Jogtár megnyitása</v>
      </c>
    </row>
    <row r="2167" customFormat="false" ht="52" hidden="false" customHeight="true" outlineLevel="0" collapsed="false">
      <c r="A2167" s="15" t="s">
        <v>7432</v>
      </c>
      <c r="B2167" s="15" t="s">
        <v>1471</v>
      </c>
      <c r="C2167" s="15" t="s">
        <v>5067</v>
      </c>
      <c r="D2167" s="15" t="s">
        <v>7433</v>
      </c>
      <c r="E2167" s="16" t="str">
        <f aca="false">HYPERLINK("#'Forrásszöveg'!A"&amp;(MATCH("VHR-S0843",Forrásszöveg!$A$6:$A$2497,0)+5),"90. § (2) eleje")</f>
        <v>90. § (2) eleje</v>
      </c>
      <c r="F2167" s="16" t="str">
        <f aca="false">HYPERLINK("https://net.jogtar.hu/jogszabaly?docid=a2400418.kor#pr843id","Jogtár megnyitása")</f>
        <v>Jogtár megnyitása</v>
      </c>
    </row>
    <row r="2168" customFormat="false" ht="80" hidden="false" customHeight="true" outlineLevel="0" collapsed="false">
      <c r="A2168" s="15" t="s">
        <v>7434</v>
      </c>
      <c r="B2168" s="15" t="s">
        <v>1471</v>
      </c>
      <c r="C2168" s="15" t="s">
        <v>5070</v>
      </c>
      <c r="D2168" s="15" t="s">
        <v>7435</v>
      </c>
      <c r="E2168" s="16" t="str">
        <f aca="false">HYPERLINK("#'Forrásszöveg'!A"&amp;(MATCH("VHR-S0844",Forrásszöveg!$A$6:$A$2497,0)+5),"90. § (3) eleje")</f>
        <v>90. § (3) eleje</v>
      </c>
      <c r="F2168" s="16" t="str">
        <f aca="false">HYPERLINK("https://net.jogtar.hu/jogszabaly?docid=a2400418.kor#pr844id","Jogtár megnyitása")</f>
        <v>Jogtár megnyitása</v>
      </c>
    </row>
    <row r="2169" customFormat="false" ht="34" hidden="false" customHeight="true" outlineLevel="0" collapsed="false">
      <c r="A2169" s="15" t="s">
        <v>7436</v>
      </c>
      <c r="B2169" s="15" t="s">
        <v>1471</v>
      </c>
      <c r="C2169" s="15" t="s">
        <v>4161</v>
      </c>
      <c r="D2169" s="15" t="s">
        <v>4161</v>
      </c>
      <c r="E2169" s="16" t="str">
        <f aca="false">HYPERLINK("#'Forrásszöveg'!A"&amp;(MATCH("VHR-S0842",Forrásszöveg!$A$6:$A$2497,0)+5),"90. § eleje")</f>
        <v>90. § eleje</v>
      </c>
      <c r="F2169" s="16" t="str">
        <f aca="false">HYPERLINK("https://net.jogtar.hu/jogszabaly?docid=a2400418.kor#pr845id","Jogtár megnyitása")</f>
        <v>Jogtár megnyitása</v>
      </c>
    </row>
    <row r="2170" customFormat="false" ht="52" hidden="false" customHeight="true" outlineLevel="0" collapsed="false">
      <c r="A2170" s="15" t="s">
        <v>7437</v>
      </c>
      <c r="B2170" s="15" t="s">
        <v>1471</v>
      </c>
      <c r="C2170" s="15" t="s">
        <v>4388</v>
      </c>
      <c r="D2170" s="15" t="s">
        <v>4388</v>
      </c>
      <c r="E2170" s="16" t="str">
        <f aca="false">HYPERLINK("#'Forrásszöveg'!A"&amp;(MATCH("VHR-S0842",Forrásszöveg!$A$6:$A$2497,0)+5),"90. § eleje")</f>
        <v>90. § eleje</v>
      </c>
      <c r="F2170" s="16" t="str">
        <f aca="false">HYPERLINK("https://net.jogtar.hu/jogszabaly?docid=a2400418.kor#pr846id","Jogtár megnyitása")</f>
        <v>Jogtár megnyitása</v>
      </c>
    </row>
    <row r="2171" customFormat="false" ht="38" hidden="false" customHeight="true" outlineLevel="0" collapsed="false">
      <c r="A2171" s="15" t="s">
        <v>7438</v>
      </c>
      <c r="B2171" s="15" t="s">
        <v>1471</v>
      </c>
      <c r="C2171" s="15" t="s">
        <v>1504</v>
      </c>
      <c r="D2171" s="15" t="s">
        <v>1504</v>
      </c>
      <c r="E2171" s="16" t="str">
        <f aca="false">HYPERLINK("#'Forrásszöveg'!A"&amp;(MATCH("VHR-S0842",Forrásszöveg!$A$6:$A$2497,0)+5),"90. § eleje")</f>
        <v>90. § eleje</v>
      </c>
      <c r="F2171" s="16" t="str">
        <f aca="false">HYPERLINK("https://net.jogtar.hu/jogszabaly?docid=a2400418.kor#pr847id","Jogtár megnyitása")</f>
        <v>Jogtár megnyitása</v>
      </c>
    </row>
    <row r="2172" customFormat="false" ht="38" hidden="false" customHeight="true" outlineLevel="0" collapsed="false">
      <c r="A2172" s="15" t="s">
        <v>7439</v>
      </c>
      <c r="B2172" s="15" t="s">
        <v>1471</v>
      </c>
      <c r="C2172" s="15" t="s">
        <v>5077</v>
      </c>
      <c r="D2172" s="15" t="s">
        <v>7440</v>
      </c>
      <c r="E2172" s="16" t="str">
        <f aca="false">HYPERLINK("#'Forrásszöveg'!A"&amp;(MATCH("VHR-S0848",Forrásszöveg!$A$6:$A$2497,0)+5),"91. § (1) eleje")</f>
        <v>91. § (1) eleje</v>
      </c>
      <c r="F2172" s="16" t="str">
        <f aca="false">HYPERLINK("https://net.jogtar.hu/jogszabaly?docid=a2400418.kor#pr848id","Jogtár megnyitása")</f>
        <v>Jogtár megnyitása</v>
      </c>
    </row>
    <row r="2173" customFormat="false" ht="38" hidden="false" customHeight="true" outlineLevel="0" collapsed="false">
      <c r="A2173" s="15" t="s">
        <v>7441</v>
      </c>
      <c r="B2173" s="15" t="s">
        <v>1471</v>
      </c>
      <c r="C2173" s="15" t="s">
        <v>5091</v>
      </c>
      <c r="D2173" s="15" t="s">
        <v>7442</v>
      </c>
      <c r="E2173" s="16" t="str">
        <f aca="false">HYPERLINK("#'Forrásszöveg'!A"&amp;(MATCH("VHR-S0849",Forrásszöveg!$A$6:$A$2497,0)+5),"91. § (2) eleje")</f>
        <v>91. § (2) eleje</v>
      </c>
      <c r="F2173" s="16" t="str">
        <f aca="false">HYPERLINK("https://net.jogtar.hu/jogszabaly?docid=a2400418.kor#pr849id","Jogtár megnyitása")</f>
        <v>Jogtár megnyitása</v>
      </c>
    </row>
    <row r="2174" customFormat="false" ht="38" hidden="false" customHeight="true" outlineLevel="0" collapsed="false">
      <c r="A2174" s="15" t="s">
        <v>7443</v>
      </c>
      <c r="B2174" s="15" t="s">
        <v>1471</v>
      </c>
      <c r="C2174" s="15" t="s">
        <v>7444</v>
      </c>
      <c r="D2174" s="15" t="s">
        <v>7445</v>
      </c>
      <c r="E2174" s="16" t="str">
        <f aca="false">HYPERLINK("#'Forrásszöveg'!A"&amp;(MATCH("VHR-S0850",Forrásszöveg!$A$6:$A$2497,0)+5),"91. § (3) eleje")</f>
        <v>91. § (3) eleje</v>
      </c>
      <c r="F2174" s="16" t="str">
        <f aca="false">HYPERLINK("https://net.jogtar.hu/jogszabaly?docid=a2400418.kor#pr850id","Jogtár megnyitása")</f>
        <v>Jogtár megnyitása</v>
      </c>
    </row>
    <row r="2175" customFormat="false" ht="38" hidden="false" customHeight="true" outlineLevel="0" collapsed="false">
      <c r="A2175" s="15" t="s">
        <v>7446</v>
      </c>
      <c r="B2175" s="15" t="s">
        <v>1471</v>
      </c>
      <c r="C2175" s="15" t="s">
        <v>1505</v>
      </c>
      <c r="D2175" s="15" t="s">
        <v>1505</v>
      </c>
      <c r="E2175" s="16" t="str">
        <f aca="false">HYPERLINK("#'Forrásszöveg'!A"&amp;(MATCH("VHR-S0848",Forrásszöveg!$A$6:$A$2497,0)+5),"91. § eleje")</f>
        <v>91. § eleje</v>
      </c>
      <c r="F2175" s="16" t="str">
        <f aca="false">HYPERLINK("https://net.jogtar.hu/jogszabaly?docid=a2400418.kor#pr851id","Jogtár megnyitása")</f>
        <v>Jogtár megnyitása</v>
      </c>
    </row>
    <row r="2176" customFormat="false" ht="38" hidden="false" customHeight="true" outlineLevel="0" collapsed="false">
      <c r="A2176" s="15" t="s">
        <v>7447</v>
      </c>
      <c r="B2176" s="15" t="s">
        <v>1471</v>
      </c>
      <c r="C2176" s="15" t="s">
        <v>7448</v>
      </c>
      <c r="D2176" s="15" t="s">
        <v>7449</v>
      </c>
      <c r="E2176" s="16" t="str">
        <f aca="false">HYPERLINK("#'Forrásszöveg'!A"&amp;(MATCH("VHR-S0852",Forrásszöveg!$A$6:$A$2497,0)+5),"92. § (1) eleje")</f>
        <v>92. § (1) eleje</v>
      </c>
      <c r="F2176" s="16" t="str">
        <f aca="false">HYPERLINK("https://net.jogtar.hu/jogszabaly?docid=a2400418.kor#pr852id","Jogtár megnyitása")</f>
        <v>Jogtár megnyitása</v>
      </c>
    </row>
    <row r="2177" customFormat="false" ht="34" hidden="false" customHeight="true" outlineLevel="0" collapsed="false">
      <c r="A2177" s="15" t="s">
        <v>7450</v>
      </c>
      <c r="B2177" s="15" t="s">
        <v>1471</v>
      </c>
      <c r="C2177" s="15" t="s">
        <v>7451</v>
      </c>
      <c r="D2177" s="15" t="s">
        <v>7452</v>
      </c>
      <c r="E2177" s="16" t="str">
        <f aca="false">HYPERLINK("#'Forrásszöveg'!A"&amp;(MATCH("VHR-S0853",Forrásszöveg!$A$6:$A$2497,0)+5),"92. § (2) eleje")</f>
        <v>92. § (2) eleje</v>
      </c>
      <c r="F2177" s="16" t="str">
        <f aca="false">HYPERLINK("https://net.jogtar.hu/jogszabaly?docid=a2400418.kor#pr853id","Jogtár megnyitása")</f>
        <v>Jogtár megnyitása</v>
      </c>
    </row>
    <row r="2178" customFormat="false" ht="34" hidden="false" customHeight="true" outlineLevel="0" collapsed="false">
      <c r="A2178" s="15" t="s">
        <v>7453</v>
      </c>
      <c r="B2178" s="15" t="s">
        <v>1471</v>
      </c>
      <c r="C2178" s="15" t="s">
        <v>7454</v>
      </c>
      <c r="D2178" s="15" t="s">
        <v>7455</v>
      </c>
      <c r="E2178" s="16" t="str">
        <f aca="false">HYPERLINK("#'Forrásszöveg'!A"&amp;(MATCH("VHR-S0853",Forrásszöveg!$A$6:$A$2497,0)+5),"92. § (2) eleje")</f>
        <v>92. § (2) eleje</v>
      </c>
      <c r="F2178" s="16" t="str">
        <f aca="false">HYPERLINK("https://net.jogtar.hu/jogszabaly?docid=a2400418.kor#pr854id","Jogtár megnyitása")</f>
        <v>Jogtár megnyitása</v>
      </c>
    </row>
    <row r="2179" customFormat="false" ht="34" hidden="false" customHeight="true" outlineLevel="0" collapsed="false">
      <c r="A2179" s="15" t="s">
        <v>7456</v>
      </c>
      <c r="B2179" s="15" t="s">
        <v>1471</v>
      </c>
      <c r="C2179" s="15" t="s">
        <v>7457</v>
      </c>
      <c r="D2179" s="15" t="s">
        <v>7458</v>
      </c>
      <c r="E2179" s="16" t="str">
        <f aca="false">HYPERLINK("#'Forrásszöveg'!A"&amp;(MATCH("VHR-S0853",Forrásszöveg!$A$6:$A$2497,0)+5),"92. § (2) eleje")</f>
        <v>92. § (2) eleje</v>
      </c>
      <c r="F2179" s="16" t="str">
        <f aca="false">HYPERLINK("https://net.jogtar.hu/jogszabaly?docid=a2400418.kor#pr855id","Jogtár megnyitása")</f>
        <v>Jogtár megnyitása</v>
      </c>
    </row>
    <row r="2180" customFormat="false" ht="34" hidden="false" customHeight="true" outlineLevel="0" collapsed="false">
      <c r="A2180" s="15" t="s">
        <v>7459</v>
      </c>
      <c r="B2180" s="15" t="s">
        <v>1471</v>
      </c>
      <c r="C2180" s="15" t="s">
        <v>7460</v>
      </c>
      <c r="D2180" s="15" t="s">
        <v>7461</v>
      </c>
      <c r="E2180" s="16" t="str">
        <f aca="false">HYPERLINK("#'Forrásszöveg'!A"&amp;(MATCH("VHR-S0853",Forrásszöveg!$A$6:$A$2497,0)+5),"92. § (2) eleje")</f>
        <v>92. § (2) eleje</v>
      </c>
      <c r="F2180" s="16" t="str">
        <f aca="false">HYPERLINK("https://net.jogtar.hu/jogszabaly?docid=a2400418.kor#pr856id","Jogtár megnyitása")</f>
        <v>Jogtár megnyitása</v>
      </c>
    </row>
    <row r="2181" customFormat="false" ht="34" hidden="false" customHeight="true" outlineLevel="0" collapsed="false">
      <c r="A2181" s="15" t="s">
        <v>7462</v>
      </c>
      <c r="B2181" s="15" t="s">
        <v>1471</v>
      </c>
      <c r="C2181" s="15" t="s">
        <v>7463</v>
      </c>
      <c r="D2181" s="15" t="s">
        <v>7464</v>
      </c>
      <c r="E2181" s="16" t="str">
        <f aca="false">HYPERLINK("#'Forrásszöveg'!A"&amp;(MATCH("VHR-S0853",Forrásszöveg!$A$6:$A$2497,0)+5),"92. § (2) eleje")</f>
        <v>92. § (2) eleje</v>
      </c>
      <c r="F2181" s="16" t="str">
        <f aca="false">HYPERLINK("https://net.jogtar.hu/jogszabaly?docid=a2400418.kor#pr857id","Jogtár megnyitása")</f>
        <v>Jogtár megnyitása</v>
      </c>
    </row>
    <row r="2182" customFormat="false" ht="34" hidden="false" customHeight="true" outlineLevel="0" collapsed="false">
      <c r="A2182" s="15" t="s">
        <v>7465</v>
      </c>
      <c r="B2182" s="15" t="s">
        <v>1471</v>
      </c>
      <c r="C2182" s="15" t="s">
        <v>7466</v>
      </c>
      <c r="D2182" s="15" t="s">
        <v>7467</v>
      </c>
      <c r="E2182" s="16" t="str">
        <f aca="false">HYPERLINK("#'Forrásszöveg'!A"&amp;(MATCH("VHR-S0853",Forrásszöveg!$A$6:$A$2497,0)+5),"92. § (2) eleje")</f>
        <v>92. § (2) eleje</v>
      </c>
      <c r="F2182" s="16" t="str">
        <f aca="false">HYPERLINK("https://net.jogtar.hu/jogszabaly?docid=a2400418.kor#pr858id","Jogtár megnyitása")</f>
        <v>Jogtár megnyitása</v>
      </c>
    </row>
    <row r="2183" customFormat="false" ht="34" hidden="false" customHeight="true" outlineLevel="0" collapsed="false">
      <c r="A2183" s="15" t="s">
        <v>7468</v>
      </c>
      <c r="B2183" s="15" t="s">
        <v>1471</v>
      </c>
      <c r="C2183" s="15" t="s">
        <v>7469</v>
      </c>
      <c r="D2183" s="15" t="s">
        <v>7470</v>
      </c>
      <c r="E2183" s="16" t="str">
        <f aca="false">HYPERLINK("#'Forrásszöveg'!A"&amp;(MATCH("VHR-S0853",Forrásszöveg!$A$6:$A$2497,0)+5),"92. § (2) eleje")</f>
        <v>92. § (2) eleje</v>
      </c>
      <c r="F2183" s="16" t="str">
        <f aca="false">HYPERLINK("https://net.jogtar.hu/jogszabaly?docid=a2400418.kor#pr859id","Jogtár megnyitása")</f>
        <v>Jogtár megnyitása</v>
      </c>
    </row>
    <row r="2184" customFormat="false" ht="34" hidden="false" customHeight="true" outlineLevel="0" collapsed="false">
      <c r="A2184" s="15" t="s">
        <v>7471</v>
      </c>
      <c r="B2184" s="15" t="s">
        <v>1471</v>
      </c>
      <c r="C2184" s="15" t="s">
        <v>7451</v>
      </c>
      <c r="D2184" s="15" t="s">
        <v>7472</v>
      </c>
      <c r="E2184" s="16" t="str">
        <f aca="false">HYPERLINK("#'Forrásszöveg'!A"&amp;(MATCH("VHR-S0853",Forrásszöveg!$A$6:$A$2497,0)+5),"92. § (2) eleje")</f>
        <v>92. § (2) eleje</v>
      </c>
      <c r="F2184" s="16" t="str">
        <f aca="false">HYPERLINK("https://net.jogtar.hu/jogszabaly?docid=a2400418.kor#pr860id","Jogtár megnyitása")</f>
        <v>Jogtár megnyitása</v>
      </c>
    </row>
    <row r="2185" customFormat="false" ht="38" hidden="false" customHeight="true" outlineLevel="0" collapsed="false">
      <c r="A2185" s="15" t="s">
        <v>7473</v>
      </c>
      <c r="B2185" s="15" t="s">
        <v>1471</v>
      </c>
      <c r="C2185" s="15" t="s">
        <v>7474</v>
      </c>
      <c r="D2185" s="15" t="s">
        <v>7475</v>
      </c>
      <c r="E2185" s="16" t="str">
        <f aca="false">HYPERLINK("#'Forrásszöveg'!A"&amp;(MATCH("VHR-S0861",Forrásszöveg!$A$6:$A$2497,0)+5),"92. § (3) eleje")</f>
        <v>92. § (3) eleje</v>
      </c>
      <c r="F2185" s="16" t="str">
        <f aca="false">HYPERLINK("https://net.jogtar.hu/jogszabaly?docid=a2400418.kor#pr861id","Jogtár megnyitása")</f>
        <v>Jogtár megnyitása</v>
      </c>
    </row>
    <row r="2186" customFormat="false" ht="38" hidden="false" customHeight="true" outlineLevel="0" collapsed="false">
      <c r="A2186" s="15" t="s">
        <v>7476</v>
      </c>
      <c r="B2186" s="15" t="s">
        <v>1471</v>
      </c>
      <c r="C2186" s="15" t="s">
        <v>7477</v>
      </c>
      <c r="D2186" s="15" t="s">
        <v>7478</v>
      </c>
      <c r="E2186" s="16" t="str">
        <f aca="false">HYPERLINK("#'Forrásszöveg'!A"&amp;(MATCH("VHR-S0862",Forrásszöveg!$A$6:$A$2497,0)+5),"92. § (4) eleje")</f>
        <v>92. § (4) eleje</v>
      </c>
      <c r="F2186" s="16" t="str">
        <f aca="false">HYPERLINK("https://net.jogtar.hu/jogszabaly?docid=a2400418.kor#pr862id","Jogtár megnyitása")</f>
        <v>Jogtár megnyitása</v>
      </c>
    </row>
    <row r="2187" customFormat="false" ht="38" hidden="false" customHeight="true" outlineLevel="0" collapsed="false">
      <c r="A2187" s="15" t="s">
        <v>7479</v>
      </c>
      <c r="B2187" s="15" t="s">
        <v>1471</v>
      </c>
      <c r="C2187" s="15" t="s">
        <v>7480</v>
      </c>
      <c r="D2187" s="15" t="s">
        <v>7481</v>
      </c>
      <c r="E2187" s="16" t="str">
        <f aca="false">HYPERLINK("#'Forrásszöveg'!A"&amp;(MATCH("VHR-S0863",Forrásszöveg!$A$6:$A$2497,0)+5),"92. § (5) eleje")</f>
        <v>92. § (5) eleje</v>
      </c>
      <c r="F2187" s="16" t="str">
        <f aca="false">HYPERLINK("https://net.jogtar.hu/jogszabaly?docid=a2400418.kor#pr863id","Jogtár megnyitása")</f>
        <v>Jogtár megnyitása</v>
      </c>
    </row>
    <row r="2188" customFormat="false" ht="38" hidden="false" customHeight="true" outlineLevel="0" collapsed="false">
      <c r="A2188" s="15" t="s">
        <v>7482</v>
      </c>
      <c r="B2188" s="15" t="s">
        <v>1471</v>
      </c>
      <c r="C2188" s="15" t="s">
        <v>7483</v>
      </c>
      <c r="D2188" s="15" t="s">
        <v>7484</v>
      </c>
      <c r="E2188" s="16" t="str">
        <f aca="false">HYPERLINK("#'Forrásszöveg'!A"&amp;(MATCH("VHR-S0864",Forrásszöveg!$A$6:$A$2497,0)+5),"92. § (6) eleje")</f>
        <v>92. § (6) eleje</v>
      </c>
      <c r="F2188" s="16" t="str">
        <f aca="false">HYPERLINK("https://net.jogtar.hu/jogszabaly?docid=a2400418.kor#pr864id","Jogtár megnyitása")</f>
        <v>Jogtár megnyitása</v>
      </c>
    </row>
    <row r="2189" customFormat="false" ht="34" hidden="false" customHeight="true" outlineLevel="0" collapsed="false">
      <c r="A2189" s="15" t="s">
        <v>7485</v>
      </c>
      <c r="B2189" s="15" t="s">
        <v>1471</v>
      </c>
      <c r="C2189" s="15" t="s">
        <v>1507</v>
      </c>
      <c r="D2189" s="15" t="s">
        <v>1507</v>
      </c>
      <c r="E2189" s="16" t="str">
        <f aca="false">HYPERLINK("#'Forrásszöveg'!A"&amp;(MATCH("VHR-S0852",Forrásszöveg!$A$6:$A$2497,0)+5),"92. § eleje")</f>
        <v>92. § eleje</v>
      </c>
      <c r="F2189" s="16" t="str">
        <f aca="false">HYPERLINK("https://net.jogtar.hu/jogszabaly?docid=a2400418.kor#pr865id","Jogtár megnyitása")</f>
        <v>Jogtár megnyitása</v>
      </c>
    </row>
    <row r="2190" customFormat="false" ht="38" hidden="false" customHeight="true" outlineLevel="0" collapsed="false">
      <c r="A2190" s="15" t="s">
        <v>7486</v>
      </c>
      <c r="B2190" s="15" t="s">
        <v>1471</v>
      </c>
      <c r="C2190" s="15" t="s">
        <v>7487</v>
      </c>
      <c r="D2190" s="15" t="s">
        <v>7488</v>
      </c>
      <c r="E2190" s="16" t="str">
        <f aca="false">HYPERLINK("#'Forrásszöveg'!A"&amp;(MATCH("VHR-S0866",Forrásszöveg!$A$6:$A$2497,0)+5),"93. § (1) eleje")</f>
        <v>93. § (1) eleje</v>
      </c>
      <c r="F2190" s="16" t="str">
        <f aca="false">HYPERLINK("https://net.jogtar.hu/jogszabaly?docid=a2400418.kor#pr866id","Jogtár megnyitása")</f>
        <v>Jogtár megnyitása</v>
      </c>
    </row>
    <row r="2191" customFormat="false" ht="34" hidden="false" customHeight="true" outlineLevel="0" collapsed="false">
      <c r="A2191" s="15" t="s">
        <v>7489</v>
      </c>
      <c r="B2191" s="15" t="s">
        <v>1471</v>
      </c>
      <c r="C2191" s="15" t="s">
        <v>7490</v>
      </c>
      <c r="D2191" s="15" t="s">
        <v>7491</v>
      </c>
      <c r="E2191" s="16" t="str">
        <f aca="false">HYPERLINK("#'Forrásszöveg'!A"&amp;(MATCH("VHR-S0867",Forrásszöveg!$A$6:$A$2497,0)+5),"93. § (2) eleje")</f>
        <v>93. § (2) eleje</v>
      </c>
      <c r="F2191" s="16" t="str">
        <f aca="false">HYPERLINK("https://net.jogtar.hu/jogszabaly?docid=a2400418.kor#pr867id","Jogtár megnyitása")</f>
        <v>Jogtár megnyitása</v>
      </c>
    </row>
    <row r="2192" customFormat="false" ht="38" hidden="false" customHeight="true" outlineLevel="0" collapsed="false">
      <c r="A2192" s="15" t="s">
        <v>7492</v>
      </c>
      <c r="B2192" s="15" t="s">
        <v>1471</v>
      </c>
      <c r="C2192" s="15" t="s">
        <v>7493</v>
      </c>
      <c r="D2192" s="15" t="s">
        <v>7494</v>
      </c>
      <c r="E2192" s="16" t="str">
        <f aca="false">HYPERLINK("#'Forrásszöveg'!A"&amp;(MATCH("VHR-S0867",Forrásszöveg!$A$6:$A$2497,0)+5),"93. § (2) eleje")</f>
        <v>93. § (2) eleje</v>
      </c>
      <c r="F2192" s="16" t="str">
        <f aca="false">HYPERLINK("https://net.jogtar.hu/jogszabaly?docid=a2400418.kor#pr868id","Jogtár megnyitása")</f>
        <v>Jogtár megnyitása</v>
      </c>
    </row>
    <row r="2193" customFormat="false" ht="34" hidden="false" customHeight="true" outlineLevel="0" collapsed="false">
      <c r="A2193" s="15" t="s">
        <v>7495</v>
      </c>
      <c r="B2193" s="15" t="s">
        <v>1471</v>
      </c>
      <c r="C2193" s="15" t="s">
        <v>7496</v>
      </c>
      <c r="D2193" s="15" t="s">
        <v>7497</v>
      </c>
      <c r="E2193" s="16" t="str">
        <f aca="false">HYPERLINK("#'Forrásszöveg'!A"&amp;(MATCH("VHR-S0867",Forrásszöveg!$A$6:$A$2497,0)+5),"93. § (2) eleje")</f>
        <v>93. § (2) eleje</v>
      </c>
      <c r="F2193" s="16" t="str">
        <f aca="false">HYPERLINK("https://net.jogtar.hu/jogszabaly?docid=a2400418.kor#pr869id","Jogtár megnyitása")</f>
        <v>Jogtár megnyitása</v>
      </c>
    </row>
    <row r="2194" customFormat="false" ht="38" hidden="false" customHeight="true" outlineLevel="0" collapsed="false">
      <c r="A2194" s="15" t="s">
        <v>7498</v>
      </c>
      <c r="B2194" s="15" t="s">
        <v>1471</v>
      </c>
      <c r="C2194" s="15" t="s">
        <v>7499</v>
      </c>
      <c r="D2194" s="15" t="s">
        <v>7500</v>
      </c>
      <c r="E2194" s="16" t="str">
        <f aca="false">HYPERLINK("#'Forrásszöveg'!A"&amp;(MATCH("VHR-S0867",Forrásszöveg!$A$6:$A$2497,0)+5),"93. § (2) eleje")</f>
        <v>93. § (2) eleje</v>
      </c>
      <c r="F2194" s="16" t="str">
        <f aca="false">HYPERLINK("https://net.jogtar.hu/jogszabaly?docid=a2400418.kor#pr870id","Jogtár megnyitása")</f>
        <v>Jogtár megnyitása</v>
      </c>
    </row>
    <row r="2195" customFormat="false" ht="34" hidden="false" customHeight="true" outlineLevel="0" collapsed="false">
      <c r="A2195" s="15" t="s">
        <v>7501</v>
      </c>
      <c r="B2195" s="15" t="s">
        <v>1471</v>
      </c>
      <c r="C2195" s="15" t="s">
        <v>7502</v>
      </c>
      <c r="D2195" s="15" t="s">
        <v>7503</v>
      </c>
      <c r="E2195" s="16" t="str">
        <f aca="false">HYPERLINK("#'Forrásszöveg'!A"&amp;(MATCH("VHR-S0867",Forrásszöveg!$A$6:$A$2497,0)+5),"93. § (2) eleje")</f>
        <v>93. § (2) eleje</v>
      </c>
      <c r="F2195" s="16" t="str">
        <f aca="false">HYPERLINK("https://net.jogtar.hu/jogszabaly?docid=a2400418.kor#pr871id","Jogtár megnyitása")</f>
        <v>Jogtár megnyitása</v>
      </c>
    </row>
    <row r="2196" customFormat="false" ht="34" hidden="false" customHeight="true" outlineLevel="0" collapsed="false">
      <c r="A2196" s="15" t="s">
        <v>7504</v>
      </c>
      <c r="B2196" s="15" t="s">
        <v>1471</v>
      </c>
      <c r="C2196" s="15" t="s">
        <v>1509</v>
      </c>
      <c r="D2196" s="15" t="s">
        <v>1509</v>
      </c>
      <c r="E2196" s="16" t="str">
        <f aca="false">HYPERLINK("#'Forrásszöveg'!A"&amp;(MATCH("VHR-S0866",Forrásszöveg!$A$6:$A$2497,0)+5),"93. § eleje")</f>
        <v>93. § eleje</v>
      </c>
      <c r="F2196" s="16" t="str">
        <f aca="false">HYPERLINK("https://net.jogtar.hu/jogszabaly?docid=a2400418.kor#pr872id","Jogtár megnyitása")</f>
        <v>Jogtár megnyitása</v>
      </c>
    </row>
    <row r="2197" customFormat="false" ht="66" hidden="false" customHeight="true" outlineLevel="0" collapsed="false">
      <c r="A2197" s="15" t="s">
        <v>7505</v>
      </c>
      <c r="B2197" s="15" t="s">
        <v>1471</v>
      </c>
      <c r="C2197" s="15" t="s">
        <v>1508</v>
      </c>
      <c r="D2197" s="15" t="s">
        <v>7506</v>
      </c>
      <c r="E2197" s="16" t="str">
        <f aca="false">HYPERLINK("#'Forrásszöveg'!A"&amp;(MATCH("VHR-S0873",Forrásszöveg!$A$6:$A$2497,0)+5),"94. § eleje")</f>
        <v>94. § eleje</v>
      </c>
      <c r="F2197" s="16" t="str">
        <f aca="false">HYPERLINK("https://net.jogtar.hu/jogszabaly?docid=a2400418.kor#pr873id","Jogtár megnyitása")</f>
        <v>Jogtár megnyitása</v>
      </c>
    </row>
    <row r="2198" customFormat="false" ht="38" hidden="false" customHeight="true" outlineLevel="0" collapsed="false">
      <c r="A2198" s="15" t="s">
        <v>7507</v>
      </c>
      <c r="B2198" s="15" t="s">
        <v>1471</v>
      </c>
      <c r="C2198" s="15" t="s">
        <v>1511</v>
      </c>
      <c r="D2198" s="15" t="s">
        <v>1511</v>
      </c>
      <c r="E2198" s="16" t="str">
        <f aca="false">HYPERLINK("#'Forrásszöveg'!A"&amp;(MATCH("VHR-S0873",Forrásszöveg!$A$6:$A$2497,0)+5),"94. § eleje")</f>
        <v>94. § eleje</v>
      </c>
      <c r="F2198" s="16" t="str">
        <f aca="false">HYPERLINK("https://net.jogtar.hu/jogszabaly?docid=a2400418.kor#pr874id","Jogtár megnyitása")</f>
        <v>Jogtár megnyitása</v>
      </c>
    </row>
    <row r="2199" customFormat="false" ht="52" hidden="false" customHeight="true" outlineLevel="0" collapsed="false">
      <c r="A2199" s="15" t="s">
        <v>7508</v>
      </c>
      <c r="B2199" s="15" t="s">
        <v>1471</v>
      </c>
      <c r="C2199" s="15" t="s">
        <v>7509</v>
      </c>
      <c r="D2199" s="15" t="s">
        <v>7510</v>
      </c>
      <c r="E2199" s="16" t="str">
        <f aca="false">HYPERLINK("#'Forrásszöveg'!A"&amp;(MATCH("VHR-S0875",Forrásszöveg!$A$6:$A$2497,0)+5),"95. § (1) eleje")</f>
        <v>95. § (1) eleje</v>
      </c>
      <c r="F2199" s="16" t="str">
        <f aca="false">HYPERLINK("https://net.jogtar.hu/jogszabaly?docid=a2400418.kor#pr875id","Jogtár megnyitása")</f>
        <v>Jogtár megnyitása</v>
      </c>
    </row>
    <row r="2200" customFormat="false" ht="38" hidden="false" customHeight="true" outlineLevel="0" collapsed="false">
      <c r="A2200" s="15" t="s">
        <v>7511</v>
      </c>
      <c r="B2200" s="15" t="s">
        <v>1471</v>
      </c>
      <c r="C2200" s="15" t="s">
        <v>7512</v>
      </c>
      <c r="D2200" s="15" t="s">
        <v>7513</v>
      </c>
      <c r="E2200" s="16" t="str">
        <f aca="false">HYPERLINK("#'Forrásszöveg'!A"&amp;(MATCH("VHR-S0876",Forrásszöveg!$A$6:$A$2497,0)+5),"95. § (2) eleje")</f>
        <v>95. § (2) eleje</v>
      </c>
      <c r="F2200" s="16" t="str">
        <f aca="false">HYPERLINK("https://net.jogtar.hu/jogszabaly?docid=a2400418.kor#pr876id","Jogtár megnyitása")</f>
        <v>Jogtár megnyitása</v>
      </c>
    </row>
    <row r="2201" customFormat="false" ht="38" hidden="false" customHeight="true" outlineLevel="0" collapsed="false">
      <c r="A2201" s="15" t="s">
        <v>7514</v>
      </c>
      <c r="B2201" s="15" t="s">
        <v>1471</v>
      </c>
      <c r="C2201" s="15" t="s">
        <v>7515</v>
      </c>
      <c r="D2201" s="15" t="s">
        <v>7516</v>
      </c>
      <c r="E2201" s="16" t="str">
        <f aca="false">HYPERLINK("#'Forrásszöveg'!A"&amp;(MATCH("VHR-S0877",Forrásszöveg!$A$6:$A$2497,0)+5),"95. § (3) eleje")</f>
        <v>95. § (3) eleje</v>
      </c>
      <c r="F2201" s="16" t="str">
        <f aca="false">HYPERLINK("https://net.jogtar.hu/jogszabaly?docid=a2400418.kor#pr877id","Jogtár megnyitása")</f>
        <v>Jogtár megnyitása</v>
      </c>
    </row>
    <row r="2202" customFormat="false" ht="66" hidden="false" customHeight="true" outlineLevel="0" collapsed="false">
      <c r="A2202" s="15" t="s">
        <v>7517</v>
      </c>
      <c r="B2202" s="15" t="s">
        <v>1471</v>
      </c>
      <c r="C2202" s="15" t="s">
        <v>7518</v>
      </c>
      <c r="D2202" s="15" t="s">
        <v>7519</v>
      </c>
      <c r="E2202" s="16" t="str">
        <f aca="false">HYPERLINK("#'Forrásszöveg'!A"&amp;(MATCH("VHR-S0878",Forrásszöveg!$A$6:$A$2497,0)+5),"95. § (4) eleje")</f>
        <v>95. § (4) eleje</v>
      </c>
      <c r="F2202" s="16" t="str">
        <f aca="false">HYPERLINK("https://net.jogtar.hu/jogszabaly?docid=a2400418.kor#pr878id","Jogtár megnyitása")</f>
        <v>Jogtár megnyitása</v>
      </c>
    </row>
    <row r="2203" customFormat="false" ht="52" hidden="false" customHeight="true" outlineLevel="0" collapsed="false">
      <c r="A2203" s="15" t="s">
        <v>7520</v>
      </c>
      <c r="B2203" s="15" t="s">
        <v>1471</v>
      </c>
      <c r="C2203" s="15" t="s">
        <v>7521</v>
      </c>
      <c r="D2203" s="15" t="s">
        <v>7522</v>
      </c>
      <c r="E2203" s="16" t="str">
        <f aca="false">HYPERLINK("#'Forrásszöveg'!A"&amp;(MATCH("VHR-S0879",Forrásszöveg!$A$6:$A$2497,0)+5),"95. § (5) eleje")</f>
        <v>95. § (5) eleje</v>
      </c>
      <c r="F2203" s="16" t="str">
        <f aca="false">HYPERLINK("https://net.jogtar.hu/jogszabaly?docid=a2400418.kor#pr879id","Jogtár megnyitása")</f>
        <v>Jogtár megnyitása</v>
      </c>
    </row>
    <row r="2204" customFormat="false" ht="66" hidden="false" customHeight="true" outlineLevel="0" collapsed="false">
      <c r="A2204" s="15" t="s">
        <v>7523</v>
      </c>
      <c r="B2204" s="15" t="s">
        <v>1471</v>
      </c>
      <c r="C2204" s="15" t="s">
        <v>7524</v>
      </c>
      <c r="D2204" s="15" t="s">
        <v>7525</v>
      </c>
      <c r="E2204" s="16" t="str">
        <f aca="false">HYPERLINK("#'Forrásszöveg'!A"&amp;(MATCH("VHR-S0880",Forrásszöveg!$A$6:$A$2497,0)+5),"95. § (6) eleje")</f>
        <v>95. § (6) eleje</v>
      </c>
      <c r="F2204" s="16" t="str">
        <f aca="false">HYPERLINK("https://net.jogtar.hu/jogszabaly?docid=a2400418.kor#pr880id","Jogtár megnyitása")</f>
        <v>Jogtár megnyitása</v>
      </c>
    </row>
    <row r="2205" customFormat="false" ht="34" hidden="false" customHeight="true" outlineLevel="0" collapsed="false">
      <c r="A2205" s="15" t="s">
        <v>7526</v>
      </c>
      <c r="B2205" s="15" t="s">
        <v>1471</v>
      </c>
      <c r="C2205" s="15" t="s">
        <v>7527</v>
      </c>
      <c r="D2205" s="15" t="s">
        <v>7528</v>
      </c>
      <c r="E2205" s="16" t="str">
        <f aca="false">HYPERLINK("#'Forrásszöveg'!A"&amp;(MATCH("VHR-S0881",Forrásszöveg!$A$6:$A$2497,0)+5),"95. § (7) eleje")</f>
        <v>95. § (7) eleje</v>
      </c>
      <c r="F2205" s="16" t="str">
        <f aca="false">HYPERLINK("https://net.jogtar.hu/jogszabaly?docid=a2400418.kor#pr881id","Jogtár megnyitása")</f>
        <v>Jogtár megnyitása</v>
      </c>
    </row>
    <row r="2206" customFormat="false" ht="66" hidden="false" customHeight="true" outlineLevel="0" collapsed="false">
      <c r="A2206" s="15" t="s">
        <v>7529</v>
      </c>
      <c r="B2206" s="15" t="s">
        <v>1471</v>
      </c>
      <c r="C2206" s="15" t="s">
        <v>7530</v>
      </c>
      <c r="D2206" s="15" t="s">
        <v>7531</v>
      </c>
      <c r="E2206" s="16" t="str">
        <f aca="false">HYPERLINK("#'Forrásszöveg'!A"&amp;(MATCH("VHR-S0882",Forrásszöveg!$A$6:$A$2497,0)+5),"95. § (8) eleje")</f>
        <v>95. § (8) eleje</v>
      </c>
      <c r="F2206" s="16" t="str">
        <f aca="false">HYPERLINK("https://net.jogtar.hu/jogszabaly?docid=a2400418.kor#pr882id","Jogtár megnyitása")</f>
        <v>Jogtár megnyitása</v>
      </c>
    </row>
    <row r="2207" customFormat="false" ht="38" hidden="false" customHeight="true" outlineLevel="0" collapsed="false">
      <c r="A2207" s="15" t="s">
        <v>7532</v>
      </c>
      <c r="B2207" s="15" t="s">
        <v>1471</v>
      </c>
      <c r="C2207" s="15" t="s">
        <v>7533</v>
      </c>
      <c r="D2207" s="15" t="s">
        <v>7534</v>
      </c>
      <c r="E2207" s="16" t="str">
        <f aca="false">HYPERLINK("#'Forrásszöveg'!A"&amp;(MATCH("VHR-S0883",Forrásszöveg!$A$6:$A$2497,0)+5),"95. § (9) eleje")</f>
        <v>95. § (9) eleje</v>
      </c>
      <c r="F2207" s="16" t="str">
        <f aca="false">HYPERLINK("https://net.jogtar.hu/jogszabaly?docid=a2400418.kor#pr883id","Jogtár megnyitása")</f>
        <v>Jogtár megnyitása</v>
      </c>
    </row>
    <row r="2208" customFormat="false" ht="34" hidden="false" customHeight="true" outlineLevel="0" collapsed="false">
      <c r="A2208" s="15" t="s">
        <v>7535</v>
      </c>
      <c r="B2208" s="15" t="s">
        <v>1471</v>
      </c>
      <c r="C2208" s="15" t="s">
        <v>1513</v>
      </c>
      <c r="D2208" s="15" t="s">
        <v>1513</v>
      </c>
      <c r="E2208" s="16" t="str">
        <f aca="false">HYPERLINK("#'Forrásszöveg'!A"&amp;(MATCH("VHR-S0875",Forrásszöveg!$A$6:$A$2497,0)+5),"95. § eleje")</f>
        <v>95. § eleje</v>
      </c>
      <c r="F2208" s="16" t="str">
        <f aca="false">HYPERLINK("https://net.jogtar.hu/jogszabaly?docid=a2400418.kor#pr884id","Jogtár megnyitása")</f>
        <v>Jogtár megnyitása</v>
      </c>
    </row>
    <row r="2209" customFormat="false" ht="66" hidden="false" customHeight="true" outlineLevel="0" collapsed="false">
      <c r="A2209" s="15" t="s">
        <v>7536</v>
      </c>
      <c r="B2209" s="15" t="s">
        <v>1471</v>
      </c>
      <c r="C2209" s="15" t="s">
        <v>1512</v>
      </c>
      <c r="D2209" s="15" t="s">
        <v>7537</v>
      </c>
      <c r="E2209" s="16" t="str">
        <f aca="false">HYPERLINK("#'Forrásszöveg'!A"&amp;(MATCH("VHR-S0885",Forrásszöveg!$A$6:$A$2497,0)+5),"96. § eleje")</f>
        <v>96. § eleje</v>
      </c>
      <c r="F2209" s="16" t="str">
        <f aca="false">HYPERLINK("https://net.jogtar.hu/jogszabaly?docid=a2400418.kor#pr885id","Jogtár megnyitása")</f>
        <v>Jogtár megnyitása</v>
      </c>
    </row>
    <row r="2210" customFormat="false" ht="38" hidden="false" customHeight="true" outlineLevel="0" collapsed="false">
      <c r="A2210" s="15" t="s">
        <v>7538</v>
      </c>
      <c r="B2210" s="15" t="s">
        <v>1471</v>
      </c>
      <c r="C2210" s="15" t="s">
        <v>1515</v>
      </c>
      <c r="D2210" s="15" t="s">
        <v>1515</v>
      </c>
      <c r="E2210" s="16" t="str">
        <f aca="false">HYPERLINK("#'Forrásszöveg'!A"&amp;(MATCH("VHR-S0885",Forrásszöveg!$A$6:$A$2497,0)+5),"96. § eleje")</f>
        <v>96. § eleje</v>
      </c>
      <c r="F2210" s="16" t="str">
        <f aca="false">HYPERLINK("https://net.jogtar.hu/jogszabaly?docid=a2400418.kor#pr886id","Jogtár megnyitása")</f>
        <v>Jogtár megnyitása</v>
      </c>
    </row>
    <row r="2211" customFormat="false" ht="52" hidden="false" customHeight="true" outlineLevel="0" collapsed="false">
      <c r="A2211" s="15" t="s">
        <v>7539</v>
      </c>
      <c r="B2211" s="15" t="s">
        <v>1471</v>
      </c>
      <c r="C2211" s="15" t="s">
        <v>7540</v>
      </c>
      <c r="D2211" s="15" t="s">
        <v>7541</v>
      </c>
      <c r="E2211" s="16" t="str">
        <f aca="false">HYPERLINK("#'Forrásszöveg'!A"&amp;(MATCH("VHR-S0887",Forrásszöveg!$A$6:$A$2497,0)+5),"97. § (1) eleje")</f>
        <v>97. § (1) eleje</v>
      </c>
      <c r="F2211" s="16" t="str">
        <f aca="false">HYPERLINK("https://net.jogtar.hu/jogszabaly?docid=a2400418.kor#pr887id","Jogtár megnyitása")</f>
        <v>Jogtár megnyitása</v>
      </c>
    </row>
    <row r="2212" customFormat="false" ht="80" hidden="false" customHeight="true" outlineLevel="0" collapsed="false">
      <c r="A2212" s="15" t="s">
        <v>7542</v>
      </c>
      <c r="B2212" s="15" t="s">
        <v>1471</v>
      </c>
      <c r="C2212" s="15" t="s">
        <v>7543</v>
      </c>
      <c r="D2212" s="15" t="s">
        <v>7544</v>
      </c>
      <c r="E2212" s="16" t="str">
        <f aca="false">HYPERLINK("#'Forrásszöveg'!A"&amp;(MATCH("VHR-S0888",Forrásszöveg!$A$6:$A$2497,0)+5),"97. § (2) eleje")</f>
        <v>97. § (2) eleje</v>
      </c>
      <c r="F2212" s="16" t="str">
        <f aca="false">HYPERLINK("https://net.jogtar.hu/jogszabaly?docid=a2400418.kor#pr888id","Jogtár megnyitása")</f>
        <v>Jogtár megnyitása</v>
      </c>
    </row>
    <row r="2213" customFormat="false" ht="38" hidden="false" customHeight="true" outlineLevel="0" collapsed="false">
      <c r="A2213" s="15" t="s">
        <v>7545</v>
      </c>
      <c r="B2213" s="15" t="s">
        <v>1471</v>
      </c>
      <c r="C2213" s="15" t="s">
        <v>7546</v>
      </c>
      <c r="D2213" s="15" t="s">
        <v>7547</v>
      </c>
      <c r="E2213" s="16" t="str">
        <f aca="false">HYPERLINK("#'Forrásszöveg'!A"&amp;(MATCH("VHR-S0889",Forrásszöveg!$A$6:$A$2497,0)+5),"97. § (3) eleje")</f>
        <v>97. § (3) eleje</v>
      </c>
      <c r="F2213" s="16" t="str">
        <f aca="false">HYPERLINK("https://net.jogtar.hu/jogszabaly?docid=a2400418.kor#pr889id","Jogtár megnyitása")</f>
        <v>Jogtár megnyitása</v>
      </c>
    </row>
    <row r="2214" customFormat="false" ht="38" hidden="false" customHeight="true" outlineLevel="0" collapsed="false">
      <c r="A2214" s="15" t="s">
        <v>7548</v>
      </c>
      <c r="B2214" s="15" t="s">
        <v>1471</v>
      </c>
      <c r="C2214" s="15" t="s">
        <v>7549</v>
      </c>
      <c r="D2214" s="15" t="s">
        <v>7550</v>
      </c>
      <c r="E2214" s="16" t="str">
        <f aca="false">HYPERLINK("#'Forrásszöveg'!A"&amp;(MATCH("VHR-S0890",Forrásszöveg!$A$6:$A$2497,0)+5),"98. § (1) eleje")</f>
        <v>98. § (1) eleje</v>
      </c>
      <c r="F2214" s="16" t="str">
        <f aca="false">HYPERLINK("https://net.jogtar.hu/jogszabaly?docid=a2400418.kor#pr890id","Jogtár megnyitása")</f>
        <v>Jogtár megnyitása</v>
      </c>
    </row>
    <row r="2215" customFormat="false" ht="38" hidden="false" customHeight="true" outlineLevel="0" collapsed="false">
      <c r="A2215" s="15" t="s">
        <v>7551</v>
      </c>
      <c r="B2215" s="15" t="s">
        <v>1471</v>
      </c>
      <c r="C2215" s="15" t="s">
        <v>7552</v>
      </c>
      <c r="D2215" s="15" t="s">
        <v>7553</v>
      </c>
      <c r="E2215" s="16" t="str">
        <f aca="false">HYPERLINK("#'Forrásszöveg'!A"&amp;(MATCH("VHR-S0891",Forrásszöveg!$A$6:$A$2497,0)+5),"98. § (2) eleje")</f>
        <v>98. § (2) eleje</v>
      </c>
      <c r="F2215" s="16" t="str">
        <f aca="false">HYPERLINK("https://net.jogtar.hu/jogszabaly?docid=a2400418.kor#pr891id","Jogtár megnyitása")</f>
        <v>Jogtár megnyitása</v>
      </c>
    </row>
    <row r="2216" customFormat="false" ht="38" hidden="false" customHeight="true" outlineLevel="0" collapsed="false">
      <c r="A2216" s="15" t="s">
        <v>7554</v>
      </c>
      <c r="B2216" s="15" t="s">
        <v>1471</v>
      </c>
      <c r="C2216" s="15" t="s">
        <v>7555</v>
      </c>
      <c r="D2216" s="15" t="s">
        <v>7556</v>
      </c>
      <c r="E2216" s="16" t="str">
        <f aca="false">HYPERLINK("#'Forrásszöveg'!A"&amp;(MATCH("VHR-S0892",Forrásszöveg!$A$6:$A$2497,0)+5),"99. § (1) eleje")</f>
        <v>99. § (1) eleje</v>
      </c>
      <c r="F2216" s="16" t="str">
        <f aca="false">HYPERLINK("https://net.jogtar.hu/jogszabaly?docid=a2400418.kor#pr892id","Jogtár megnyitása")</f>
        <v>Jogtár megnyitása</v>
      </c>
    </row>
    <row r="2217" customFormat="false" ht="34" hidden="false" customHeight="true" outlineLevel="0" collapsed="false">
      <c r="A2217" s="15" t="s">
        <v>7557</v>
      </c>
      <c r="B2217" s="15" t="s">
        <v>1471</v>
      </c>
      <c r="C2217" s="15" t="s">
        <v>7558</v>
      </c>
      <c r="D2217" s="15" t="s">
        <v>7559</v>
      </c>
      <c r="E2217" s="16" t="str">
        <f aca="false">HYPERLINK("#'Forrásszöveg'!A"&amp;(MATCH("VHR-S0893",Forrásszöveg!$A$6:$A$2497,0)+5),"99. § (2) eleje")</f>
        <v>99. § (2) eleje</v>
      </c>
      <c r="F2217" s="16" t="str">
        <f aca="false">HYPERLINK("https://net.jogtar.hu/jogszabaly?docid=a2400418.kor#pr893id","Jogtár megnyitása")</f>
        <v>Jogtár megnyitása</v>
      </c>
    </row>
    <row r="2218" customFormat="false" ht="52" hidden="false" customHeight="true" outlineLevel="0" collapsed="false">
      <c r="A2218" s="15" t="s">
        <v>7560</v>
      </c>
      <c r="B2218" s="15" t="s">
        <v>1471</v>
      </c>
      <c r="C2218" s="15" t="s">
        <v>7561</v>
      </c>
      <c r="D2218" s="15" t="s">
        <v>7562</v>
      </c>
      <c r="E2218" s="16" t="str">
        <f aca="false">HYPERLINK("#'Forrásszöveg'!A"&amp;(MATCH("VHR-S0893",Forrásszöveg!$A$6:$A$2497,0)+5),"99. § (2) eleje")</f>
        <v>99. § (2) eleje</v>
      </c>
      <c r="F2218" s="16" t="str">
        <f aca="false">HYPERLINK("https://net.jogtar.hu/jogszabaly?docid=a2400418.kor#pr894id","Jogtár megnyitása")</f>
        <v>Jogtár megnyitása</v>
      </c>
    </row>
    <row r="2219" customFormat="false" ht="34" hidden="false" customHeight="true" outlineLevel="0" collapsed="false">
      <c r="A2219" s="15" t="s">
        <v>7563</v>
      </c>
      <c r="B2219" s="15" t="s">
        <v>1471</v>
      </c>
      <c r="C2219" s="15" t="s">
        <v>7564</v>
      </c>
      <c r="D2219" s="15" t="s">
        <v>7565</v>
      </c>
      <c r="E2219" s="16" t="str">
        <f aca="false">HYPERLINK("#'Forrásszöveg'!A"&amp;(MATCH("VHR-S0893",Forrásszöveg!$A$6:$A$2497,0)+5),"99. § (2) eleje")</f>
        <v>99. § (2) eleje</v>
      </c>
      <c r="F2219" s="16" t="str">
        <f aca="false">HYPERLINK("https://net.jogtar.hu/jogszabaly?docid=a2400418.kor#pr895id","Jogtár megnyitása")</f>
        <v>Jogtár megnyitása</v>
      </c>
    </row>
    <row r="2220" customFormat="false" ht="38" hidden="false" customHeight="true" outlineLevel="0" collapsed="false">
      <c r="A2220" s="15" t="s">
        <v>7566</v>
      </c>
      <c r="B2220" s="15" t="s">
        <v>1471</v>
      </c>
      <c r="C2220" s="15" t="s">
        <v>7567</v>
      </c>
      <c r="D2220" s="15" t="s">
        <v>7568</v>
      </c>
      <c r="E2220" s="16" t="str">
        <f aca="false">HYPERLINK("#'Forrásszöveg'!A"&amp;(MATCH("VHR-S0893",Forrásszöveg!$A$6:$A$2497,0)+5),"99. § (2) eleje")</f>
        <v>99. § (2) eleje</v>
      </c>
      <c r="F2220" s="16" t="str">
        <f aca="false">HYPERLINK("https://net.jogtar.hu/jogszabaly?docid=a2400418.kor#pr896id","Jogtár megnyitása")</f>
        <v>Jogtár megnyitása</v>
      </c>
    </row>
    <row r="2221" customFormat="false" ht="38" hidden="false" customHeight="true" outlineLevel="0" collapsed="false">
      <c r="A2221" s="15" t="s">
        <v>7569</v>
      </c>
      <c r="B2221" s="15" t="s">
        <v>1471</v>
      </c>
      <c r="C2221" s="15" t="s">
        <v>7570</v>
      </c>
      <c r="D2221" s="15" t="s">
        <v>7571</v>
      </c>
      <c r="E2221" s="16" t="str">
        <f aca="false">HYPERLINK("#'Forrásszöveg'!A"&amp;(MATCH("VHR-S0893",Forrásszöveg!$A$6:$A$2497,0)+5),"99. § (2) eleje")</f>
        <v>99. § (2) eleje</v>
      </c>
      <c r="F2221" s="16" t="str">
        <f aca="false">HYPERLINK("https://net.jogtar.hu/jogszabaly?docid=a2400418.kor#pr897id","Jogtár megnyitása")</f>
        <v>Jogtár megnyitása</v>
      </c>
    </row>
    <row r="2222" customFormat="false" ht="38" hidden="false" customHeight="true" outlineLevel="0" collapsed="false">
      <c r="A2222" s="15" t="s">
        <v>7572</v>
      </c>
      <c r="B2222" s="15" t="s">
        <v>1471</v>
      </c>
      <c r="C2222" s="15" t="s">
        <v>7573</v>
      </c>
      <c r="D2222" s="15" t="s">
        <v>7574</v>
      </c>
      <c r="E2222" s="16" t="str">
        <f aca="false">HYPERLINK("#'Forrásszöveg'!A"&amp;(MATCH("VHR-S0893",Forrásszöveg!$A$6:$A$2497,0)+5),"99. § (2) eleje")</f>
        <v>99. § (2) eleje</v>
      </c>
      <c r="F2222" s="16" t="str">
        <f aca="false">HYPERLINK("https://net.jogtar.hu/jogszabaly?docid=a2400418.kor#pr898id","Jogtár megnyitása")</f>
        <v>Jogtár megnyitása</v>
      </c>
    </row>
    <row r="2223" customFormat="false" ht="38" hidden="false" customHeight="true" outlineLevel="0" collapsed="false">
      <c r="A2223" s="15" t="s">
        <v>7575</v>
      </c>
      <c r="B2223" s="15" t="s">
        <v>1471</v>
      </c>
      <c r="C2223" s="15" t="s">
        <v>7576</v>
      </c>
      <c r="D2223" s="15" t="s">
        <v>7577</v>
      </c>
      <c r="E2223" s="16" t="str">
        <f aca="false">HYPERLINK("#'Forrásszöveg'!A"&amp;(MATCH("VHR-S0893",Forrásszöveg!$A$6:$A$2497,0)+5),"99. § (2) eleje")</f>
        <v>99. § (2) eleje</v>
      </c>
      <c r="F2223" s="16" t="str">
        <f aca="false">HYPERLINK("https://net.jogtar.hu/jogszabaly?docid=a2400418.kor#pr899id","Jogtár megnyitása")</f>
        <v>Jogtár megnyitása</v>
      </c>
    </row>
    <row r="2224" customFormat="false" ht="38" hidden="false" customHeight="true" outlineLevel="0" collapsed="false">
      <c r="A2224" s="15" t="s">
        <v>7578</v>
      </c>
      <c r="B2224" s="15" t="s">
        <v>1471</v>
      </c>
      <c r="C2224" s="15" t="s">
        <v>7579</v>
      </c>
      <c r="D2224" s="15" t="s">
        <v>7580</v>
      </c>
      <c r="E2224" s="16" t="str">
        <f aca="false">HYPERLINK("#'Forrásszöveg'!A"&amp;(MATCH("VHR-S0893",Forrásszöveg!$A$6:$A$2497,0)+5),"99. § (2) eleje")</f>
        <v>99. § (2) eleje</v>
      </c>
      <c r="F2224" s="16" t="str">
        <f aca="false">HYPERLINK("https://net.jogtar.hu/jogszabaly?docid=a2400418.kor#pr900id","Jogtár megnyitása")</f>
        <v>Jogtár megnyitása</v>
      </c>
    </row>
    <row r="2225" customFormat="false" ht="38" hidden="false" customHeight="true" outlineLevel="0" collapsed="false">
      <c r="A2225" s="15" t="s">
        <v>7581</v>
      </c>
      <c r="B2225" s="15" t="s">
        <v>1471</v>
      </c>
      <c r="C2225" s="15" t="s">
        <v>7582</v>
      </c>
      <c r="D2225" s="15" t="s">
        <v>7583</v>
      </c>
      <c r="E2225" s="16" t="str">
        <f aca="false">HYPERLINK("#'Forrásszöveg'!A"&amp;(MATCH("VHR-S0893",Forrásszöveg!$A$6:$A$2497,0)+5),"99. § (2) eleje")</f>
        <v>99. § (2) eleje</v>
      </c>
      <c r="F2225" s="16" t="str">
        <f aca="false">HYPERLINK("https://net.jogtar.hu/jogszabaly?docid=a2400418.kor#pr901id","Jogtár megnyitása")</f>
        <v>Jogtár megnyitása</v>
      </c>
    </row>
    <row r="2226" customFormat="false" ht="52" hidden="false" customHeight="true" outlineLevel="0" collapsed="false">
      <c r="A2226" s="15" t="s">
        <v>7584</v>
      </c>
      <c r="B2226" s="15" t="s">
        <v>1471</v>
      </c>
      <c r="C2226" s="15" t="s">
        <v>7585</v>
      </c>
      <c r="D2226" s="15" t="s">
        <v>7586</v>
      </c>
      <c r="E2226" s="16" t="str">
        <f aca="false">HYPERLINK("#'Forrásszöveg'!A"&amp;(MATCH("VHR-S0902",Forrásszöveg!$A$6:$A$2497,0)+5),"99. § (3) eleje")</f>
        <v>99. § (3) eleje</v>
      </c>
      <c r="F2226" s="16" t="str">
        <f aca="false">HYPERLINK("https://net.jogtar.hu/jogszabaly?docid=a2400418.kor#pr902id","Jogtár megnyitása")</f>
        <v>Jogtár megnyitása</v>
      </c>
    </row>
    <row r="2227" customFormat="false" ht="38" hidden="false" customHeight="true" outlineLevel="0" collapsed="false">
      <c r="A2227" s="15" t="s">
        <v>7587</v>
      </c>
      <c r="B2227" s="15" t="s">
        <v>1471</v>
      </c>
      <c r="C2227" s="15" t="s">
        <v>7588</v>
      </c>
      <c r="D2227" s="15" t="s">
        <v>7589</v>
      </c>
      <c r="E2227" s="16" t="str">
        <f aca="false">HYPERLINK("#'Forrásszöveg'!A"&amp;(MATCH("VHR-S0903",Forrásszöveg!$A$6:$A$2497,0)+5),"99. § (4) eleje")</f>
        <v>99. § (4) eleje</v>
      </c>
      <c r="F2227" s="16" t="str">
        <f aca="false">HYPERLINK("https://net.jogtar.hu/jogszabaly?docid=a2400418.kor#pr903id","Jogtár megnyitása")</f>
        <v>Jogtár megnyitása</v>
      </c>
    </row>
    <row r="2228" customFormat="false" ht="34" hidden="false" customHeight="true" outlineLevel="0" collapsed="false">
      <c r="A2228" s="15" t="s">
        <v>7590</v>
      </c>
      <c r="B2228" s="15" t="s">
        <v>1471</v>
      </c>
      <c r="C2228" s="15" t="s">
        <v>7591</v>
      </c>
      <c r="D2228" s="15" t="s">
        <v>7592</v>
      </c>
      <c r="E2228" s="16" t="str">
        <f aca="false">HYPERLINK("#'Forrásszöveg'!A"&amp;(MATCH("VHR-S0904",Forrásszöveg!$A$6:$A$2497,0)+5),"99. § (5) eleje")</f>
        <v>99. § (5) eleje</v>
      </c>
      <c r="F2228" s="16" t="str">
        <f aca="false">HYPERLINK("https://net.jogtar.hu/jogszabaly?docid=a2400418.kor#pr904id","Jogtár megnyitása")</f>
        <v>Jogtár megnyitása</v>
      </c>
    </row>
    <row r="2229" customFormat="false" ht="52" hidden="false" customHeight="true" outlineLevel="0" collapsed="false">
      <c r="A2229" s="15" t="s">
        <v>7593</v>
      </c>
      <c r="B2229" s="15" t="s">
        <v>1471</v>
      </c>
      <c r="C2229" s="15" t="s">
        <v>7594</v>
      </c>
      <c r="D2229" s="15" t="s">
        <v>7595</v>
      </c>
      <c r="E2229" s="16" t="str">
        <f aca="false">HYPERLINK("#'Forrásszöveg'!A"&amp;(MATCH("VHR-S0905",Forrásszöveg!$A$6:$A$2497,0)+5),"100. § (1) eleje")</f>
        <v>100. § (1) eleje</v>
      </c>
      <c r="F2229" s="16" t="str">
        <f aca="false">HYPERLINK("https://net.jogtar.hu/jogszabaly?docid=a2400418.kor#pr905id","Jogtár megnyitása")</f>
        <v>Jogtár megnyitása</v>
      </c>
    </row>
    <row r="2230" customFormat="false" ht="38" hidden="false" customHeight="true" outlineLevel="0" collapsed="false">
      <c r="A2230" s="15" t="s">
        <v>7596</v>
      </c>
      <c r="B2230" s="15" t="s">
        <v>1471</v>
      </c>
      <c r="C2230" s="15" t="s">
        <v>7597</v>
      </c>
      <c r="D2230" s="15" t="s">
        <v>7598</v>
      </c>
      <c r="E2230" s="16" t="str">
        <f aca="false">HYPERLINK("#'Forrásszöveg'!A"&amp;(MATCH("VHR-S0906",Forrásszöveg!$A$6:$A$2497,0)+5),"100. § (2) eleje")</f>
        <v>100. § (2) eleje</v>
      </c>
      <c r="F2230" s="16" t="str">
        <f aca="false">HYPERLINK("https://net.jogtar.hu/jogszabaly?docid=a2400418.kor#pr906id","Jogtár megnyitása")</f>
        <v>Jogtár megnyitása</v>
      </c>
    </row>
    <row r="2231" customFormat="false" ht="52" hidden="false" customHeight="true" outlineLevel="0" collapsed="false">
      <c r="A2231" s="15" t="s">
        <v>7599</v>
      </c>
      <c r="B2231" s="15" t="s">
        <v>1471</v>
      </c>
      <c r="C2231" s="15" t="s">
        <v>7600</v>
      </c>
      <c r="D2231" s="15" t="s">
        <v>7601</v>
      </c>
      <c r="E2231" s="16" t="str">
        <f aca="false">HYPERLINK("#'Forrásszöveg'!A"&amp;(MATCH("VHR-S0907",Forrásszöveg!$A$6:$A$2497,0)+5),"101. § (1) eleje")</f>
        <v>101. § (1) eleje</v>
      </c>
      <c r="F2231" s="16" t="str">
        <f aca="false">HYPERLINK("https://net.jogtar.hu/jogszabaly?docid=a2400418.kor#pr907id","Jogtár megnyitása")</f>
        <v>Jogtár megnyitása</v>
      </c>
    </row>
    <row r="2232" customFormat="false" ht="34" hidden="false" customHeight="true" outlineLevel="0" collapsed="false">
      <c r="A2232" s="15" t="s">
        <v>7602</v>
      </c>
      <c r="B2232" s="15" t="s">
        <v>1471</v>
      </c>
      <c r="C2232" s="15" t="s">
        <v>7603</v>
      </c>
      <c r="D2232" s="15" t="s">
        <v>7604</v>
      </c>
      <c r="E2232" s="16" t="str">
        <f aca="false">HYPERLINK("#'Forrásszöveg'!A"&amp;(MATCH("VHR-S0908",Forrásszöveg!$A$6:$A$2497,0)+5),"101. § (2) eleje")</f>
        <v>101. § (2) eleje</v>
      </c>
      <c r="F2232" s="16" t="str">
        <f aca="false">HYPERLINK("https://net.jogtar.hu/jogszabaly?docid=a2400418.kor#pr908id","Jogtár megnyitása")</f>
        <v>Jogtár megnyitása</v>
      </c>
    </row>
    <row r="2233" customFormat="false" ht="52" hidden="false" customHeight="true" outlineLevel="0" collapsed="false">
      <c r="A2233" s="15" t="s">
        <v>7605</v>
      </c>
      <c r="B2233" s="15" t="s">
        <v>1471</v>
      </c>
      <c r="C2233" s="15" t="s">
        <v>1520</v>
      </c>
      <c r="D2233" s="15" t="s">
        <v>7606</v>
      </c>
      <c r="E2233" s="16" t="str">
        <f aca="false">HYPERLINK("#'Forrásszöveg'!A"&amp;(MATCH("VHR-S0909",Forrásszöveg!$A$6:$A$2497,0)+5),"102. § eleje")</f>
        <v>102. § eleje</v>
      </c>
      <c r="F2233" s="16" t="str">
        <f aca="false">HYPERLINK("https://net.jogtar.hu/jogszabaly?docid=a2400418.kor#pr909id","Jogtár megnyitása")</f>
        <v>Jogtár megnyitása</v>
      </c>
    </row>
    <row r="2234" customFormat="false" ht="94" hidden="false" customHeight="true" outlineLevel="0" collapsed="false">
      <c r="A2234" s="15" t="s">
        <v>7607</v>
      </c>
      <c r="B2234" s="15" t="s">
        <v>1471</v>
      </c>
      <c r="C2234" s="15" t="s">
        <v>1521</v>
      </c>
      <c r="D2234" s="15" t="s">
        <v>7608</v>
      </c>
      <c r="E2234" s="16" t="str">
        <f aca="false">HYPERLINK("#'Forrásszöveg'!A"&amp;(MATCH("VHR-S0910",Forrásszöveg!$A$6:$A$2497,0)+5),"103. § eleje")</f>
        <v>103. § eleje</v>
      </c>
      <c r="F2234" s="16" t="str">
        <f aca="false">HYPERLINK("https://net.jogtar.hu/jogszabaly?docid=a2400418.kor#pr910id","Jogtár megnyitása")</f>
        <v>Jogtár megnyitása</v>
      </c>
    </row>
    <row r="2235" customFormat="false" ht="38" hidden="false" customHeight="true" outlineLevel="0" collapsed="false">
      <c r="A2235" s="15" t="s">
        <v>7609</v>
      </c>
      <c r="B2235" s="15" t="s">
        <v>1471</v>
      </c>
      <c r="C2235" s="15" t="s">
        <v>1522</v>
      </c>
      <c r="D2235" s="15" t="s">
        <v>7610</v>
      </c>
      <c r="E2235" s="16" t="str">
        <f aca="false">HYPERLINK("#'Forrásszöveg'!A"&amp;(MATCH("VHR-S0911",Forrásszöveg!$A$6:$A$2497,0)+5),"104. § eleje")</f>
        <v>104. § eleje</v>
      </c>
      <c r="F2235" s="16" t="str">
        <f aca="false">HYPERLINK("https://net.jogtar.hu/jogszabaly?docid=a2400418.kor#pr911id","Jogtár megnyitása")</f>
        <v>Jogtár megnyitása</v>
      </c>
    </row>
    <row r="2236" customFormat="false" ht="34" hidden="false" customHeight="true" outlineLevel="0" collapsed="false">
      <c r="A2236" s="15" t="s">
        <v>7611</v>
      </c>
      <c r="B2236" s="15" t="s">
        <v>1471</v>
      </c>
      <c r="C2236" s="15" t="s">
        <v>4386</v>
      </c>
      <c r="D2236" s="15" t="s">
        <v>4386</v>
      </c>
      <c r="E2236" s="16" t="str">
        <f aca="false">HYPERLINK("#'Forrásszöveg'!A"&amp;(MATCH("VHR-S0911",Forrásszöveg!$A$6:$A$2497,0)+5),"104. § eleje")</f>
        <v>104. § eleje</v>
      </c>
      <c r="F2236" s="16" t="str">
        <f aca="false">HYPERLINK("https://net.jogtar.hu/jogszabaly?docid=a2400418.kor#pr912id","Jogtár megnyitása")</f>
        <v>Jogtár megnyitása</v>
      </c>
    </row>
    <row r="2237" customFormat="false" ht="34" hidden="false" customHeight="true" outlineLevel="0" collapsed="false">
      <c r="A2237" s="15" t="s">
        <v>7612</v>
      </c>
      <c r="B2237" s="15" t="s">
        <v>1471</v>
      </c>
      <c r="C2237" s="15" t="s">
        <v>7613</v>
      </c>
      <c r="D2237" s="15" t="s">
        <v>7613</v>
      </c>
      <c r="E2237" s="16" t="str">
        <f aca="false">HYPERLINK("#'Forrásszöveg'!A"&amp;(MATCH("VHR-S0911",Forrásszöveg!$A$6:$A$2497,0)+5),"104. § eleje")</f>
        <v>104. § eleje</v>
      </c>
      <c r="F2237" s="16" t="str">
        <f aca="false">HYPERLINK("https://net.jogtar.hu/jogszabaly?docid=a2400418.kor#pr913id","Jogtár megnyitása")</f>
        <v>Jogtár megnyitása</v>
      </c>
    </row>
    <row r="2238" customFormat="false" ht="38" hidden="false" customHeight="true" outlineLevel="0" collapsed="false">
      <c r="A2238" s="15" t="s">
        <v>7614</v>
      </c>
      <c r="B2238" s="15" t="s">
        <v>1471</v>
      </c>
      <c r="C2238" s="15" t="s">
        <v>1523</v>
      </c>
      <c r="D2238" s="15" t="s">
        <v>7615</v>
      </c>
      <c r="E2238" s="16" t="str">
        <f aca="false">HYPERLINK("#'Forrásszöveg'!A"&amp;(MATCH("VHR-S0914",Forrásszöveg!$A$6:$A$2497,0)+5),"105. § eleje")</f>
        <v>105. § eleje</v>
      </c>
      <c r="F2238" s="16" t="str">
        <f aca="false">HYPERLINK("https://net.jogtar.hu/jogszabaly?docid=a2400418.kor#pr914id","Jogtár megnyitása")</f>
        <v>Jogtár megnyitása</v>
      </c>
    </row>
    <row r="2239" customFormat="false" ht="34" hidden="false" customHeight="true" outlineLevel="0" collapsed="false">
      <c r="A2239" s="15" t="s">
        <v>7616</v>
      </c>
      <c r="B2239" s="15" t="s">
        <v>1471</v>
      </c>
      <c r="C2239" s="15" t="s">
        <v>4575</v>
      </c>
      <c r="D2239" s="15" t="s">
        <v>4575</v>
      </c>
      <c r="E2239" s="16" t="str">
        <f aca="false">HYPERLINK("#'Forrásszöveg'!A"&amp;(MATCH("VHR-S0914",Forrásszöveg!$A$6:$A$2497,0)+5),"105. § eleje")</f>
        <v>105. § eleje</v>
      </c>
      <c r="F2239" s="16" t="str">
        <f aca="false">HYPERLINK("https://net.jogtar.hu/jogszabaly?docid=a2400418.kor#pr915id","Jogtár megnyitása")</f>
        <v>Jogtár megnyitása</v>
      </c>
    </row>
    <row r="2240" customFormat="false" ht="38" hidden="false" customHeight="true" outlineLevel="0" collapsed="false">
      <c r="A2240" s="15" t="s">
        <v>7617</v>
      </c>
      <c r="B2240" s="15" t="s">
        <v>1471</v>
      </c>
      <c r="C2240" s="15" t="s">
        <v>7618</v>
      </c>
      <c r="D2240" s="15" t="s">
        <v>7618</v>
      </c>
      <c r="E2240" s="16" t="str">
        <f aca="false">HYPERLINK("#'Forrásszöveg'!A"&amp;(MATCH("VHR-S0914",Forrásszöveg!$A$6:$A$2497,0)+5),"105. § eleje")</f>
        <v>105. § eleje</v>
      </c>
      <c r="F2240" s="16" t="str">
        <f aca="false">HYPERLINK("https://net.jogtar.hu/jogszabaly?docid=a2400418.kor#pr916id","Jogtár megnyitása")</f>
        <v>Jogtár megnyitása</v>
      </c>
    </row>
    <row r="2241" customFormat="false" ht="52" hidden="false" customHeight="true" outlineLevel="0" collapsed="false">
      <c r="A2241" s="15" t="s">
        <v>7619</v>
      </c>
      <c r="B2241" s="15" t="s">
        <v>1471</v>
      </c>
      <c r="C2241" s="15" t="s">
        <v>1525</v>
      </c>
      <c r="D2241" s="15" t="s">
        <v>1525</v>
      </c>
      <c r="E2241" s="16" t="str">
        <f aca="false">HYPERLINK("#'Forrásszöveg'!A"&amp;(MATCH("VHR-S0914",Forrásszöveg!$A$6:$A$2497,0)+5),"105. § eleje")</f>
        <v>105. § eleje</v>
      </c>
      <c r="F2241" s="16" t="str">
        <f aca="false">HYPERLINK("https://net.jogtar.hu/jogszabaly?docid=a2400418.kor#pr917id","Jogtár megnyitása")</f>
        <v>Jogtár megnyitása</v>
      </c>
    </row>
    <row r="2242" customFormat="false" ht="52" hidden="false" customHeight="true" outlineLevel="0" collapsed="false">
      <c r="A2242" s="15" t="s">
        <v>7620</v>
      </c>
      <c r="B2242" s="15" t="s">
        <v>1471</v>
      </c>
      <c r="C2242" s="15" t="s">
        <v>7621</v>
      </c>
      <c r="D2242" s="15" t="s">
        <v>7622</v>
      </c>
      <c r="E2242" s="16" t="str">
        <f aca="false">HYPERLINK("#'Forrásszöveg'!A"&amp;(MATCH("VHR-S0918",Forrásszöveg!$A$6:$A$2497,0)+5),"106. § (1) eleje")</f>
        <v>106. § (1) eleje</v>
      </c>
      <c r="F2242" s="16" t="str">
        <f aca="false">HYPERLINK("https://net.jogtar.hu/jogszabaly?docid=a2400418.kor#pr918id","Jogtár megnyitása")</f>
        <v>Jogtár megnyitása</v>
      </c>
    </row>
    <row r="2243" customFormat="false" ht="66" hidden="false" customHeight="true" outlineLevel="0" collapsed="false">
      <c r="A2243" s="15" t="s">
        <v>7623</v>
      </c>
      <c r="B2243" s="15" t="s">
        <v>1471</v>
      </c>
      <c r="C2243" s="15" t="s">
        <v>7624</v>
      </c>
      <c r="D2243" s="15" t="s">
        <v>7625</v>
      </c>
      <c r="E2243" s="16" t="str">
        <f aca="false">HYPERLINK("#'Forrásszöveg'!A"&amp;(MATCH("VHR-S0919",Forrásszöveg!$A$6:$A$2497,0)+5),"106. § (2) eleje")</f>
        <v>106. § (2) eleje</v>
      </c>
      <c r="F2243" s="16" t="str">
        <f aca="false">HYPERLINK("https://net.jogtar.hu/jogszabaly?docid=a2400418.kor#pr919id","Jogtár megnyitása")</f>
        <v>Jogtár megnyitása</v>
      </c>
    </row>
    <row r="2244" customFormat="false" ht="52" hidden="false" customHeight="true" outlineLevel="0" collapsed="false">
      <c r="A2244" s="15" t="s">
        <v>7626</v>
      </c>
      <c r="B2244" s="15" t="s">
        <v>1471</v>
      </c>
      <c r="C2244" s="15" t="s">
        <v>7627</v>
      </c>
      <c r="D2244" s="15" t="s">
        <v>7628</v>
      </c>
      <c r="E2244" s="16" t="str">
        <f aca="false">HYPERLINK("#'Forrásszöveg'!A"&amp;(MATCH("VHR-S0920",Forrásszöveg!$A$6:$A$2497,0)+5),"106. § (3) eleje")</f>
        <v>106. § (3) eleje</v>
      </c>
      <c r="F2244" s="16" t="str">
        <f aca="false">HYPERLINK("https://net.jogtar.hu/jogszabaly?docid=a2400418.kor#pr920id","Jogtár megnyitása")</f>
        <v>Jogtár megnyitása</v>
      </c>
    </row>
    <row r="2245" customFormat="false" ht="52" hidden="false" customHeight="true" outlineLevel="0" collapsed="false">
      <c r="A2245" s="15" t="s">
        <v>7629</v>
      </c>
      <c r="B2245" s="15" t="s">
        <v>1471</v>
      </c>
      <c r="C2245" s="15" t="s">
        <v>7630</v>
      </c>
      <c r="D2245" s="15" t="s">
        <v>7631</v>
      </c>
      <c r="E2245" s="16" t="str">
        <f aca="false">HYPERLINK("#'Forrásszöveg'!A"&amp;(MATCH("VHR-S0921",Forrásszöveg!$A$6:$A$2497,0)+5),"106. § (4) eleje")</f>
        <v>106. § (4) eleje</v>
      </c>
      <c r="F2245" s="16" t="str">
        <f aca="false">HYPERLINK("https://net.jogtar.hu/jogszabaly?docid=a2400418.kor#pr921id","Jogtár megnyitása")</f>
        <v>Jogtár megnyitása</v>
      </c>
    </row>
    <row r="2246" customFormat="false" ht="52" hidden="false" customHeight="true" outlineLevel="0" collapsed="false">
      <c r="A2246" s="15" t="s">
        <v>7632</v>
      </c>
      <c r="B2246" s="15" t="s">
        <v>1471</v>
      </c>
      <c r="C2246" s="15" t="s">
        <v>7633</v>
      </c>
      <c r="D2246" s="15" t="s">
        <v>7634</v>
      </c>
      <c r="E2246" s="16" t="str">
        <f aca="false">HYPERLINK("#'Forrásszöveg'!A"&amp;(MATCH("VHR-S0922",Forrásszöveg!$A$6:$A$2497,0)+5),"106. § (5) eleje")</f>
        <v>106. § (5) eleje</v>
      </c>
      <c r="F2246" s="16" t="str">
        <f aca="false">HYPERLINK("https://net.jogtar.hu/jogszabaly?docid=a2400418.kor#pr922id","Jogtár megnyitása")</f>
        <v>Jogtár megnyitása</v>
      </c>
    </row>
    <row r="2247" customFormat="false" ht="38" hidden="false" customHeight="true" outlineLevel="0" collapsed="false">
      <c r="A2247" s="15" t="s">
        <v>7635</v>
      </c>
      <c r="B2247" s="15" t="s">
        <v>1471</v>
      </c>
      <c r="C2247" s="15" t="s">
        <v>7636</v>
      </c>
      <c r="D2247" s="15" t="s">
        <v>7637</v>
      </c>
      <c r="E2247" s="16" t="str">
        <f aca="false">HYPERLINK("#'Forrásszöveg'!A"&amp;(MATCH("VHR-S0923",Forrásszöveg!$A$6:$A$2497,0)+5),"106. § (6) eleje")</f>
        <v>106. § (6) eleje</v>
      </c>
      <c r="F2247" s="16" t="str">
        <f aca="false">HYPERLINK("https://net.jogtar.hu/jogszabaly?docid=a2400418.kor#pr923id","Jogtár megnyitása")</f>
        <v>Jogtár megnyitása</v>
      </c>
    </row>
    <row r="2248" customFormat="false" ht="34" hidden="false" customHeight="true" outlineLevel="0" collapsed="false">
      <c r="A2248" s="15" t="s">
        <v>7638</v>
      </c>
      <c r="B2248" s="15" t="s">
        <v>1471</v>
      </c>
      <c r="C2248" s="15" t="s">
        <v>7639</v>
      </c>
      <c r="D2248" s="15" t="s">
        <v>7640</v>
      </c>
      <c r="E2248" s="16" t="str">
        <f aca="false">HYPERLINK("#'Forrásszöveg'!A"&amp;(MATCH("VHR-S0923",Forrásszöveg!$A$6:$A$2497,0)+5),"106. § (6) eleje")</f>
        <v>106. § (6) eleje</v>
      </c>
      <c r="F2248" s="16" t="str">
        <f aca="false">HYPERLINK("https://net.jogtar.hu/jogszabaly?docid=a2400418.kor#pr924id","Jogtár megnyitása")</f>
        <v>Jogtár megnyitása</v>
      </c>
    </row>
    <row r="2249" customFormat="false" ht="34" hidden="false" customHeight="true" outlineLevel="0" collapsed="false">
      <c r="A2249" s="15" t="s">
        <v>7641</v>
      </c>
      <c r="B2249" s="15" t="s">
        <v>1471</v>
      </c>
      <c r="C2249" s="15" t="s">
        <v>7642</v>
      </c>
      <c r="D2249" s="15" t="s">
        <v>7643</v>
      </c>
      <c r="E2249" s="16" t="str">
        <f aca="false">HYPERLINK("#'Forrásszöveg'!A"&amp;(MATCH("VHR-S0923",Forrásszöveg!$A$6:$A$2497,0)+5),"106. § (6) eleje")</f>
        <v>106. § (6) eleje</v>
      </c>
      <c r="F2249" s="16" t="str">
        <f aca="false">HYPERLINK("https://net.jogtar.hu/jogszabaly?docid=a2400418.kor#pr925id","Jogtár megnyitása")</f>
        <v>Jogtár megnyitása</v>
      </c>
    </row>
    <row r="2250" customFormat="false" ht="34" hidden="false" customHeight="true" outlineLevel="0" collapsed="false">
      <c r="A2250" s="15" t="s">
        <v>7644</v>
      </c>
      <c r="B2250" s="15" t="s">
        <v>1471</v>
      </c>
      <c r="C2250" s="15" t="s">
        <v>7645</v>
      </c>
      <c r="D2250" s="15" t="s">
        <v>7646</v>
      </c>
      <c r="E2250" s="16" t="str">
        <f aca="false">HYPERLINK("#'Forrásszöveg'!A"&amp;(MATCH("VHR-S0923",Forrásszöveg!$A$6:$A$2497,0)+5),"106. § (6) eleje")</f>
        <v>106. § (6) eleje</v>
      </c>
      <c r="F2250" s="16" t="str">
        <f aca="false">HYPERLINK("https://net.jogtar.hu/jogszabaly?docid=a2400418.kor#pr926id","Jogtár megnyitása")</f>
        <v>Jogtár megnyitása</v>
      </c>
    </row>
    <row r="2251" customFormat="false" ht="38" hidden="false" customHeight="true" outlineLevel="0" collapsed="false">
      <c r="A2251" s="15" t="s">
        <v>7647</v>
      </c>
      <c r="B2251" s="15" t="s">
        <v>1471</v>
      </c>
      <c r="C2251" s="15" t="s">
        <v>7648</v>
      </c>
      <c r="D2251" s="15" t="s">
        <v>7649</v>
      </c>
      <c r="E2251" s="16" t="str">
        <f aca="false">HYPERLINK("#'Forrásszöveg'!A"&amp;(MATCH("VHR-S0923",Forrásszöveg!$A$6:$A$2497,0)+5),"106. § (6) eleje")</f>
        <v>106. § (6) eleje</v>
      </c>
      <c r="F2251" s="16" t="str">
        <f aca="false">HYPERLINK("https://net.jogtar.hu/jogszabaly?docid=a2400418.kor#pr927id","Jogtár megnyitása")</f>
        <v>Jogtár megnyitása</v>
      </c>
    </row>
    <row r="2252" customFormat="false" ht="34" hidden="false" customHeight="true" outlineLevel="0" collapsed="false">
      <c r="A2252" s="15" t="s">
        <v>7650</v>
      </c>
      <c r="B2252" s="15" t="s">
        <v>1471</v>
      </c>
      <c r="C2252" s="15" t="s">
        <v>7636</v>
      </c>
      <c r="D2252" s="15" t="s">
        <v>2961</v>
      </c>
      <c r="E2252" s="16" t="str">
        <f aca="false">HYPERLINK("#'Forrásszöveg'!A"&amp;(MATCH("VHR-S0923",Forrásszöveg!$A$6:$A$2497,0)+5),"106. § (6) eleje")</f>
        <v>106. § (6) eleje</v>
      </c>
      <c r="F2252" s="16" t="str">
        <f aca="false">HYPERLINK("https://net.jogtar.hu/jogszabaly?docid=a2400418.kor#pr928id","Jogtár megnyitása")</f>
        <v>Jogtár megnyitása</v>
      </c>
    </row>
    <row r="2253" customFormat="false" ht="38" hidden="false" customHeight="true" outlineLevel="0" collapsed="false">
      <c r="A2253" s="15" t="s">
        <v>7651</v>
      </c>
      <c r="B2253" s="15" t="s">
        <v>1471</v>
      </c>
      <c r="C2253" s="15" t="s">
        <v>1527</v>
      </c>
      <c r="D2253" s="15" t="s">
        <v>1527</v>
      </c>
      <c r="E2253" s="16" t="str">
        <f aca="false">HYPERLINK("#'Forrásszöveg'!A"&amp;(MATCH("VHR-S0918",Forrásszöveg!$A$6:$A$2497,0)+5),"106. § eleje")</f>
        <v>106. § eleje</v>
      </c>
      <c r="F2253" s="16" t="str">
        <f aca="false">HYPERLINK("https://net.jogtar.hu/jogszabaly?docid=a2400418.kor#pr929id","Jogtár megnyitása")</f>
        <v>Jogtár megnyitása</v>
      </c>
    </row>
    <row r="2254" customFormat="false" ht="52" hidden="false" customHeight="true" outlineLevel="0" collapsed="false">
      <c r="A2254" s="15" t="s">
        <v>7652</v>
      </c>
      <c r="B2254" s="15" t="s">
        <v>1471</v>
      </c>
      <c r="C2254" s="15" t="s">
        <v>7653</v>
      </c>
      <c r="D2254" s="15" t="s">
        <v>7654</v>
      </c>
      <c r="E2254" s="16" t="str">
        <f aca="false">HYPERLINK("#'Forrásszöveg'!A"&amp;(MATCH("VHR-S0930",Forrásszöveg!$A$6:$A$2497,0)+5),"107. § (1) eleje")</f>
        <v>107. § (1) eleje</v>
      </c>
      <c r="F2254" s="16" t="str">
        <f aca="false">HYPERLINK("https://net.jogtar.hu/jogszabaly?docid=a2400418.kor#pr930id","Jogtár megnyitása")</f>
        <v>Jogtár megnyitása</v>
      </c>
    </row>
    <row r="2255" customFormat="false" ht="38" hidden="false" customHeight="true" outlineLevel="0" collapsed="false">
      <c r="A2255" s="15" t="s">
        <v>7655</v>
      </c>
      <c r="B2255" s="15" t="s">
        <v>1471</v>
      </c>
      <c r="C2255" s="15" t="s">
        <v>7656</v>
      </c>
      <c r="D2255" s="15" t="s">
        <v>7657</v>
      </c>
      <c r="E2255" s="16" t="str">
        <f aca="false">HYPERLINK("#'Forrásszöveg'!A"&amp;(MATCH("VHR-S0931",Forrásszöveg!$A$6:$A$2497,0)+5),"107. § (2) eleje")</f>
        <v>107. § (2) eleje</v>
      </c>
      <c r="F2255" s="16" t="str">
        <f aca="false">HYPERLINK("https://net.jogtar.hu/jogszabaly?docid=a2400418.kor#pr931id","Jogtár megnyitása")</f>
        <v>Jogtár megnyitása</v>
      </c>
    </row>
    <row r="2256" customFormat="false" ht="34" hidden="false" customHeight="true" outlineLevel="0" collapsed="false">
      <c r="A2256" s="15" t="s">
        <v>7658</v>
      </c>
      <c r="B2256" s="15" t="s">
        <v>1471</v>
      </c>
      <c r="C2256" s="15" t="s">
        <v>7659</v>
      </c>
      <c r="D2256" s="15" t="s">
        <v>7660</v>
      </c>
      <c r="E2256" s="16" t="str">
        <f aca="false">HYPERLINK("#'Forrásszöveg'!A"&amp;(MATCH("VHR-S0932",Forrásszöveg!$A$6:$A$2497,0)+5),"107. § (3) eleje")</f>
        <v>107. § (3) eleje</v>
      </c>
      <c r="F2256" s="16" t="str">
        <f aca="false">HYPERLINK("https://net.jogtar.hu/jogszabaly?docid=a2400418.kor#pr932id","Jogtár megnyitása")</f>
        <v>Jogtár megnyitása</v>
      </c>
    </row>
    <row r="2257" customFormat="false" ht="34" hidden="false" customHeight="true" outlineLevel="0" collapsed="false">
      <c r="A2257" s="15" t="s">
        <v>7661</v>
      </c>
      <c r="B2257" s="15" t="s">
        <v>1471</v>
      </c>
      <c r="C2257" s="15" t="s">
        <v>7662</v>
      </c>
      <c r="D2257" s="15" t="s">
        <v>7663</v>
      </c>
      <c r="E2257" s="16" t="str">
        <f aca="false">HYPERLINK("#'Forrásszöveg'!A"&amp;(MATCH("VHR-S0932",Forrásszöveg!$A$6:$A$2497,0)+5),"107. § (3) eleje")</f>
        <v>107. § (3) eleje</v>
      </c>
      <c r="F2257" s="16" t="str">
        <f aca="false">HYPERLINK("https://net.jogtar.hu/jogszabaly?docid=a2400418.kor#pr933id","Jogtár megnyitása")</f>
        <v>Jogtár megnyitása</v>
      </c>
    </row>
    <row r="2258" customFormat="false" ht="34" hidden="false" customHeight="true" outlineLevel="0" collapsed="false">
      <c r="A2258" s="15" t="s">
        <v>7664</v>
      </c>
      <c r="B2258" s="15" t="s">
        <v>1471</v>
      </c>
      <c r="C2258" s="15" t="s">
        <v>7665</v>
      </c>
      <c r="D2258" s="15" t="s">
        <v>7666</v>
      </c>
      <c r="E2258" s="16" t="str">
        <f aca="false">HYPERLINK("#'Forrásszöveg'!A"&amp;(MATCH("VHR-S0932",Forrásszöveg!$A$6:$A$2497,0)+5),"107. § (3) eleje")</f>
        <v>107. § (3) eleje</v>
      </c>
      <c r="F2258" s="16" t="str">
        <f aca="false">HYPERLINK("https://net.jogtar.hu/jogszabaly?docid=a2400418.kor#pr934id","Jogtár megnyitása")</f>
        <v>Jogtár megnyitása</v>
      </c>
    </row>
    <row r="2259" customFormat="false" ht="38" hidden="false" customHeight="true" outlineLevel="0" collapsed="false">
      <c r="A2259" s="15" t="s">
        <v>7667</v>
      </c>
      <c r="B2259" s="15" t="s">
        <v>1471</v>
      </c>
      <c r="C2259" s="15" t="s">
        <v>7668</v>
      </c>
      <c r="D2259" s="15" t="s">
        <v>7669</v>
      </c>
      <c r="E2259" s="16" t="str">
        <f aca="false">HYPERLINK("#'Forrásszöveg'!A"&amp;(MATCH("VHR-S0932",Forrásszöveg!$A$6:$A$2497,0)+5),"107. § (3) eleje")</f>
        <v>107. § (3) eleje</v>
      </c>
      <c r="F2259" s="16" t="str">
        <f aca="false">HYPERLINK("https://net.jogtar.hu/jogszabaly?docid=a2400418.kor#pr935id","Jogtár megnyitása")</f>
        <v>Jogtár megnyitása</v>
      </c>
    </row>
    <row r="2260" customFormat="false" ht="34" hidden="false" customHeight="true" outlineLevel="0" collapsed="false">
      <c r="A2260" s="15" t="s">
        <v>7670</v>
      </c>
      <c r="B2260" s="15" t="s">
        <v>1471</v>
      </c>
      <c r="C2260" s="15" t="s">
        <v>7671</v>
      </c>
      <c r="D2260" s="15" t="s">
        <v>7672</v>
      </c>
      <c r="E2260" s="16" t="str">
        <f aca="false">HYPERLINK("#'Forrásszöveg'!A"&amp;(MATCH("VHR-S0932",Forrásszöveg!$A$6:$A$2497,0)+5),"107. § (3) eleje")</f>
        <v>107. § (3) eleje</v>
      </c>
      <c r="F2260" s="16" t="str">
        <f aca="false">HYPERLINK("https://net.jogtar.hu/jogszabaly?docid=a2400418.kor#pr936id","Jogtár megnyitása")</f>
        <v>Jogtár megnyitása</v>
      </c>
    </row>
    <row r="2261" customFormat="false" ht="34" hidden="false" customHeight="true" outlineLevel="0" collapsed="false">
      <c r="A2261" s="15" t="s">
        <v>7673</v>
      </c>
      <c r="B2261" s="15" t="s">
        <v>1471</v>
      </c>
      <c r="C2261" s="15" t="s">
        <v>7674</v>
      </c>
      <c r="D2261" s="15" t="s">
        <v>7675</v>
      </c>
      <c r="E2261" s="16" t="str">
        <f aca="false">HYPERLINK("#'Forrásszöveg'!A"&amp;(MATCH("VHR-S0932",Forrásszöveg!$A$6:$A$2497,0)+5),"107. § (3) eleje")</f>
        <v>107. § (3) eleje</v>
      </c>
      <c r="F2261" s="16" t="str">
        <f aca="false">HYPERLINK("https://net.jogtar.hu/jogszabaly?docid=a2400418.kor#pr937id","Jogtár megnyitása")</f>
        <v>Jogtár megnyitása</v>
      </c>
    </row>
    <row r="2262" customFormat="false" ht="34" hidden="false" customHeight="true" outlineLevel="0" collapsed="false">
      <c r="A2262" s="15" t="s">
        <v>7676</v>
      </c>
      <c r="B2262" s="15" t="s">
        <v>1471</v>
      </c>
      <c r="C2262" s="15" t="s">
        <v>7677</v>
      </c>
      <c r="D2262" s="15" t="s">
        <v>7678</v>
      </c>
      <c r="E2262" s="16" t="str">
        <f aca="false">HYPERLINK("#'Forrásszöveg'!A"&amp;(MATCH("VHR-S0932",Forrásszöveg!$A$6:$A$2497,0)+5),"107. § (3) eleje")</f>
        <v>107. § (3) eleje</v>
      </c>
      <c r="F2262" s="16" t="str">
        <f aca="false">HYPERLINK("https://net.jogtar.hu/jogszabaly?docid=a2400418.kor#pr938id","Jogtár megnyitása")</f>
        <v>Jogtár megnyitása</v>
      </c>
    </row>
    <row r="2263" customFormat="false" ht="66" hidden="false" customHeight="true" outlineLevel="0" collapsed="false">
      <c r="A2263" s="15" t="s">
        <v>7679</v>
      </c>
      <c r="B2263" s="15" t="s">
        <v>1471</v>
      </c>
      <c r="C2263" s="15" t="s">
        <v>7680</v>
      </c>
      <c r="D2263" s="15" t="s">
        <v>7681</v>
      </c>
      <c r="E2263" s="16" t="str">
        <f aca="false">HYPERLINK("#'Forrásszöveg'!A"&amp;(MATCH("VHR-S0939",Forrásszöveg!$A$6:$A$2497,0)+5),"107. § (4) eleje")</f>
        <v>107. § (4) eleje</v>
      </c>
      <c r="F2263" s="16" t="str">
        <f aca="false">HYPERLINK("https://net.jogtar.hu/jogszabaly?docid=a2400418.kor#pr939id","Jogtár megnyitása")</f>
        <v>Jogtár megnyitása</v>
      </c>
    </row>
    <row r="2264" customFormat="false" ht="38" hidden="false" customHeight="true" outlineLevel="0" collapsed="false">
      <c r="A2264" s="15" t="s">
        <v>7682</v>
      </c>
      <c r="B2264" s="15" t="s">
        <v>1471</v>
      </c>
      <c r="C2264" s="15" t="s">
        <v>7683</v>
      </c>
      <c r="D2264" s="15" t="s">
        <v>7684</v>
      </c>
      <c r="E2264" s="16" t="str">
        <f aca="false">HYPERLINK("#'Forrásszöveg'!A"&amp;(MATCH("VHR-S0940",Forrásszöveg!$A$6:$A$2497,0)+5),"107. § (5) eleje")</f>
        <v>107. § (5) eleje</v>
      </c>
      <c r="F2264" s="16" t="str">
        <f aca="false">HYPERLINK("https://net.jogtar.hu/jogszabaly?docid=a2400418.kor#pr940id","Jogtár megnyitása")</f>
        <v>Jogtár megnyitása</v>
      </c>
    </row>
    <row r="2265" customFormat="false" ht="52" hidden="false" customHeight="true" outlineLevel="0" collapsed="false">
      <c r="A2265" s="15" t="s">
        <v>7685</v>
      </c>
      <c r="B2265" s="15" t="s">
        <v>1471</v>
      </c>
      <c r="C2265" s="15" t="s">
        <v>7686</v>
      </c>
      <c r="D2265" s="15" t="s">
        <v>7687</v>
      </c>
      <c r="E2265" s="16" t="str">
        <f aca="false">HYPERLINK("#'Forrásszöveg'!A"&amp;(MATCH("VHR-S0941",Forrásszöveg!$A$6:$A$2497,0)+5),"108. § (1) eleje")</f>
        <v>108. § (1) eleje</v>
      </c>
      <c r="F2265" s="16" t="str">
        <f aca="false">HYPERLINK("https://net.jogtar.hu/jogszabaly?docid=a2400418.kor#pr941id","Jogtár megnyitása")</f>
        <v>Jogtár megnyitása</v>
      </c>
    </row>
    <row r="2266" customFormat="false" ht="38" hidden="false" customHeight="true" outlineLevel="0" collapsed="false">
      <c r="A2266" s="15" t="s">
        <v>7688</v>
      </c>
      <c r="B2266" s="15" t="s">
        <v>1471</v>
      </c>
      <c r="C2266" s="15" t="s">
        <v>7689</v>
      </c>
      <c r="D2266" s="15" t="s">
        <v>7690</v>
      </c>
      <c r="E2266" s="16" t="str">
        <f aca="false">HYPERLINK("#'Forrásszöveg'!A"&amp;(MATCH("VHR-S0942",Forrásszöveg!$A$6:$A$2497,0)+5),"108. § (2) eleje")</f>
        <v>108. § (2) eleje</v>
      </c>
      <c r="F2266" s="16" t="str">
        <f aca="false">HYPERLINK("https://net.jogtar.hu/jogszabaly?docid=a2400418.kor#pr942id","Jogtár megnyitása")</f>
        <v>Jogtár megnyitása</v>
      </c>
    </row>
    <row r="2267" customFormat="false" ht="34" hidden="false" customHeight="true" outlineLevel="0" collapsed="false">
      <c r="A2267" s="15" t="s">
        <v>7691</v>
      </c>
      <c r="B2267" s="15" t="s">
        <v>1471</v>
      </c>
      <c r="C2267" s="15" t="s">
        <v>7692</v>
      </c>
      <c r="D2267" s="15" t="s">
        <v>7693</v>
      </c>
      <c r="E2267" s="16" t="str">
        <f aca="false">HYPERLINK("#'Forrásszöveg'!A"&amp;(MATCH("VHR-S0943",Forrásszöveg!$A$6:$A$2497,0)+5),"109. § (1) eleje")</f>
        <v>109. § (1) eleje</v>
      </c>
      <c r="F2267" s="16" t="str">
        <f aca="false">HYPERLINK("https://net.jogtar.hu/jogszabaly?docid=a2400418.kor#pr943id","Jogtár megnyitása")</f>
        <v>Jogtár megnyitása</v>
      </c>
    </row>
    <row r="2268" customFormat="false" ht="34" hidden="false" customHeight="true" outlineLevel="0" collapsed="false">
      <c r="A2268" s="15" t="s">
        <v>7694</v>
      </c>
      <c r="B2268" s="15" t="s">
        <v>1471</v>
      </c>
      <c r="C2268" s="15" t="s">
        <v>7695</v>
      </c>
      <c r="D2268" s="15" t="s">
        <v>7696</v>
      </c>
      <c r="E2268" s="16" t="str">
        <f aca="false">HYPERLINK("#'Forrásszöveg'!A"&amp;(MATCH("VHR-S0943",Forrásszöveg!$A$6:$A$2497,0)+5),"109. § (1) eleje")</f>
        <v>109. § (1) eleje</v>
      </c>
      <c r="F2268" s="16" t="str">
        <f aca="false">HYPERLINK("https://net.jogtar.hu/jogszabaly?docid=a2400418.kor#pr944id","Jogtár megnyitása")</f>
        <v>Jogtár megnyitása</v>
      </c>
    </row>
    <row r="2269" customFormat="false" ht="34" hidden="false" customHeight="true" outlineLevel="0" collapsed="false">
      <c r="A2269" s="15" t="s">
        <v>7697</v>
      </c>
      <c r="B2269" s="15" t="s">
        <v>1471</v>
      </c>
      <c r="C2269" s="15" t="s">
        <v>7698</v>
      </c>
      <c r="D2269" s="15" t="s">
        <v>7699</v>
      </c>
      <c r="E2269" s="16" t="str">
        <f aca="false">HYPERLINK("#'Forrásszöveg'!A"&amp;(MATCH("VHR-S0943",Forrásszöveg!$A$6:$A$2497,0)+5),"109. § (1) eleje")</f>
        <v>109. § (1) eleje</v>
      </c>
      <c r="F2269" s="16" t="str">
        <f aca="false">HYPERLINK("https://net.jogtar.hu/jogszabaly?docid=a2400418.kor#pr945id","Jogtár megnyitása")</f>
        <v>Jogtár megnyitása</v>
      </c>
    </row>
    <row r="2270" customFormat="false" ht="34" hidden="false" customHeight="true" outlineLevel="0" collapsed="false">
      <c r="A2270" s="15" t="s">
        <v>7700</v>
      </c>
      <c r="B2270" s="15" t="s">
        <v>1471</v>
      </c>
      <c r="C2270" s="15" t="s">
        <v>7692</v>
      </c>
      <c r="D2270" s="15" t="s">
        <v>7701</v>
      </c>
      <c r="E2270" s="16" t="str">
        <f aca="false">HYPERLINK("#'Forrásszöveg'!A"&amp;(MATCH("VHR-S0943",Forrásszöveg!$A$6:$A$2497,0)+5),"109. § (1) eleje")</f>
        <v>109. § (1) eleje</v>
      </c>
      <c r="F2270" s="16" t="str">
        <f aca="false">HYPERLINK("https://net.jogtar.hu/jogszabaly?docid=a2400418.kor#pr946id","Jogtár megnyitása")</f>
        <v>Jogtár megnyitása</v>
      </c>
    </row>
    <row r="2271" customFormat="false" ht="34" hidden="false" customHeight="true" outlineLevel="0" collapsed="false">
      <c r="A2271" s="15" t="s">
        <v>7702</v>
      </c>
      <c r="B2271" s="15" t="s">
        <v>1471</v>
      </c>
      <c r="C2271" s="15" t="s">
        <v>7703</v>
      </c>
      <c r="D2271" s="15" t="s">
        <v>7704</v>
      </c>
      <c r="E2271" s="16" t="str">
        <f aca="false">HYPERLINK("#'Forrásszöveg'!A"&amp;(MATCH("VHR-S0947",Forrásszöveg!$A$6:$A$2497,0)+5),"109. § (2) eleje")</f>
        <v>109. § (2) eleje</v>
      </c>
      <c r="F2271" s="16" t="str">
        <f aca="false">HYPERLINK("https://net.jogtar.hu/jogszabaly?docid=a2400418.kor#pr947id","Jogtár megnyitása")</f>
        <v>Jogtár megnyitása</v>
      </c>
    </row>
    <row r="2272" customFormat="false" ht="52" hidden="false" customHeight="true" outlineLevel="0" collapsed="false">
      <c r="A2272" s="15" t="s">
        <v>7705</v>
      </c>
      <c r="B2272" s="15" t="s">
        <v>1471</v>
      </c>
      <c r="C2272" s="15" t="s">
        <v>7706</v>
      </c>
      <c r="D2272" s="15" t="s">
        <v>7707</v>
      </c>
      <c r="E2272" s="16" t="str">
        <f aca="false">HYPERLINK("#'Forrásszöveg'!A"&amp;(MATCH("VHR-S0947",Forrásszöveg!$A$6:$A$2497,0)+5),"109. § (2) eleje")</f>
        <v>109. § (2) eleje</v>
      </c>
      <c r="F2272" s="16" t="str">
        <f aca="false">HYPERLINK("https://net.jogtar.hu/jogszabaly?docid=a2400418.kor#pr948id","Jogtár megnyitása")</f>
        <v>Jogtár megnyitása</v>
      </c>
    </row>
    <row r="2273" customFormat="false" ht="38" hidden="false" customHeight="true" outlineLevel="0" collapsed="false">
      <c r="A2273" s="15" t="s">
        <v>7708</v>
      </c>
      <c r="B2273" s="15" t="s">
        <v>1471</v>
      </c>
      <c r="C2273" s="15" t="s">
        <v>7709</v>
      </c>
      <c r="D2273" s="15" t="s">
        <v>7710</v>
      </c>
      <c r="E2273" s="16" t="str">
        <f aca="false">HYPERLINK("#'Forrásszöveg'!A"&amp;(MATCH("VHR-S0947",Forrásszöveg!$A$6:$A$2497,0)+5),"109. § (2) eleje")</f>
        <v>109. § (2) eleje</v>
      </c>
      <c r="F2273" s="16" t="str">
        <f aca="false">HYPERLINK("https://net.jogtar.hu/jogszabaly?docid=a2400418.kor#pr949id","Jogtár megnyitása")</f>
        <v>Jogtár megnyitása</v>
      </c>
    </row>
    <row r="2274" customFormat="false" ht="38" hidden="false" customHeight="true" outlineLevel="0" collapsed="false">
      <c r="A2274" s="15" t="s">
        <v>7711</v>
      </c>
      <c r="B2274" s="15" t="s">
        <v>1471</v>
      </c>
      <c r="C2274" s="15" t="s">
        <v>7712</v>
      </c>
      <c r="D2274" s="15" t="s">
        <v>7713</v>
      </c>
      <c r="E2274" s="16" t="str">
        <f aca="false">HYPERLINK("#'Forrásszöveg'!A"&amp;(MATCH("VHR-S0947",Forrásszöveg!$A$6:$A$2497,0)+5),"109. § (2) eleje")</f>
        <v>109. § (2) eleje</v>
      </c>
      <c r="F2274" s="16" t="str">
        <f aca="false">HYPERLINK("https://net.jogtar.hu/jogszabaly?docid=a2400418.kor#pr950id","Jogtár megnyitása")</f>
        <v>Jogtár megnyitása</v>
      </c>
    </row>
    <row r="2275" customFormat="false" ht="52" hidden="false" customHeight="true" outlineLevel="0" collapsed="false">
      <c r="A2275" s="15" t="s">
        <v>7714</v>
      </c>
      <c r="B2275" s="15" t="s">
        <v>1471</v>
      </c>
      <c r="C2275" s="15" t="s">
        <v>7715</v>
      </c>
      <c r="D2275" s="15" t="s">
        <v>7716</v>
      </c>
      <c r="E2275" s="16" t="str">
        <f aca="false">HYPERLINK("#'Forrásszöveg'!A"&amp;(MATCH("VHR-S0951",Forrásszöveg!$A$6:$A$2497,0)+5),"109. § (3) eleje")</f>
        <v>109. § (3) eleje</v>
      </c>
      <c r="F2275" s="16" t="str">
        <f aca="false">HYPERLINK("https://net.jogtar.hu/jogszabaly?docid=a2400418.kor#pr951id","Jogtár megnyitása")</f>
        <v>Jogtár megnyitása</v>
      </c>
    </row>
    <row r="2276" customFormat="false" ht="66" hidden="false" customHeight="true" outlineLevel="0" collapsed="false">
      <c r="A2276" s="15" t="s">
        <v>7717</v>
      </c>
      <c r="B2276" s="15" t="s">
        <v>1471</v>
      </c>
      <c r="C2276" s="15" t="s">
        <v>1530</v>
      </c>
      <c r="D2276" s="15" t="s">
        <v>7718</v>
      </c>
      <c r="E2276" s="16" t="str">
        <f aca="false">HYPERLINK("#'Forrásszöveg'!A"&amp;(MATCH("VHR-S0952",Forrásszöveg!$A$6:$A$2497,0)+5),"110. § eleje")</f>
        <v>110. § eleje</v>
      </c>
      <c r="F2276" s="16" t="str">
        <f aca="false">HYPERLINK("https://net.jogtar.hu/jogszabaly?docid=a2400418.kor#pr952id","Jogtár megnyitása")</f>
        <v>Jogtár megnyitása</v>
      </c>
    </row>
    <row r="2277" customFormat="false" ht="66" hidden="false" customHeight="true" outlineLevel="0" collapsed="false">
      <c r="A2277" s="15" t="s">
        <v>7719</v>
      </c>
      <c r="B2277" s="15" t="s">
        <v>1471</v>
      </c>
      <c r="C2277" s="15" t="s">
        <v>1532</v>
      </c>
      <c r="D2277" s="15" t="s">
        <v>1532</v>
      </c>
      <c r="E2277" s="16" t="str">
        <f aca="false">HYPERLINK("#'Forrásszöveg'!A"&amp;(MATCH("VHR-S0952",Forrásszöveg!$A$6:$A$2497,0)+5),"110. § eleje")</f>
        <v>110. § eleje</v>
      </c>
      <c r="F2277" s="16" t="str">
        <f aca="false">HYPERLINK("https://net.jogtar.hu/jogszabaly?docid=a2400418.kor#pr953id","Jogtár megnyitása")</f>
        <v>Jogtár megnyitása</v>
      </c>
    </row>
    <row r="2278" customFormat="false" ht="38" hidden="false" customHeight="true" outlineLevel="0" collapsed="false">
      <c r="A2278" s="15" t="s">
        <v>7720</v>
      </c>
      <c r="B2278" s="15" t="s">
        <v>1471</v>
      </c>
      <c r="C2278" s="15" t="s">
        <v>7721</v>
      </c>
      <c r="D2278" s="15" t="s">
        <v>7722</v>
      </c>
      <c r="E2278" s="16" t="str">
        <f aca="false">HYPERLINK("#'Forrásszöveg'!A"&amp;(MATCH("VHR-S0954",Forrásszöveg!$A$6:$A$2497,0)+5),"111. § (1) eleje")</f>
        <v>111. § (1) eleje</v>
      </c>
      <c r="F2278" s="16" t="str">
        <f aca="false">HYPERLINK("https://net.jogtar.hu/jogszabaly?docid=a2400418.kor#pr954id","Jogtár megnyitása")</f>
        <v>Jogtár megnyitása</v>
      </c>
    </row>
    <row r="2279" customFormat="false" ht="52" hidden="false" customHeight="true" outlineLevel="0" collapsed="false">
      <c r="A2279" s="15" t="s">
        <v>7723</v>
      </c>
      <c r="B2279" s="15" t="s">
        <v>1471</v>
      </c>
      <c r="C2279" s="15" t="s">
        <v>7724</v>
      </c>
      <c r="D2279" s="15" t="s">
        <v>7725</v>
      </c>
      <c r="E2279" s="16" t="str">
        <f aca="false">HYPERLINK("#'Forrásszöveg'!A"&amp;(MATCH("VHR-S0955",Forrásszöveg!$A$6:$A$2497,0)+5),"111. § (2) eleje")</f>
        <v>111. § (2) eleje</v>
      </c>
      <c r="F2279" s="16" t="str">
        <f aca="false">HYPERLINK("https://net.jogtar.hu/jogszabaly?docid=a2400418.kor#pr955id","Jogtár megnyitása")</f>
        <v>Jogtár megnyitása</v>
      </c>
    </row>
    <row r="2280" customFormat="false" ht="34" hidden="false" customHeight="true" outlineLevel="0" collapsed="false">
      <c r="A2280" s="15" t="s">
        <v>7726</v>
      </c>
      <c r="B2280" s="15" t="s">
        <v>1471</v>
      </c>
      <c r="C2280" s="15" t="s">
        <v>4767</v>
      </c>
      <c r="D2280" s="15" t="s">
        <v>4767</v>
      </c>
      <c r="E2280" s="16" t="str">
        <f aca="false">HYPERLINK("#'Forrásszöveg'!A"&amp;(MATCH("VHR-S0954",Forrásszöveg!$A$6:$A$2497,0)+5),"111. § eleje")</f>
        <v>111. § eleje</v>
      </c>
      <c r="F2280" s="16" t="str">
        <f aca="false">HYPERLINK("https://net.jogtar.hu/jogszabaly?docid=a2400418.kor#pr956id","Jogtár megnyitása")</f>
        <v>Jogtár megnyitása</v>
      </c>
    </row>
    <row r="2281" customFormat="false" ht="34" hidden="false" customHeight="true" outlineLevel="0" collapsed="false">
      <c r="A2281" s="15" t="s">
        <v>7727</v>
      </c>
      <c r="B2281" s="15" t="s">
        <v>1471</v>
      </c>
      <c r="C2281" s="15" t="s">
        <v>7728</v>
      </c>
      <c r="D2281" s="15" t="s">
        <v>7728</v>
      </c>
      <c r="E2281" s="16" t="str">
        <f aca="false">HYPERLINK("#'Forrásszöveg'!A"&amp;(MATCH("VHR-S0954",Forrásszöveg!$A$6:$A$2497,0)+5),"111. § eleje")</f>
        <v>111. § eleje</v>
      </c>
      <c r="F2281" s="16" t="str">
        <f aca="false">HYPERLINK("https://net.jogtar.hu/jogszabaly?docid=a2400418.kor#pr957id","Jogtár megnyitása")</f>
        <v>Jogtár megnyitása</v>
      </c>
    </row>
    <row r="2282" customFormat="false" ht="34" hidden="false" customHeight="true" outlineLevel="0" collapsed="false">
      <c r="A2282" s="15" t="s">
        <v>7729</v>
      </c>
      <c r="B2282" s="15" t="s">
        <v>1471</v>
      </c>
      <c r="C2282" s="15" t="s">
        <v>1534</v>
      </c>
      <c r="D2282" s="15" t="s">
        <v>1534</v>
      </c>
      <c r="E2282" s="16" t="str">
        <f aca="false">HYPERLINK("#'Forrásszöveg'!A"&amp;(MATCH("VHR-S0954",Forrásszöveg!$A$6:$A$2497,0)+5),"111. § eleje")</f>
        <v>111. § eleje</v>
      </c>
      <c r="F2282" s="16" t="str">
        <f aca="false">HYPERLINK("https://net.jogtar.hu/jogszabaly?docid=a2400418.kor#pr958id","Jogtár megnyitása")</f>
        <v>Jogtár megnyitása</v>
      </c>
    </row>
    <row r="2283" customFormat="false" ht="66" hidden="false" customHeight="true" outlineLevel="0" collapsed="false">
      <c r="A2283" s="15" t="s">
        <v>7730</v>
      </c>
      <c r="B2283" s="15" t="s">
        <v>1471</v>
      </c>
      <c r="C2283" s="15" t="s">
        <v>7731</v>
      </c>
      <c r="D2283" s="15" t="s">
        <v>7732</v>
      </c>
      <c r="E2283" s="16" t="str">
        <f aca="false">HYPERLINK("#'Forrásszöveg'!A"&amp;(MATCH("VHR-S0959",Forrásszöveg!$A$6:$A$2497,0)+5),"112. § (1) eleje")</f>
        <v>112. § (1) eleje</v>
      </c>
      <c r="F2283" s="16" t="str">
        <f aca="false">HYPERLINK("https://net.jogtar.hu/jogszabaly?docid=a2400418.kor#pr959id","Jogtár megnyitása")</f>
        <v>Jogtár megnyitása</v>
      </c>
    </row>
    <row r="2284" customFormat="false" ht="34" hidden="false" customHeight="true" outlineLevel="0" collapsed="false">
      <c r="A2284" s="15" t="s">
        <v>7733</v>
      </c>
      <c r="B2284" s="15" t="s">
        <v>1471</v>
      </c>
      <c r="C2284" s="15" t="s">
        <v>7734</v>
      </c>
      <c r="D2284" s="15" t="s">
        <v>7735</v>
      </c>
      <c r="E2284" s="16" t="str">
        <f aca="false">HYPERLINK("#'Forrásszöveg'!A"&amp;(MATCH("VHR-S0960",Forrásszöveg!$A$6:$A$2497,0)+5),"112. § (2) eleje")</f>
        <v>112. § (2) eleje</v>
      </c>
      <c r="F2284" s="16" t="str">
        <f aca="false">HYPERLINK("https://net.jogtar.hu/jogszabaly?docid=a2400418.kor#pr960id","Jogtár megnyitása")</f>
        <v>Jogtár megnyitása</v>
      </c>
    </row>
    <row r="2285" customFormat="false" ht="34" hidden="false" customHeight="true" outlineLevel="0" collapsed="false">
      <c r="A2285" s="15" t="s">
        <v>7736</v>
      </c>
      <c r="B2285" s="15" t="s">
        <v>1471</v>
      </c>
      <c r="C2285" s="15" t="s">
        <v>7737</v>
      </c>
      <c r="D2285" s="15" t="s">
        <v>7738</v>
      </c>
      <c r="E2285" s="16" t="str">
        <f aca="false">HYPERLINK("#'Forrásszöveg'!A"&amp;(MATCH("VHR-S0960",Forrásszöveg!$A$6:$A$2497,0)+5),"112. § (2) eleje")</f>
        <v>112. § (2) eleje</v>
      </c>
      <c r="F2285" s="16" t="str">
        <f aca="false">HYPERLINK("https://net.jogtar.hu/jogszabaly?docid=a2400418.kor#pr961id","Jogtár megnyitása")</f>
        <v>Jogtár megnyitása</v>
      </c>
    </row>
    <row r="2286" customFormat="false" ht="34" hidden="false" customHeight="true" outlineLevel="0" collapsed="false">
      <c r="A2286" s="15" t="s">
        <v>7739</v>
      </c>
      <c r="B2286" s="15" t="s">
        <v>1471</v>
      </c>
      <c r="C2286" s="15" t="s">
        <v>7740</v>
      </c>
      <c r="D2286" s="15" t="s">
        <v>7741</v>
      </c>
      <c r="E2286" s="16" t="str">
        <f aca="false">HYPERLINK("#'Forrásszöveg'!A"&amp;(MATCH("VHR-S0960",Forrásszöveg!$A$6:$A$2497,0)+5),"112. § (2) eleje")</f>
        <v>112. § (2) eleje</v>
      </c>
      <c r="F2286" s="16" t="str">
        <f aca="false">HYPERLINK("https://net.jogtar.hu/jogszabaly?docid=a2400418.kor#pr962id","Jogtár megnyitása")</f>
        <v>Jogtár megnyitása</v>
      </c>
    </row>
    <row r="2287" customFormat="false" ht="38" hidden="false" customHeight="true" outlineLevel="0" collapsed="false">
      <c r="A2287" s="15" t="s">
        <v>7742</v>
      </c>
      <c r="B2287" s="15" t="s">
        <v>1471</v>
      </c>
      <c r="C2287" s="15" t="s">
        <v>7743</v>
      </c>
      <c r="D2287" s="15" t="s">
        <v>7744</v>
      </c>
      <c r="E2287" s="16" t="str">
        <f aca="false">HYPERLINK("#'Forrásszöveg'!A"&amp;(MATCH("VHR-S0960",Forrásszöveg!$A$6:$A$2497,0)+5),"112. § (2) eleje")</f>
        <v>112. § (2) eleje</v>
      </c>
      <c r="F2287" s="16" t="str">
        <f aca="false">HYPERLINK("https://net.jogtar.hu/jogszabaly?docid=a2400418.kor#pr963id","Jogtár megnyitása")</f>
        <v>Jogtár megnyitása</v>
      </c>
    </row>
    <row r="2288" customFormat="false" ht="80" hidden="false" customHeight="true" outlineLevel="0" collapsed="false">
      <c r="A2288" s="15" t="s">
        <v>7745</v>
      </c>
      <c r="B2288" s="15" t="s">
        <v>1471</v>
      </c>
      <c r="C2288" s="15" t="s">
        <v>7746</v>
      </c>
      <c r="D2288" s="15" t="s">
        <v>7747</v>
      </c>
      <c r="E2288" s="16" t="str">
        <f aca="false">HYPERLINK("#'Forrásszöveg'!A"&amp;(MATCH("VHR-S0960",Forrásszöveg!$A$6:$A$2497,0)+5),"112. § (2) eleje")</f>
        <v>112. § (2) eleje</v>
      </c>
      <c r="F2288" s="16" t="str">
        <f aca="false">HYPERLINK("https://net.jogtar.hu/jogszabaly?docid=a2400418.kor#pr964id","Jogtár megnyitása")</f>
        <v>Jogtár megnyitása</v>
      </c>
    </row>
    <row r="2289" customFormat="false" ht="66" hidden="false" customHeight="true" outlineLevel="0" collapsed="false">
      <c r="A2289" s="15" t="s">
        <v>7748</v>
      </c>
      <c r="B2289" s="15" t="s">
        <v>1471</v>
      </c>
      <c r="C2289" s="15" t="s">
        <v>7749</v>
      </c>
      <c r="D2289" s="15" t="s">
        <v>7750</v>
      </c>
      <c r="E2289" s="16" t="str">
        <f aca="false">HYPERLINK("#'Forrásszöveg'!A"&amp;(MATCH("VHR-S0960",Forrásszöveg!$A$6:$A$2497,0)+5),"112. § (2) eleje")</f>
        <v>112. § (2) eleje</v>
      </c>
      <c r="F2289" s="16" t="str">
        <f aca="false">HYPERLINK("https://net.jogtar.hu/jogszabaly?docid=a2400418.kor#pr965id","Jogtár megnyitása")</f>
        <v>Jogtár megnyitása</v>
      </c>
    </row>
    <row r="2290" customFormat="false" ht="52" hidden="false" customHeight="true" outlineLevel="0" collapsed="false">
      <c r="A2290" s="15" t="s">
        <v>7751</v>
      </c>
      <c r="B2290" s="15" t="s">
        <v>1471</v>
      </c>
      <c r="C2290" s="15" t="s">
        <v>7752</v>
      </c>
      <c r="D2290" s="15" t="s">
        <v>7753</v>
      </c>
      <c r="E2290" s="16" t="str">
        <f aca="false">HYPERLINK("#'Forrásszöveg'!A"&amp;(MATCH("VHR-S0960",Forrásszöveg!$A$6:$A$2497,0)+5),"112. § (2) eleje")</f>
        <v>112. § (2) eleje</v>
      </c>
      <c r="F2290" s="16" t="str">
        <f aca="false">HYPERLINK("https://net.jogtar.hu/jogszabaly?docid=a2400418.kor#pr966id","Jogtár megnyitása")</f>
        <v>Jogtár megnyitása</v>
      </c>
    </row>
    <row r="2291" customFormat="false" ht="34" hidden="false" customHeight="true" outlineLevel="0" collapsed="false">
      <c r="A2291" s="15" t="s">
        <v>7754</v>
      </c>
      <c r="B2291" s="15" t="s">
        <v>1471</v>
      </c>
      <c r="C2291" s="15" t="s">
        <v>7755</v>
      </c>
      <c r="D2291" s="15" t="s">
        <v>7756</v>
      </c>
      <c r="E2291" s="16" t="str">
        <f aca="false">HYPERLINK("#'Forrásszöveg'!A"&amp;(MATCH("VHR-S0960",Forrásszöveg!$A$6:$A$2497,0)+5),"112. § (2) eleje")</f>
        <v>112. § (2) eleje</v>
      </c>
      <c r="F2291" s="16" t="str">
        <f aca="false">HYPERLINK("https://net.jogtar.hu/jogszabaly?docid=a2400418.kor#pr967id","Jogtár megnyitása")</f>
        <v>Jogtár megnyitása</v>
      </c>
    </row>
    <row r="2292" customFormat="false" ht="34" hidden="false" customHeight="true" outlineLevel="0" collapsed="false">
      <c r="A2292" s="15" t="s">
        <v>7757</v>
      </c>
      <c r="B2292" s="15" t="s">
        <v>1471</v>
      </c>
      <c r="C2292" s="15" t="s">
        <v>7758</v>
      </c>
      <c r="D2292" s="15" t="s">
        <v>7759</v>
      </c>
      <c r="E2292" s="16" t="str">
        <f aca="false">HYPERLINK("#'Forrásszöveg'!A"&amp;(MATCH("VHR-S0960",Forrásszöveg!$A$6:$A$2497,0)+5),"112. § (2) eleje")</f>
        <v>112. § (2) eleje</v>
      </c>
      <c r="F2292" s="16" t="str">
        <f aca="false">HYPERLINK("https://net.jogtar.hu/jogszabaly?docid=a2400418.kor#pr968id","Jogtár megnyitása")</f>
        <v>Jogtár megnyitása</v>
      </c>
    </row>
    <row r="2293" customFormat="false" ht="34" hidden="false" customHeight="true" outlineLevel="0" collapsed="false">
      <c r="A2293" s="15" t="s">
        <v>7760</v>
      </c>
      <c r="B2293" s="15" t="s">
        <v>1471</v>
      </c>
      <c r="C2293" s="15" t="s">
        <v>7761</v>
      </c>
      <c r="D2293" s="15" t="s">
        <v>7762</v>
      </c>
      <c r="E2293" s="16" t="str">
        <f aca="false">HYPERLINK("#'Forrásszöveg'!A"&amp;(MATCH("VHR-S0960",Forrásszöveg!$A$6:$A$2497,0)+5),"112. § (2) eleje")</f>
        <v>112. § (2) eleje</v>
      </c>
      <c r="F2293" s="16" t="str">
        <f aca="false">HYPERLINK("https://net.jogtar.hu/jogszabaly?docid=a2400418.kor#pr969id","Jogtár megnyitása")</f>
        <v>Jogtár megnyitása</v>
      </c>
    </row>
    <row r="2294" customFormat="false" ht="66" hidden="false" customHeight="true" outlineLevel="0" collapsed="false">
      <c r="A2294" s="15" t="s">
        <v>7763</v>
      </c>
      <c r="B2294" s="15" t="s">
        <v>1471</v>
      </c>
      <c r="C2294" s="15" t="s">
        <v>7764</v>
      </c>
      <c r="D2294" s="15" t="s">
        <v>7765</v>
      </c>
      <c r="E2294" s="16" t="str">
        <f aca="false">HYPERLINK("#'Forrásszöveg'!A"&amp;(MATCH("VHR-S0970",Forrásszöveg!$A$6:$A$2497,0)+5),"112. § (3) eleje")</f>
        <v>112. § (3) eleje</v>
      </c>
      <c r="F2294" s="16" t="str">
        <f aca="false">HYPERLINK("https://net.jogtar.hu/jogszabaly?docid=a2400418.kor#pr970id","Jogtár megnyitása")</f>
        <v>Jogtár megnyitása</v>
      </c>
    </row>
    <row r="2295" customFormat="false" ht="38" hidden="false" customHeight="true" outlineLevel="0" collapsed="false">
      <c r="A2295" s="15" t="s">
        <v>7766</v>
      </c>
      <c r="B2295" s="15" t="s">
        <v>1471</v>
      </c>
      <c r="C2295" s="15" t="s">
        <v>7767</v>
      </c>
      <c r="D2295" s="15" t="s">
        <v>7768</v>
      </c>
      <c r="E2295" s="16" t="str">
        <f aca="false">HYPERLINK("#'Forrásszöveg'!A"&amp;(MATCH("VHR-S0971",Forrásszöveg!$A$6:$A$2497,0)+5),"112. § (4) eleje")</f>
        <v>112. § (4) eleje</v>
      </c>
      <c r="F2295" s="16" t="str">
        <f aca="false">HYPERLINK("https://net.jogtar.hu/jogszabaly?docid=a2400418.kor#pr971id","Jogtár megnyitása")</f>
        <v>Jogtár megnyitása</v>
      </c>
    </row>
    <row r="2296" customFormat="false" ht="34" hidden="false" customHeight="true" outlineLevel="0" collapsed="false">
      <c r="A2296" s="15" t="s">
        <v>7769</v>
      </c>
      <c r="B2296" s="15" t="s">
        <v>1471</v>
      </c>
      <c r="C2296" s="15" t="s">
        <v>7770</v>
      </c>
      <c r="D2296" s="15" t="s">
        <v>7771</v>
      </c>
      <c r="E2296" s="16" t="str">
        <f aca="false">HYPERLINK("#'Forrásszöveg'!A"&amp;(MATCH("VHR-S0971",Forrásszöveg!$A$6:$A$2497,0)+5),"112. § (4) eleje")</f>
        <v>112. § (4) eleje</v>
      </c>
      <c r="F2296" s="16" t="str">
        <f aca="false">HYPERLINK("https://net.jogtar.hu/jogszabaly?docid=a2400418.kor#pr972id","Jogtár megnyitása")</f>
        <v>Jogtár megnyitása</v>
      </c>
    </row>
    <row r="2297" customFormat="false" ht="34" hidden="false" customHeight="true" outlineLevel="0" collapsed="false">
      <c r="A2297" s="15" t="s">
        <v>7772</v>
      </c>
      <c r="B2297" s="15" t="s">
        <v>1471</v>
      </c>
      <c r="C2297" s="15" t="s">
        <v>7773</v>
      </c>
      <c r="D2297" s="15" t="s">
        <v>7774</v>
      </c>
      <c r="E2297" s="16" t="str">
        <f aca="false">HYPERLINK("#'Forrásszöveg'!A"&amp;(MATCH("VHR-S0971",Forrásszöveg!$A$6:$A$2497,0)+5),"112. § (4) eleje")</f>
        <v>112. § (4) eleje</v>
      </c>
      <c r="F2297" s="16" t="str">
        <f aca="false">HYPERLINK("https://net.jogtar.hu/jogszabaly?docid=a2400418.kor#pr973id","Jogtár megnyitása")</f>
        <v>Jogtár megnyitása</v>
      </c>
    </row>
    <row r="2298" customFormat="false" ht="34" hidden="false" customHeight="true" outlineLevel="0" collapsed="false">
      <c r="A2298" s="15" t="s">
        <v>7775</v>
      </c>
      <c r="B2298" s="15" t="s">
        <v>1471</v>
      </c>
      <c r="C2298" s="15" t="s">
        <v>7776</v>
      </c>
      <c r="D2298" s="15" t="s">
        <v>7777</v>
      </c>
      <c r="E2298" s="16" t="str">
        <f aca="false">HYPERLINK("#'Forrásszöveg'!A"&amp;(MATCH("VHR-S0974",Forrásszöveg!$A$6:$A$2497,0)+5),"113. § (1) eleje")</f>
        <v>113. § (1) eleje</v>
      </c>
      <c r="F2298" s="16" t="str">
        <f aca="false">HYPERLINK("https://net.jogtar.hu/jogszabaly?docid=a2400418.kor#pr974id","Jogtár megnyitása")</f>
        <v>Jogtár megnyitása</v>
      </c>
    </row>
    <row r="2299" customFormat="false" ht="52" hidden="false" customHeight="true" outlineLevel="0" collapsed="false">
      <c r="A2299" s="15" t="s">
        <v>7778</v>
      </c>
      <c r="B2299" s="15" t="s">
        <v>1471</v>
      </c>
      <c r="C2299" s="15" t="s">
        <v>7779</v>
      </c>
      <c r="D2299" s="15" t="s">
        <v>7780</v>
      </c>
      <c r="E2299" s="16" t="str">
        <f aca="false">HYPERLINK("#'Forrásszöveg'!A"&amp;(MATCH("VHR-S0974",Forrásszöveg!$A$6:$A$2497,0)+5),"113. § (1) eleje")</f>
        <v>113. § (1) eleje</v>
      </c>
      <c r="F2299" s="16" t="str">
        <f aca="false">HYPERLINK("https://net.jogtar.hu/jogszabaly?docid=a2400418.kor#pr975id","Jogtár megnyitása")</f>
        <v>Jogtár megnyitása</v>
      </c>
    </row>
    <row r="2300" customFormat="false" ht="66" hidden="false" customHeight="true" outlineLevel="0" collapsed="false">
      <c r="A2300" s="15" t="s">
        <v>7781</v>
      </c>
      <c r="B2300" s="15" t="s">
        <v>1471</v>
      </c>
      <c r="C2300" s="15" t="s">
        <v>7782</v>
      </c>
      <c r="D2300" s="15" t="s">
        <v>7783</v>
      </c>
      <c r="E2300" s="16" t="str">
        <f aca="false">HYPERLINK("#'Forrásszöveg'!A"&amp;(MATCH("VHR-S0974",Forrásszöveg!$A$6:$A$2497,0)+5),"113. § (1) eleje")</f>
        <v>113. § (1) eleje</v>
      </c>
      <c r="F2300" s="16" t="str">
        <f aca="false">HYPERLINK("https://net.jogtar.hu/jogszabaly?docid=a2400418.kor#pr976id","Jogtár megnyitása")</f>
        <v>Jogtár megnyitása</v>
      </c>
    </row>
    <row r="2301" customFormat="false" ht="34" hidden="false" customHeight="true" outlineLevel="0" collapsed="false">
      <c r="A2301" s="15" t="s">
        <v>7784</v>
      </c>
      <c r="B2301" s="15" t="s">
        <v>1471</v>
      </c>
      <c r="C2301" s="15" t="s">
        <v>7785</v>
      </c>
      <c r="D2301" s="15" t="s">
        <v>7786</v>
      </c>
      <c r="E2301" s="16" t="str">
        <f aca="false">HYPERLINK("#'Forrásszöveg'!A"&amp;(MATCH("VHR-S0974",Forrásszöveg!$A$6:$A$2497,0)+5),"113. § (1) eleje")</f>
        <v>113. § (1) eleje</v>
      </c>
      <c r="F2301" s="16" t="str">
        <f aca="false">HYPERLINK("https://net.jogtar.hu/jogszabaly?docid=a2400418.kor#pr977id","Jogtár megnyitása")</f>
        <v>Jogtár megnyitása</v>
      </c>
    </row>
    <row r="2302" customFormat="false" ht="38" hidden="false" customHeight="true" outlineLevel="0" collapsed="false">
      <c r="A2302" s="15" t="s">
        <v>7787</v>
      </c>
      <c r="B2302" s="15" t="s">
        <v>1471</v>
      </c>
      <c r="C2302" s="15" t="s">
        <v>7788</v>
      </c>
      <c r="D2302" s="15" t="s">
        <v>7789</v>
      </c>
      <c r="E2302" s="16" t="str">
        <f aca="false">HYPERLINK("#'Forrásszöveg'!A"&amp;(MATCH("VHR-S0974",Forrásszöveg!$A$6:$A$2497,0)+5),"113. § (1) eleje")</f>
        <v>113. § (1) eleje</v>
      </c>
      <c r="F2302" s="16" t="str">
        <f aca="false">HYPERLINK("https://net.jogtar.hu/jogszabaly?docid=a2400418.kor#pr978id","Jogtár megnyitása")</f>
        <v>Jogtár megnyitása</v>
      </c>
    </row>
    <row r="2303" customFormat="false" ht="38" hidden="false" customHeight="true" outlineLevel="0" collapsed="false">
      <c r="A2303" s="15" t="s">
        <v>7790</v>
      </c>
      <c r="B2303" s="15" t="s">
        <v>1471</v>
      </c>
      <c r="C2303" s="15" t="s">
        <v>7791</v>
      </c>
      <c r="D2303" s="15" t="s">
        <v>7792</v>
      </c>
      <c r="E2303" s="16" t="str">
        <f aca="false">HYPERLINK("#'Forrásszöveg'!A"&amp;(MATCH("VHR-S0974",Forrásszöveg!$A$6:$A$2497,0)+5),"113. § (1) eleje")</f>
        <v>113. § (1) eleje</v>
      </c>
      <c r="F2303" s="16" t="str">
        <f aca="false">HYPERLINK("https://net.jogtar.hu/jogszabaly?docid=a2400418.kor#pr979id","Jogtár megnyitása")</f>
        <v>Jogtár megnyitása</v>
      </c>
    </row>
    <row r="2304" customFormat="false" ht="34" hidden="false" customHeight="true" outlineLevel="0" collapsed="false">
      <c r="A2304" s="15" t="s">
        <v>7793</v>
      </c>
      <c r="B2304" s="15" t="s">
        <v>1471</v>
      </c>
      <c r="C2304" s="15" t="s">
        <v>7794</v>
      </c>
      <c r="D2304" s="15" t="s">
        <v>7795</v>
      </c>
      <c r="E2304" s="16" t="str">
        <f aca="false">HYPERLINK("#'Forrásszöveg'!A"&amp;(MATCH("VHR-S0974",Forrásszöveg!$A$6:$A$2497,0)+5),"113. § (1) eleje")</f>
        <v>113. § (1) eleje</v>
      </c>
      <c r="F2304" s="16" t="str">
        <f aca="false">HYPERLINK("https://net.jogtar.hu/jogszabaly?docid=a2400418.kor#pr980id","Jogtár megnyitása")</f>
        <v>Jogtár megnyitása</v>
      </c>
    </row>
    <row r="2305" customFormat="false" ht="34" hidden="false" customHeight="true" outlineLevel="0" collapsed="false">
      <c r="A2305" s="15" t="s">
        <v>7796</v>
      </c>
      <c r="B2305" s="15" t="s">
        <v>1471</v>
      </c>
      <c r="C2305" s="15" t="s">
        <v>7797</v>
      </c>
      <c r="D2305" s="15" t="s">
        <v>7798</v>
      </c>
      <c r="E2305" s="16" t="str">
        <f aca="false">HYPERLINK("#'Forrásszöveg'!A"&amp;(MATCH("VHR-S0974",Forrásszöveg!$A$6:$A$2497,0)+5),"113. § (1) eleje")</f>
        <v>113. § (1) eleje</v>
      </c>
      <c r="F2305" s="16" t="str">
        <f aca="false">HYPERLINK("https://net.jogtar.hu/jogszabaly?docid=a2400418.kor#pr981id","Jogtár megnyitása")</f>
        <v>Jogtár megnyitása</v>
      </c>
    </row>
    <row r="2306" customFormat="false" ht="34" hidden="false" customHeight="true" outlineLevel="0" collapsed="false">
      <c r="A2306" s="15" t="s">
        <v>7799</v>
      </c>
      <c r="B2306" s="15" t="s">
        <v>1471</v>
      </c>
      <c r="C2306" s="15" t="s">
        <v>7800</v>
      </c>
      <c r="D2306" s="15" t="s">
        <v>7801</v>
      </c>
      <c r="E2306" s="16" t="str">
        <f aca="false">HYPERLINK("#'Forrásszöveg'!A"&amp;(MATCH("VHR-S0974",Forrásszöveg!$A$6:$A$2497,0)+5),"113. § (1) eleje")</f>
        <v>113. § (1) eleje</v>
      </c>
      <c r="F2306" s="16" t="str">
        <f aca="false">HYPERLINK("https://net.jogtar.hu/jogszabaly?docid=a2400418.kor#pr982id","Jogtár megnyitása")</f>
        <v>Jogtár megnyitása</v>
      </c>
    </row>
    <row r="2307" customFormat="false" ht="38" hidden="false" customHeight="true" outlineLevel="0" collapsed="false">
      <c r="A2307" s="15" t="s">
        <v>7802</v>
      </c>
      <c r="B2307" s="15" t="s">
        <v>1471</v>
      </c>
      <c r="C2307" s="15" t="s">
        <v>7803</v>
      </c>
      <c r="D2307" s="15" t="s">
        <v>7804</v>
      </c>
      <c r="E2307" s="16" t="str">
        <f aca="false">HYPERLINK("#'Forrásszöveg'!A"&amp;(MATCH("VHR-S0983",Forrásszöveg!$A$6:$A$2497,0)+5),"113. § (2) eleje")</f>
        <v>113. § (2) eleje</v>
      </c>
      <c r="F2307" s="16" t="str">
        <f aca="false">HYPERLINK("https://net.jogtar.hu/jogszabaly?docid=a2400418.kor#pr983id","Jogtár megnyitása")</f>
        <v>Jogtár megnyitása</v>
      </c>
    </row>
    <row r="2308" customFormat="false" ht="52" hidden="false" customHeight="true" outlineLevel="0" collapsed="false">
      <c r="A2308" s="15" t="s">
        <v>7805</v>
      </c>
      <c r="B2308" s="15" t="s">
        <v>1471</v>
      </c>
      <c r="C2308" s="15" t="s">
        <v>7806</v>
      </c>
      <c r="D2308" s="15" t="s">
        <v>7807</v>
      </c>
      <c r="E2308" s="16" t="str">
        <f aca="false">HYPERLINK("#'Forrásszöveg'!A"&amp;(MATCH("VHR-S0983",Forrásszöveg!$A$6:$A$2497,0)+5),"113. § (2) eleje")</f>
        <v>113. § (2) eleje</v>
      </c>
      <c r="F2308" s="16" t="str">
        <f aca="false">HYPERLINK("https://net.jogtar.hu/jogszabaly?docid=a2400418.kor#pr984id","Jogtár megnyitása")</f>
        <v>Jogtár megnyitása</v>
      </c>
    </row>
    <row r="2309" customFormat="false" ht="34" hidden="false" customHeight="true" outlineLevel="0" collapsed="false">
      <c r="A2309" s="15" t="s">
        <v>7808</v>
      </c>
      <c r="B2309" s="15" t="s">
        <v>1471</v>
      </c>
      <c r="C2309" s="15" t="s">
        <v>7809</v>
      </c>
      <c r="D2309" s="15" t="s">
        <v>7810</v>
      </c>
      <c r="E2309" s="16" t="str">
        <f aca="false">HYPERLINK("#'Forrásszöveg'!A"&amp;(MATCH("VHR-S0983",Forrásszöveg!$A$6:$A$2497,0)+5),"113. § (2) eleje")</f>
        <v>113. § (2) eleje</v>
      </c>
      <c r="F2309" s="16" t="str">
        <f aca="false">HYPERLINK("https://net.jogtar.hu/jogszabaly?docid=a2400418.kor#pr985id","Jogtár megnyitása")</f>
        <v>Jogtár megnyitása</v>
      </c>
    </row>
    <row r="2310" customFormat="false" ht="52" hidden="false" customHeight="true" outlineLevel="0" collapsed="false">
      <c r="A2310" s="15" t="s">
        <v>7811</v>
      </c>
      <c r="B2310" s="15" t="s">
        <v>1471</v>
      </c>
      <c r="C2310" s="15" t="s">
        <v>7812</v>
      </c>
      <c r="D2310" s="15" t="s">
        <v>7813</v>
      </c>
      <c r="E2310" s="16" t="str">
        <f aca="false">HYPERLINK("#'Forrásszöveg'!A"&amp;(MATCH("VHR-S0983",Forrásszöveg!$A$6:$A$2497,0)+5),"113. § (2) eleje")</f>
        <v>113. § (2) eleje</v>
      </c>
      <c r="F2310" s="16" t="str">
        <f aca="false">HYPERLINK("https://net.jogtar.hu/jogszabaly?docid=a2400418.kor#pr986id","Jogtár megnyitása")</f>
        <v>Jogtár megnyitása</v>
      </c>
    </row>
    <row r="2311" customFormat="false" ht="52" hidden="false" customHeight="true" outlineLevel="0" collapsed="false">
      <c r="A2311" s="15" t="s">
        <v>7814</v>
      </c>
      <c r="B2311" s="15" t="s">
        <v>1471</v>
      </c>
      <c r="C2311" s="15" t="s">
        <v>7815</v>
      </c>
      <c r="D2311" s="15" t="s">
        <v>7816</v>
      </c>
      <c r="E2311" s="16" t="str">
        <f aca="false">HYPERLINK("#'Forrásszöveg'!A"&amp;(MATCH("VHR-S0983",Forrásszöveg!$A$6:$A$2497,0)+5),"113. § (2) eleje")</f>
        <v>113. § (2) eleje</v>
      </c>
      <c r="F2311" s="16" t="str">
        <f aca="false">HYPERLINK("https://net.jogtar.hu/jogszabaly?docid=a2400418.kor#pr987id","Jogtár megnyitása")</f>
        <v>Jogtár megnyitása</v>
      </c>
    </row>
    <row r="2312" customFormat="false" ht="34" hidden="false" customHeight="true" outlineLevel="0" collapsed="false">
      <c r="A2312" s="15" t="s">
        <v>7817</v>
      </c>
      <c r="B2312" s="15" t="s">
        <v>1471</v>
      </c>
      <c r="C2312" s="15" t="s">
        <v>7818</v>
      </c>
      <c r="D2312" s="15" t="s">
        <v>7819</v>
      </c>
      <c r="E2312" s="16" t="str">
        <f aca="false">HYPERLINK("#'Forrásszöveg'!A"&amp;(MATCH("VHR-S0988",Forrásszöveg!$A$6:$A$2497,0)+5),"113. § (3) eleje")</f>
        <v>113. § (3) eleje</v>
      </c>
      <c r="F2312" s="16" t="str">
        <f aca="false">HYPERLINK("https://net.jogtar.hu/jogszabaly?docid=a2400418.kor#pr988id","Jogtár megnyitása")</f>
        <v>Jogtár megnyitása</v>
      </c>
    </row>
    <row r="2313" customFormat="false" ht="34" hidden="false" customHeight="true" outlineLevel="0" collapsed="false">
      <c r="A2313" s="15" t="s">
        <v>7820</v>
      </c>
      <c r="B2313" s="15" t="s">
        <v>1471</v>
      </c>
      <c r="C2313" s="15" t="s">
        <v>7821</v>
      </c>
      <c r="D2313" s="15" t="s">
        <v>7822</v>
      </c>
      <c r="E2313" s="16" t="str">
        <f aca="false">HYPERLINK("#'Forrásszöveg'!A"&amp;(MATCH("VHR-S0988",Forrásszöveg!$A$6:$A$2497,0)+5),"113. § (3) eleje")</f>
        <v>113. § (3) eleje</v>
      </c>
      <c r="F2313" s="16" t="str">
        <f aca="false">HYPERLINK("https://net.jogtar.hu/jogszabaly?docid=a2400418.kor#pr989id","Jogtár megnyitása")</f>
        <v>Jogtár megnyitása</v>
      </c>
    </row>
    <row r="2314" customFormat="false" ht="52" hidden="false" customHeight="true" outlineLevel="0" collapsed="false">
      <c r="A2314" s="15" t="s">
        <v>7823</v>
      </c>
      <c r="B2314" s="15" t="s">
        <v>1471</v>
      </c>
      <c r="C2314" s="15" t="s">
        <v>7824</v>
      </c>
      <c r="D2314" s="15" t="s">
        <v>7825</v>
      </c>
      <c r="E2314" s="16" t="str">
        <f aca="false">HYPERLINK("#'Forrásszöveg'!A"&amp;(MATCH("VHR-S0988",Forrásszöveg!$A$6:$A$2497,0)+5),"113. § (3) eleje")</f>
        <v>113. § (3) eleje</v>
      </c>
      <c r="F2314" s="16" t="str">
        <f aca="false">HYPERLINK("https://net.jogtar.hu/jogszabaly?docid=a2400418.kor#pr990id","Jogtár megnyitása")</f>
        <v>Jogtár megnyitása</v>
      </c>
    </row>
    <row r="2315" customFormat="false" ht="52" hidden="false" customHeight="true" outlineLevel="0" collapsed="false">
      <c r="A2315" s="15" t="s">
        <v>7826</v>
      </c>
      <c r="B2315" s="15" t="s">
        <v>1471</v>
      </c>
      <c r="C2315" s="15" t="s">
        <v>7827</v>
      </c>
      <c r="D2315" s="15" t="s">
        <v>7828</v>
      </c>
      <c r="E2315" s="16" t="str">
        <f aca="false">HYPERLINK("#'Forrásszöveg'!A"&amp;(MATCH("VHR-S0988",Forrásszöveg!$A$6:$A$2497,0)+5),"113. § (3) eleje")</f>
        <v>113. § (3) eleje</v>
      </c>
      <c r="F2315" s="16" t="str">
        <f aca="false">HYPERLINK("https://net.jogtar.hu/jogszabaly?docid=a2400418.kor#pr991id","Jogtár megnyitása")</f>
        <v>Jogtár megnyitása</v>
      </c>
    </row>
    <row r="2316" customFormat="false" ht="38" hidden="false" customHeight="true" outlineLevel="0" collapsed="false">
      <c r="A2316" s="15" t="s">
        <v>7829</v>
      </c>
      <c r="B2316" s="15" t="s">
        <v>1471</v>
      </c>
      <c r="C2316" s="15" t="s">
        <v>7830</v>
      </c>
      <c r="D2316" s="15" t="s">
        <v>7831</v>
      </c>
      <c r="E2316" s="16" t="str">
        <f aca="false">HYPERLINK("#'Forrásszöveg'!A"&amp;(MATCH("VHR-S0988",Forrásszöveg!$A$6:$A$2497,0)+5),"113. § (3) eleje")</f>
        <v>113. § (3) eleje</v>
      </c>
      <c r="F2316" s="16" t="str">
        <f aca="false">HYPERLINK("https://net.jogtar.hu/jogszabaly?docid=a2400418.kor#pr992id","Jogtár megnyitása")</f>
        <v>Jogtár megnyitása</v>
      </c>
    </row>
    <row r="2317" customFormat="false" ht="52" hidden="false" customHeight="true" outlineLevel="0" collapsed="false">
      <c r="A2317" s="15" t="s">
        <v>7832</v>
      </c>
      <c r="B2317" s="15" t="s">
        <v>1471</v>
      </c>
      <c r="C2317" s="15" t="s">
        <v>7833</v>
      </c>
      <c r="D2317" s="15" t="s">
        <v>7834</v>
      </c>
      <c r="E2317" s="16" t="str">
        <f aca="false">HYPERLINK("#'Forrásszöveg'!A"&amp;(MATCH("VHR-S0993",Forrásszöveg!$A$6:$A$2497,0)+5),"113. § (4) eleje")</f>
        <v>113. § (4) eleje</v>
      </c>
      <c r="F2317" s="16" t="str">
        <f aca="false">HYPERLINK("https://net.jogtar.hu/jogszabaly?docid=a2400418.kor#pr993id","Jogtár megnyitása")</f>
        <v>Jogtár megnyitása</v>
      </c>
    </row>
    <row r="2318" customFormat="false" ht="38" hidden="false" customHeight="true" outlineLevel="0" collapsed="false">
      <c r="A2318" s="15" t="s">
        <v>7835</v>
      </c>
      <c r="B2318" s="15" t="s">
        <v>1471</v>
      </c>
      <c r="C2318" s="15" t="s">
        <v>1537</v>
      </c>
      <c r="D2318" s="15" t="s">
        <v>1537</v>
      </c>
      <c r="E2318" s="16" t="str">
        <f aca="false">HYPERLINK("#'Forrásszöveg'!A"&amp;(MATCH("VHR-S0974",Forrásszöveg!$A$6:$A$2497,0)+5),"113. § eleje")</f>
        <v>113. § eleje</v>
      </c>
      <c r="F2318" s="16" t="str">
        <f aca="false">HYPERLINK("https://net.jogtar.hu/jogszabaly?docid=a2400418.kor#pr994id","Jogtár megnyitása")</f>
        <v>Jogtár megnyitása</v>
      </c>
    </row>
    <row r="2319" customFormat="false" ht="34" hidden="false" customHeight="true" outlineLevel="0" collapsed="false">
      <c r="A2319" s="15" t="s">
        <v>7836</v>
      </c>
      <c r="B2319" s="15" t="s">
        <v>1471</v>
      </c>
      <c r="C2319" s="15" t="s">
        <v>7837</v>
      </c>
      <c r="D2319" s="15" t="s">
        <v>7838</v>
      </c>
      <c r="E2319" s="16" t="str">
        <f aca="false">HYPERLINK("#'Forrásszöveg'!A"&amp;(MATCH("VHR-S0995",Forrásszöveg!$A$6:$A$2497,0)+5),"114. § (1) eleje")</f>
        <v>114. § (1) eleje</v>
      </c>
      <c r="F2319" s="16" t="str">
        <f aca="false">HYPERLINK("https://net.jogtar.hu/jogszabaly?docid=a2400418.kor#pr995id","Jogtár megnyitása")</f>
        <v>Jogtár megnyitása</v>
      </c>
    </row>
    <row r="2320" customFormat="false" ht="34" hidden="false" customHeight="true" outlineLevel="0" collapsed="false">
      <c r="A2320" s="15" t="s">
        <v>7839</v>
      </c>
      <c r="B2320" s="15" t="s">
        <v>1471</v>
      </c>
      <c r="C2320" s="15" t="s">
        <v>7840</v>
      </c>
      <c r="D2320" s="15" t="s">
        <v>7841</v>
      </c>
      <c r="E2320" s="16" t="str">
        <f aca="false">HYPERLINK("#'Forrásszöveg'!A"&amp;(MATCH("VHR-S0995",Forrásszöveg!$A$6:$A$2497,0)+5),"114. § (1) eleje")</f>
        <v>114. § (1) eleje</v>
      </c>
      <c r="F2320" s="16" t="str">
        <f aca="false">HYPERLINK("https://net.jogtar.hu/jogszabaly?docid=a2400418.kor#pr996id","Jogtár megnyitása")</f>
        <v>Jogtár megnyitása</v>
      </c>
    </row>
    <row r="2321" customFormat="false" ht="34" hidden="false" customHeight="true" outlineLevel="0" collapsed="false">
      <c r="A2321" s="15" t="s">
        <v>7842</v>
      </c>
      <c r="B2321" s="15" t="s">
        <v>1471</v>
      </c>
      <c r="C2321" s="15" t="s">
        <v>7843</v>
      </c>
      <c r="D2321" s="15" t="s">
        <v>7844</v>
      </c>
      <c r="E2321" s="16" t="str">
        <f aca="false">HYPERLINK("#'Forrásszöveg'!A"&amp;(MATCH("VHR-S0995",Forrásszöveg!$A$6:$A$2497,0)+5),"114. § (1) eleje")</f>
        <v>114. § (1) eleje</v>
      </c>
      <c r="F2321" s="16" t="str">
        <f aca="false">HYPERLINK("https://net.jogtar.hu/jogszabaly?docid=a2400418.kor#pr997id","Jogtár megnyitása")</f>
        <v>Jogtár megnyitása</v>
      </c>
    </row>
    <row r="2322" customFormat="false" ht="34" hidden="false" customHeight="true" outlineLevel="0" collapsed="false">
      <c r="A2322" s="15" t="s">
        <v>7845</v>
      </c>
      <c r="B2322" s="15" t="s">
        <v>1471</v>
      </c>
      <c r="C2322" s="15" t="s">
        <v>7846</v>
      </c>
      <c r="D2322" s="15" t="s">
        <v>7847</v>
      </c>
      <c r="E2322" s="16" t="str">
        <f aca="false">HYPERLINK("#'Forrásszöveg'!A"&amp;(MATCH("VHR-S0995",Forrásszöveg!$A$6:$A$2497,0)+5),"114. § (1) eleje")</f>
        <v>114. § (1) eleje</v>
      </c>
      <c r="F2322" s="16" t="str">
        <f aca="false">HYPERLINK("https://net.jogtar.hu/jogszabaly?docid=a2400418.kor#pr998id","Jogtár megnyitása")</f>
        <v>Jogtár megnyitása</v>
      </c>
    </row>
    <row r="2323" customFormat="false" ht="38" hidden="false" customHeight="true" outlineLevel="0" collapsed="false">
      <c r="A2323" s="15" t="s">
        <v>7848</v>
      </c>
      <c r="B2323" s="15" t="s">
        <v>1471</v>
      </c>
      <c r="C2323" s="15" t="s">
        <v>7849</v>
      </c>
      <c r="D2323" s="15" t="s">
        <v>7850</v>
      </c>
      <c r="E2323" s="16" t="str">
        <f aca="false">HYPERLINK("#'Forrásszöveg'!A"&amp;(MATCH("VHR-S0995",Forrásszöveg!$A$6:$A$2497,0)+5),"114. § (1) eleje")</f>
        <v>114. § (1) eleje</v>
      </c>
      <c r="F2323" s="16" t="str">
        <f aca="false">HYPERLINK("https://net.jogtar.hu/jogszabaly?docid=a2400418.kor#pr999id","Jogtár megnyitása")</f>
        <v>Jogtár megnyitása</v>
      </c>
    </row>
    <row r="2324" customFormat="false" ht="34" hidden="false" customHeight="true" outlineLevel="0" collapsed="false">
      <c r="A2324" s="15" t="s">
        <v>7851</v>
      </c>
      <c r="B2324" s="15" t="s">
        <v>1471</v>
      </c>
      <c r="C2324" s="15" t="s">
        <v>7852</v>
      </c>
      <c r="D2324" s="15" t="s">
        <v>7853</v>
      </c>
      <c r="E2324" s="16" t="str">
        <f aca="false">HYPERLINK("#'Forrásszöveg'!A"&amp;(MATCH("VHR-S0995",Forrásszöveg!$A$6:$A$2497,0)+5),"114. § (1) eleje")</f>
        <v>114. § (1) eleje</v>
      </c>
      <c r="F2324" s="16" t="str">
        <f aca="false">HYPERLINK("https://net.jogtar.hu/jogszabaly?docid=a2400418.kor#pr1000id","Jogtár megnyitása")</f>
        <v>Jogtár megnyitása</v>
      </c>
    </row>
    <row r="2325" customFormat="false" ht="34" hidden="false" customHeight="true" outlineLevel="0" collapsed="false">
      <c r="A2325" s="15" t="s">
        <v>7854</v>
      </c>
      <c r="B2325" s="15" t="s">
        <v>1471</v>
      </c>
      <c r="C2325" s="15" t="s">
        <v>7855</v>
      </c>
      <c r="D2325" s="15" t="s">
        <v>7856</v>
      </c>
      <c r="E2325" s="16" t="str">
        <f aca="false">HYPERLINK("#'Forrásszöveg'!A"&amp;(MATCH("VHR-S1001",Forrásszöveg!$A$6:$A$2497,0)+5),"114. § (2) eleje")</f>
        <v>114. § (2) eleje</v>
      </c>
      <c r="F2325" s="16" t="str">
        <f aca="false">HYPERLINK("https://net.jogtar.hu/jogszabaly?docid=a2400418.kor#pr1001id","Jogtár megnyitása")</f>
        <v>Jogtár megnyitása</v>
      </c>
    </row>
    <row r="2326" customFormat="false" ht="52" hidden="false" customHeight="true" outlineLevel="0" collapsed="false">
      <c r="A2326" s="15" t="s">
        <v>7857</v>
      </c>
      <c r="B2326" s="15" t="s">
        <v>1471</v>
      </c>
      <c r="C2326" s="15" t="s">
        <v>7858</v>
      </c>
      <c r="D2326" s="15" t="s">
        <v>7859</v>
      </c>
      <c r="E2326" s="16" t="str">
        <f aca="false">HYPERLINK("#'Forrásszöveg'!A"&amp;(MATCH("VHR-S1001",Forrásszöveg!$A$6:$A$2497,0)+5),"114. § (2) eleje")</f>
        <v>114. § (2) eleje</v>
      </c>
      <c r="F2326" s="16" t="str">
        <f aca="false">HYPERLINK("https://net.jogtar.hu/jogszabaly?docid=a2400418.kor#pr1002id","Jogtár megnyitása")</f>
        <v>Jogtár megnyitása</v>
      </c>
    </row>
    <row r="2327" customFormat="false" ht="52" hidden="false" customHeight="true" outlineLevel="0" collapsed="false">
      <c r="A2327" s="15" t="s">
        <v>7860</v>
      </c>
      <c r="B2327" s="15" t="s">
        <v>1471</v>
      </c>
      <c r="C2327" s="15" t="s">
        <v>7861</v>
      </c>
      <c r="D2327" s="15" t="s">
        <v>7862</v>
      </c>
      <c r="E2327" s="16" t="str">
        <f aca="false">HYPERLINK("#'Forrásszöveg'!A"&amp;(MATCH("VHR-S1001",Forrásszöveg!$A$6:$A$2497,0)+5),"114. § (2) eleje")</f>
        <v>114. § (2) eleje</v>
      </c>
      <c r="F2327" s="16" t="str">
        <f aca="false">HYPERLINK("https://net.jogtar.hu/jogszabaly?docid=a2400418.kor#pr1003id","Jogtár megnyitása")</f>
        <v>Jogtár megnyitása</v>
      </c>
    </row>
    <row r="2328" customFormat="false" ht="38" hidden="false" customHeight="true" outlineLevel="0" collapsed="false">
      <c r="A2328" s="15" t="s">
        <v>7863</v>
      </c>
      <c r="B2328" s="15" t="s">
        <v>1471</v>
      </c>
      <c r="C2328" s="15" t="s">
        <v>7864</v>
      </c>
      <c r="D2328" s="15" t="s">
        <v>7865</v>
      </c>
      <c r="E2328" s="16" t="str">
        <f aca="false">HYPERLINK("#'Forrásszöveg'!A"&amp;(MATCH("VHR-S1001",Forrásszöveg!$A$6:$A$2497,0)+5),"114. § (2) eleje")</f>
        <v>114. § (2) eleje</v>
      </c>
      <c r="F2328" s="16" t="str">
        <f aca="false">HYPERLINK("https://net.jogtar.hu/jogszabaly?docid=a2400418.kor#pr1004id","Jogtár megnyitása")</f>
        <v>Jogtár megnyitása</v>
      </c>
    </row>
    <row r="2329" customFormat="false" ht="34" hidden="false" customHeight="true" outlineLevel="0" collapsed="false">
      <c r="A2329" s="15" t="s">
        <v>7866</v>
      </c>
      <c r="B2329" s="15" t="s">
        <v>1471</v>
      </c>
      <c r="C2329" s="15" t="s">
        <v>7867</v>
      </c>
      <c r="D2329" s="15" t="s">
        <v>7868</v>
      </c>
      <c r="E2329" s="16" t="str">
        <f aca="false">HYPERLINK("#'Forrásszöveg'!A"&amp;(MATCH("VHR-S1001",Forrásszöveg!$A$6:$A$2497,0)+5),"114. § (2) eleje")</f>
        <v>114. § (2) eleje</v>
      </c>
      <c r="F2329" s="16" t="str">
        <f aca="false">HYPERLINK("https://net.jogtar.hu/jogszabaly?docid=a2400418.kor#pr1005id","Jogtár megnyitása")</f>
        <v>Jogtár megnyitása</v>
      </c>
    </row>
    <row r="2330" customFormat="false" ht="52" hidden="false" customHeight="true" outlineLevel="0" collapsed="false">
      <c r="A2330" s="15" t="s">
        <v>7869</v>
      </c>
      <c r="B2330" s="15" t="s">
        <v>1471</v>
      </c>
      <c r="C2330" s="15" t="s">
        <v>7870</v>
      </c>
      <c r="D2330" s="15" t="s">
        <v>7871</v>
      </c>
      <c r="E2330" s="16" t="str">
        <f aca="false">HYPERLINK("#'Forrásszöveg'!A"&amp;(MATCH("VHR-S1006",Forrásszöveg!$A$6:$A$2497,0)+5),"114. § (2a) eleje")</f>
        <v>114. § (2a) eleje</v>
      </c>
      <c r="F2330" s="16" t="str">
        <f aca="false">HYPERLINK("https://net.jogtar.hu/jogszabaly?docid=a2400418.kor#pr1006id","Jogtár megnyitása")</f>
        <v>Jogtár megnyitása</v>
      </c>
    </row>
    <row r="2331" customFormat="false" ht="52" hidden="false" customHeight="true" outlineLevel="0" collapsed="false">
      <c r="A2331" s="15" t="s">
        <v>7872</v>
      </c>
      <c r="B2331" s="15" t="s">
        <v>1471</v>
      </c>
      <c r="C2331" s="15" t="s">
        <v>7873</v>
      </c>
      <c r="D2331" s="15" t="s">
        <v>7874</v>
      </c>
      <c r="E2331" s="16" t="str">
        <f aca="false">HYPERLINK("#'Forrásszöveg'!A"&amp;(MATCH("VHR-S1007",Forrásszöveg!$A$6:$A$2497,0)+5),"114. § (3) eleje")</f>
        <v>114. § (3) eleje</v>
      </c>
      <c r="F2331" s="16" t="str">
        <f aca="false">HYPERLINK("https://net.jogtar.hu/jogszabaly?docid=a2400418.kor#pr1007id","Jogtár megnyitása")</f>
        <v>Jogtár megnyitása</v>
      </c>
    </row>
    <row r="2332" customFormat="false" ht="66" hidden="false" customHeight="true" outlineLevel="0" collapsed="false">
      <c r="A2332" s="15" t="s">
        <v>7875</v>
      </c>
      <c r="B2332" s="15" t="s">
        <v>1471</v>
      </c>
      <c r="C2332" s="15" t="s">
        <v>7876</v>
      </c>
      <c r="D2332" s="15" t="s">
        <v>7877</v>
      </c>
      <c r="E2332" s="16" t="str">
        <f aca="false">HYPERLINK("#'Forrásszöveg'!A"&amp;(MATCH("VHR-S1008",Forrásszöveg!$A$6:$A$2497,0)+5),"115. § (1) eleje")</f>
        <v>115. § (1) eleje</v>
      </c>
      <c r="F2332" s="16" t="str">
        <f aca="false">HYPERLINK("https://net.jogtar.hu/jogszabaly?docid=a2400418.kor#pr1008id","Jogtár megnyitása")</f>
        <v>Jogtár megnyitása</v>
      </c>
    </row>
    <row r="2333" customFormat="false" ht="38" hidden="false" customHeight="true" outlineLevel="0" collapsed="false">
      <c r="A2333" s="15" t="s">
        <v>7878</v>
      </c>
      <c r="B2333" s="15" t="s">
        <v>1471</v>
      </c>
      <c r="C2333" s="15" t="s">
        <v>7879</v>
      </c>
      <c r="D2333" s="15" t="s">
        <v>7880</v>
      </c>
      <c r="E2333" s="16" t="str">
        <f aca="false">HYPERLINK("#'Forrásszöveg'!A"&amp;(MATCH("VHR-S1009",Forrásszöveg!$A$6:$A$2497,0)+5),"115. § (2) eleje")</f>
        <v>115. § (2) eleje</v>
      </c>
      <c r="F2333" s="16" t="str">
        <f aca="false">HYPERLINK("https://net.jogtar.hu/jogszabaly?docid=a2400418.kor#pr1009id","Jogtár megnyitása")</f>
        <v>Jogtár megnyitása</v>
      </c>
    </row>
    <row r="2334" customFormat="false" ht="38" hidden="false" customHeight="true" outlineLevel="0" collapsed="false">
      <c r="A2334" s="15" t="s">
        <v>7881</v>
      </c>
      <c r="B2334" s="15" t="s">
        <v>1471</v>
      </c>
      <c r="C2334" s="15" t="s">
        <v>7882</v>
      </c>
      <c r="D2334" s="15" t="s">
        <v>7883</v>
      </c>
      <c r="E2334" s="16" t="str">
        <f aca="false">HYPERLINK("#'Forrásszöveg'!A"&amp;(MATCH("VHR-S1010",Forrásszöveg!$A$6:$A$2497,0)+5),"115. § (3) eleje")</f>
        <v>115. § (3) eleje</v>
      </c>
      <c r="F2334" s="16" t="str">
        <f aca="false">HYPERLINK("https://net.jogtar.hu/jogszabaly?docid=a2400418.kor#pr1010id","Jogtár megnyitása")</f>
        <v>Jogtár megnyitása</v>
      </c>
    </row>
    <row r="2335" customFormat="false" ht="38" hidden="false" customHeight="true" outlineLevel="0" collapsed="false">
      <c r="A2335" s="15" t="s">
        <v>7884</v>
      </c>
      <c r="B2335" s="15" t="s">
        <v>1471</v>
      </c>
      <c r="C2335" s="15" t="s">
        <v>1540</v>
      </c>
      <c r="D2335" s="15" t="s">
        <v>1540</v>
      </c>
      <c r="E2335" s="16" t="str">
        <f aca="false">HYPERLINK("#'Forrásszöveg'!A"&amp;(MATCH("VHR-S1008",Forrásszöveg!$A$6:$A$2497,0)+5),"115. § eleje")</f>
        <v>115. § eleje</v>
      </c>
      <c r="F2335" s="16" t="str">
        <f aca="false">HYPERLINK("https://net.jogtar.hu/jogszabaly?docid=a2400418.kor#pr1011id","Jogtár megnyitása")</f>
        <v>Jogtár megnyitása</v>
      </c>
    </row>
    <row r="2336" customFormat="false" ht="66" hidden="false" customHeight="true" outlineLevel="0" collapsed="false">
      <c r="A2336" s="15" t="s">
        <v>7885</v>
      </c>
      <c r="B2336" s="15" t="s">
        <v>1471</v>
      </c>
      <c r="C2336" s="15" t="s">
        <v>7886</v>
      </c>
      <c r="D2336" s="15" t="s">
        <v>7887</v>
      </c>
      <c r="E2336" s="16" t="str">
        <f aca="false">HYPERLINK("#'Forrásszöveg'!A"&amp;(MATCH("VHR-S1012",Forrásszöveg!$A$6:$A$2497,0)+5),"116. § (1) eleje")</f>
        <v>116. § (1) eleje</v>
      </c>
      <c r="F2336" s="16" t="str">
        <f aca="false">HYPERLINK("https://net.jogtar.hu/jogszabaly?docid=a2400418.kor#pr1012id","Jogtár megnyitása")</f>
        <v>Jogtár megnyitása</v>
      </c>
    </row>
    <row r="2337" customFormat="false" ht="38" hidden="false" customHeight="true" outlineLevel="0" collapsed="false">
      <c r="A2337" s="15" t="s">
        <v>7888</v>
      </c>
      <c r="B2337" s="15" t="s">
        <v>1471</v>
      </c>
      <c r="C2337" s="15" t="s">
        <v>7889</v>
      </c>
      <c r="D2337" s="15" t="s">
        <v>7890</v>
      </c>
      <c r="E2337" s="16" t="str">
        <f aca="false">HYPERLINK("#'Forrásszöveg'!A"&amp;(MATCH("VHR-S1012",Forrásszöveg!$A$6:$A$2497,0)+5),"116. § (1) eleje")</f>
        <v>116. § (1) eleje</v>
      </c>
      <c r="F2337" s="16" t="str">
        <f aca="false">HYPERLINK("https://net.jogtar.hu/jogszabaly?docid=a2400418.kor#pr1013id","Jogtár megnyitása")</f>
        <v>Jogtár megnyitása</v>
      </c>
    </row>
    <row r="2338" customFormat="false" ht="38" hidden="false" customHeight="true" outlineLevel="0" collapsed="false">
      <c r="A2338" s="15" t="s">
        <v>7891</v>
      </c>
      <c r="B2338" s="15" t="s">
        <v>1471</v>
      </c>
      <c r="C2338" s="15" t="s">
        <v>7892</v>
      </c>
      <c r="D2338" s="15" t="s">
        <v>7893</v>
      </c>
      <c r="E2338" s="16" t="str">
        <f aca="false">HYPERLINK("#'Forrásszöveg'!A"&amp;(MATCH("VHR-S1012",Forrásszöveg!$A$6:$A$2497,0)+5),"116. § (1) eleje")</f>
        <v>116. § (1) eleje</v>
      </c>
      <c r="F2338" s="16" t="str">
        <f aca="false">HYPERLINK("https://net.jogtar.hu/jogszabaly?docid=a2400418.kor#pr1014id","Jogtár megnyitása")</f>
        <v>Jogtár megnyitása</v>
      </c>
    </row>
    <row r="2339" customFormat="false" ht="34" hidden="false" customHeight="true" outlineLevel="0" collapsed="false">
      <c r="A2339" s="15" t="s">
        <v>7894</v>
      </c>
      <c r="B2339" s="15" t="s">
        <v>1471</v>
      </c>
      <c r="C2339" s="15" t="s">
        <v>7895</v>
      </c>
      <c r="D2339" s="15" t="s">
        <v>7896</v>
      </c>
      <c r="E2339" s="16" t="str">
        <f aca="false">HYPERLINK("#'Forrásszöveg'!A"&amp;(MATCH("VHR-S1012",Forrásszöveg!$A$6:$A$2497,0)+5),"116. § (1) eleje")</f>
        <v>116. § (1) eleje</v>
      </c>
      <c r="F2339" s="16" t="str">
        <f aca="false">HYPERLINK("https://net.jogtar.hu/jogszabaly?docid=a2400418.kor#pr1015id","Jogtár megnyitása")</f>
        <v>Jogtár megnyitása</v>
      </c>
    </row>
    <row r="2340" customFormat="false" ht="38" hidden="false" customHeight="true" outlineLevel="0" collapsed="false">
      <c r="A2340" s="15" t="s">
        <v>7897</v>
      </c>
      <c r="B2340" s="15" t="s">
        <v>1471</v>
      </c>
      <c r="C2340" s="15" t="s">
        <v>7898</v>
      </c>
      <c r="D2340" s="15" t="s">
        <v>7899</v>
      </c>
      <c r="E2340" s="16" t="str">
        <f aca="false">HYPERLINK("#'Forrásszöveg'!A"&amp;(MATCH("VHR-S1012",Forrásszöveg!$A$6:$A$2497,0)+5),"116. § (1) eleje")</f>
        <v>116. § (1) eleje</v>
      </c>
      <c r="F2340" s="16" t="str">
        <f aca="false">HYPERLINK("https://net.jogtar.hu/jogszabaly?docid=a2400418.kor#pr1016id","Jogtár megnyitása")</f>
        <v>Jogtár megnyitása</v>
      </c>
    </row>
    <row r="2341" customFormat="false" ht="38" hidden="false" customHeight="true" outlineLevel="0" collapsed="false">
      <c r="A2341" s="15" t="s">
        <v>7900</v>
      </c>
      <c r="B2341" s="15" t="s">
        <v>1471</v>
      </c>
      <c r="C2341" s="15" t="s">
        <v>7901</v>
      </c>
      <c r="D2341" s="15" t="s">
        <v>7902</v>
      </c>
      <c r="E2341" s="16" t="str">
        <f aca="false">HYPERLINK("#'Forrásszöveg'!A"&amp;(MATCH("VHR-S1012",Forrásszöveg!$A$6:$A$2497,0)+5),"116. § (1) eleje")</f>
        <v>116. § (1) eleje</v>
      </c>
      <c r="F2341" s="16" t="str">
        <f aca="false">HYPERLINK("https://net.jogtar.hu/jogszabaly?docid=a2400418.kor#pr1017id","Jogtár megnyitása")</f>
        <v>Jogtár megnyitása</v>
      </c>
    </row>
    <row r="2342" customFormat="false" ht="34" hidden="false" customHeight="true" outlineLevel="0" collapsed="false">
      <c r="A2342" s="15" t="s">
        <v>7903</v>
      </c>
      <c r="B2342" s="15" t="s">
        <v>1471</v>
      </c>
      <c r="C2342" s="15" t="s">
        <v>7904</v>
      </c>
      <c r="D2342" s="15" t="s">
        <v>7905</v>
      </c>
      <c r="E2342" s="16" t="str">
        <f aca="false">HYPERLINK("#'Forrásszöveg'!A"&amp;(MATCH("VHR-S1012",Forrásszöveg!$A$6:$A$2497,0)+5),"116. § (1) eleje")</f>
        <v>116. § (1) eleje</v>
      </c>
      <c r="F2342" s="16" t="str">
        <f aca="false">HYPERLINK("https://net.jogtar.hu/jogszabaly?docid=a2400418.kor#pr1018id","Jogtár megnyitása")</f>
        <v>Jogtár megnyitása</v>
      </c>
    </row>
    <row r="2343" customFormat="false" ht="38" hidden="false" customHeight="true" outlineLevel="0" collapsed="false">
      <c r="A2343" s="15" t="s">
        <v>7906</v>
      </c>
      <c r="B2343" s="15" t="s">
        <v>1471</v>
      </c>
      <c r="C2343" s="15" t="s">
        <v>7907</v>
      </c>
      <c r="D2343" s="15" t="s">
        <v>7908</v>
      </c>
      <c r="E2343" s="16" t="str">
        <f aca="false">HYPERLINK("#'Forrásszöveg'!A"&amp;(MATCH("VHR-S1019",Forrásszöveg!$A$6:$A$2497,0)+5),"116. § (2) eleje")</f>
        <v>116. § (2) eleje</v>
      </c>
      <c r="F2343" s="16" t="str">
        <f aca="false">HYPERLINK("https://net.jogtar.hu/jogszabaly?docid=a2400418.kor#pr1019id","Jogtár megnyitása")</f>
        <v>Jogtár megnyitása</v>
      </c>
    </row>
    <row r="2344" customFormat="false" ht="34" hidden="false" customHeight="true" outlineLevel="0" collapsed="false">
      <c r="A2344" s="15" t="s">
        <v>7909</v>
      </c>
      <c r="B2344" s="15" t="s">
        <v>1471</v>
      </c>
      <c r="C2344" s="15" t="s">
        <v>7910</v>
      </c>
      <c r="D2344" s="15" t="s">
        <v>7911</v>
      </c>
      <c r="E2344" s="16" t="str">
        <f aca="false">HYPERLINK("#'Forrásszöveg'!A"&amp;(MATCH("VHR-S1020",Forrásszöveg!$A$6:$A$2497,0)+5),"116. § (3) eleje")</f>
        <v>116. § (3) eleje</v>
      </c>
      <c r="F2344" s="16" t="str">
        <f aca="false">HYPERLINK("https://net.jogtar.hu/jogszabaly?docid=a2400418.kor#pr1020id","Jogtár megnyitása")</f>
        <v>Jogtár megnyitása</v>
      </c>
    </row>
    <row r="2345" customFormat="false" ht="34" hidden="false" customHeight="true" outlineLevel="0" collapsed="false">
      <c r="A2345" s="15" t="s">
        <v>7912</v>
      </c>
      <c r="B2345" s="15" t="s">
        <v>1471</v>
      </c>
      <c r="C2345" s="15" t="s">
        <v>7913</v>
      </c>
      <c r="D2345" s="15" t="s">
        <v>7914</v>
      </c>
      <c r="E2345" s="16" t="str">
        <f aca="false">HYPERLINK("#'Forrásszöveg'!A"&amp;(MATCH("VHR-S1020",Forrásszöveg!$A$6:$A$2497,0)+5),"116. § (3) eleje")</f>
        <v>116. § (3) eleje</v>
      </c>
      <c r="F2345" s="16" t="str">
        <f aca="false">HYPERLINK("https://net.jogtar.hu/jogszabaly?docid=a2400418.kor#pr1021id","Jogtár megnyitása")</f>
        <v>Jogtár megnyitása</v>
      </c>
    </row>
    <row r="2346" customFormat="false" ht="38" hidden="false" customHeight="true" outlineLevel="0" collapsed="false">
      <c r="A2346" s="15" t="s">
        <v>7915</v>
      </c>
      <c r="B2346" s="15" t="s">
        <v>1471</v>
      </c>
      <c r="C2346" s="15" t="s">
        <v>7916</v>
      </c>
      <c r="D2346" s="15" t="s">
        <v>7917</v>
      </c>
      <c r="E2346" s="16" t="str">
        <f aca="false">HYPERLINK("#'Forrásszöveg'!A"&amp;(MATCH("VHR-S1020",Forrásszöveg!$A$6:$A$2497,0)+5),"116. § (3) eleje")</f>
        <v>116. § (3) eleje</v>
      </c>
      <c r="F2346" s="16" t="str">
        <f aca="false">HYPERLINK("https://net.jogtar.hu/jogszabaly?docid=a2400418.kor#pr1022id","Jogtár megnyitása")</f>
        <v>Jogtár megnyitása</v>
      </c>
    </row>
    <row r="2347" customFormat="false" ht="38" hidden="false" customHeight="true" outlineLevel="0" collapsed="false">
      <c r="A2347" s="15" t="s">
        <v>7918</v>
      </c>
      <c r="B2347" s="15" t="s">
        <v>1471</v>
      </c>
      <c r="C2347" s="15" t="s">
        <v>7919</v>
      </c>
      <c r="D2347" s="15" t="s">
        <v>7920</v>
      </c>
      <c r="E2347" s="16" t="str">
        <f aca="false">HYPERLINK("#'Forrásszöveg'!A"&amp;(MATCH("VHR-S1020",Forrásszöveg!$A$6:$A$2497,0)+5),"116. § (3) eleje")</f>
        <v>116. § (3) eleje</v>
      </c>
      <c r="F2347" s="16" t="str">
        <f aca="false">HYPERLINK("https://net.jogtar.hu/jogszabaly?docid=a2400418.kor#pr1023id","Jogtár megnyitása")</f>
        <v>Jogtár megnyitása</v>
      </c>
    </row>
    <row r="2348" customFormat="false" ht="52" hidden="false" customHeight="true" outlineLevel="0" collapsed="false">
      <c r="A2348" s="15" t="s">
        <v>7921</v>
      </c>
      <c r="B2348" s="15" t="s">
        <v>1471</v>
      </c>
      <c r="C2348" s="15" t="s">
        <v>7922</v>
      </c>
      <c r="D2348" s="15" t="s">
        <v>7923</v>
      </c>
      <c r="E2348" s="16" t="str">
        <f aca="false">HYPERLINK("#'Forrásszöveg'!A"&amp;(MATCH("VHR-S1020",Forrásszöveg!$A$6:$A$2497,0)+5),"116. § (3) eleje")</f>
        <v>116. § (3) eleje</v>
      </c>
      <c r="F2348" s="16" t="str">
        <f aca="false">HYPERLINK("https://net.jogtar.hu/jogszabaly?docid=a2400418.kor#pr1024id","Jogtár megnyitása")</f>
        <v>Jogtár megnyitása</v>
      </c>
    </row>
    <row r="2349" customFormat="false" ht="38" hidden="false" customHeight="true" outlineLevel="0" collapsed="false">
      <c r="A2349" s="15" t="s">
        <v>7924</v>
      </c>
      <c r="B2349" s="15" t="s">
        <v>1471</v>
      </c>
      <c r="C2349" s="15" t="s">
        <v>7925</v>
      </c>
      <c r="D2349" s="15" t="s">
        <v>7926</v>
      </c>
      <c r="E2349" s="16" t="str">
        <f aca="false">HYPERLINK("#'Forrásszöveg'!A"&amp;(MATCH("VHR-S1020",Forrásszöveg!$A$6:$A$2497,0)+5),"116. § (3) eleje")</f>
        <v>116. § (3) eleje</v>
      </c>
      <c r="F2349" s="16" t="str">
        <f aca="false">HYPERLINK("https://net.jogtar.hu/jogszabaly?docid=a2400418.kor#pr1025id","Jogtár megnyitása")</f>
        <v>Jogtár megnyitása</v>
      </c>
    </row>
    <row r="2350" customFormat="false" ht="34" hidden="false" customHeight="true" outlineLevel="0" collapsed="false">
      <c r="A2350" s="15" t="s">
        <v>7927</v>
      </c>
      <c r="B2350" s="15" t="s">
        <v>1471</v>
      </c>
      <c r="C2350" s="15" t="s">
        <v>7928</v>
      </c>
      <c r="D2350" s="15" t="s">
        <v>7929</v>
      </c>
      <c r="E2350" s="16" t="str">
        <f aca="false">HYPERLINK("#'Forrásszöveg'!A"&amp;(MATCH("VHR-S1020",Forrásszöveg!$A$6:$A$2497,0)+5),"116. § (3) eleje")</f>
        <v>116. § (3) eleje</v>
      </c>
      <c r="F2350" s="16" t="str">
        <f aca="false">HYPERLINK("https://net.jogtar.hu/jogszabaly?docid=a2400418.kor#pr1026id","Jogtár megnyitása")</f>
        <v>Jogtár megnyitása</v>
      </c>
    </row>
    <row r="2351" customFormat="false" ht="34" hidden="false" customHeight="true" outlineLevel="0" collapsed="false">
      <c r="A2351" s="15" t="s">
        <v>7930</v>
      </c>
      <c r="B2351" s="15" t="s">
        <v>1471</v>
      </c>
      <c r="C2351" s="15" t="s">
        <v>7931</v>
      </c>
      <c r="D2351" s="15" t="s">
        <v>7932</v>
      </c>
      <c r="E2351" s="16" t="str">
        <f aca="false">HYPERLINK("#'Forrásszöveg'!A"&amp;(MATCH("VHR-S1020",Forrásszöveg!$A$6:$A$2497,0)+5),"116. § (3) eleje")</f>
        <v>116. § (3) eleje</v>
      </c>
      <c r="F2351" s="16" t="str">
        <f aca="false">HYPERLINK("https://net.jogtar.hu/jogszabaly?docid=a2400418.kor#pr1027id","Jogtár megnyitása")</f>
        <v>Jogtár megnyitása</v>
      </c>
    </row>
    <row r="2352" customFormat="false" ht="52" hidden="false" customHeight="true" outlineLevel="0" collapsed="false">
      <c r="A2352" s="15" t="s">
        <v>7933</v>
      </c>
      <c r="B2352" s="15" t="s">
        <v>1471</v>
      </c>
      <c r="C2352" s="15" t="s">
        <v>7934</v>
      </c>
      <c r="D2352" s="15" t="s">
        <v>7935</v>
      </c>
      <c r="E2352" s="16" t="str">
        <f aca="false">HYPERLINK("#'Forrásszöveg'!A"&amp;(MATCH("VHR-S1020",Forrásszöveg!$A$6:$A$2497,0)+5),"116. § (3) eleje")</f>
        <v>116. § (3) eleje</v>
      </c>
      <c r="F2352" s="16" t="str">
        <f aca="false">HYPERLINK("https://net.jogtar.hu/jogszabaly?docid=a2400418.kor#pr1028id","Jogtár megnyitása")</f>
        <v>Jogtár megnyitása</v>
      </c>
    </row>
    <row r="2353" customFormat="false" ht="66" hidden="false" customHeight="true" outlineLevel="0" collapsed="false">
      <c r="A2353" s="15" t="s">
        <v>7936</v>
      </c>
      <c r="B2353" s="15" t="s">
        <v>1471</v>
      </c>
      <c r="C2353" s="15" t="s">
        <v>7937</v>
      </c>
      <c r="D2353" s="15" t="s">
        <v>7938</v>
      </c>
      <c r="E2353" s="16" t="str">
        <f aca="false">HYPERLINK("#'Forrásszöveg'!A"&amp;(MATCH("VHR-S1029",Forrásszöveg!$A$6:$A$2497,0)+5),"116. § (4) eleje")</f>
        <v>116. § (4) eleje</v>
      </c>
      <c r="F2353" s="16" t="str">
        <f aca="false">HYPERLINK("https://net.jogtar.hu/jogszabaly?docid=a2400418.kor#pr1029id","Jogtár megnyitása")</f>
        <v>Jogtár megnyitása</v>
      </c>
    </row>
    <row r="2354" customFormat="false" ht="52" hidden="false" customHeight="true" outlineLevel="0" collapsed="false">
      <c r="A2354" s="15" t="s">
        <v>7939</v>
      </c>
      <c r="B2354" s="15" t="s">
        <v>1471</v>
      </c>
      <c r="C2354" s="15" t="s">
        <v>7940</v>
      </c>
      <c r="D2354" s="15" t="s">
        <v>7941</v>
      </c>
      <c r="E2354" s="16" t="str">
        <f aca="false">HYPERLINK("#'Forrásszöveg'!A"&amp;(MATCH("VHR-S1030",Forrásszöveg!$A$6:$A$2497,0)+5),"117. § (1) eleje")</f>
        <v>117. § (1) eleje</v>
      </c>
      <c r="F2354" s="16" t="str">
        <f aca="false">HYPERLINK("https://net.jogtar.hu/jogszabaly?docid=a2400418.kor#pr1030id","Jogtár megnyitása")</f>
        <v>Jogtár megnyitása</v>
      </c>
    </row>
    <row r="2355" customFormat="false" ht="34" hidden="false" customHeight="true" outlineLevel="0" collapsed="false">
      <c r="A2355" s="15" t="s">
        <v>7942</v>
      </c>
      <c r="B2355" s="15" t="s">
        <v>1471</v>
      </c>
      <c r="C2355" s="15" t="s">
        <v>7943</v>
      </c>
      <c r="D2355" s="15" t="s">
        <v>7944</v>
      </c>
      <c r="E2355" s="16" t="str">
        <f aca="false">HYPERLINK("#'Forrásszöveg'!A"&amp;(MATCH("VHR-S1031",Forrásszöveg!$A$6:$A$2497,0)+5),"117. § (2) eleje")</f>
        <v>117. § (2) eleje</v>
      </c>
      <c r="F2355" s="16" t="str">
        <f aca="false">HYPERLINK("https://net.jogtar.hu/jogszabaly?docid=a2400418.kor#pr1031id","Jogtár megnyitása")</f>
        <v>Jogtár megnyitása</v>
      </c>
    </row>
    <row r="2356" customFormat="false" ht="34" hidden="false" customHeight="true" outlineLevel="0" collapsed="false">
      <c r="A2356" s="15" t="s">
        <v>7945</v>
      </c>
      <c r="B2356" s="15" t="s">
        <v>1471</v>
      </c>
      <c r="C2356" s="15" t="s">
        <v>7946</v>
      </c>
      <c r="D2356" s="15" t="s">
        <v>7947</v>
      </c>
      <c r="E2356" s="16" t="str">
        <f aca="false">HYPERLINK("#'Forrásszöveg'!A"&amp;(MATCH("VHR-S1031",Forrásszöveg!$A$6:$A$2497,0)+5),"117. § (2) eleje")</f>
        <v>117. § (2) eleje</v>
      </c>
      <c r="F2356" s="16" t="str">
        <f aca="false">HYPERLINK("https://net.jogtar.hu/jogszabaly?docid=a2400418.kor#pr1032id","Jogtár megnyitása")</f>
        <v>Jogtár megnyitása</v>
      </c>
    </row>
    <row r="2357" customFormat="false" ht="38" hidden="false" customHeight="true" outlineLevel="0" collapsed="false">
      <c r="A2357" s="15" t="s">
        <v>7948</v>
      </c>
      <c r="B2357" s="15" t="s">
        <v>1471</v>
      </c>
      <c r="C2357" s="15" t="s">
        <v>7949</v>
      </c>
      <c r="D2357" s="15" t="s">
        <v>7950</v>
      </c>
      <c r="E2357" s="16" t="str">
        <f aca="false">HYPERLINK("#'Forrásszöveg'!A"&amp;(MATCH("VHR-S1031",Forrásszöveg!$A$6:$A$2497,0)+5),"117. § (2) eleje")</f>
        <v>117. § (2) eleje</v>
      </c>
      <c r="F2357" s="16" t="str">
        <f aca="false">HYPERLINK("https://net.jogtar.hu/jogszabaly?docid=a2400418.kor#pr1033id","Jogtár megnyitása")</f>
        <v>Jogtár megnyitása</v>
      </c>
    </row>
    <row r="2358" customFormat="false" ht="38" hidden="false" customHeight="true" outlineLevel="0" collapsed="false">
      <c r="A2358" s="15" t="s">
        <v>7951</v>
      </c>
      <c r="B2358" s="15" t="s">
        <v>1471</v>
      </c>
      <c r="C2358" s="15" t="s">
        <v>7952</v>
      </c>
      <c r="D2358" s="15" t="s">
        <v>7953</v>
      </c>
      <c r="E2358" s="16" t="str">
        <f aca="false">HYPERLINK("#'Forrásszöveg'!A"&amp;(MATCH("VHR-S1031",Forrásszöveg!$A$6:$A$2497,0)+5),"117. § (2) eleje")</f>
        <v>117. § (2) eleje</v>
      </c>
      <c r="F2358" s="16" t="str">
        <f aca="false">HYPERLINK("https://net.jogtar.hu/jogszabaly?docid=a2400418.kor#pr1034id","Jogtár megnyitása")</f>
        <v>Jogtár megnyitása</v>
      </c>
    </row>
    <row r="2359" customFormat="false" ht="38" hidden="false" customHeight="true" outlineLevel="0" collapsed="false">
      <c r="A2359" s="15" t="s">
        <v>7954</v>
      </c>
      <c r="B2359" s="15" t="s">
        <v>1471</v>
      </c>
      <c r="C2359" s="15" t="s">
        <v>7955</v>
      </c>
      <c r="D2359" s="15" t="s">
        <v>7956</v>
      </c>
      <c r="E2359" s="16" t="str">
        <f aca="false">HYPERLINK("#'Forrásszöveg'!A"&amp;(MATCH("VHR-S1031",Forrásszöveg!$A$6:$A$2497,0)+5),"117. § (2) eleje")</f>
        <v>117. § (2) eleje</v>
      </c>
      <c r="F2359" s="16" t="str">
        <f aca="false">HYPERLINK("https://net.jogtar.hu/jogszabaly?docid=a2400418.kor#pr1035id","Jogtár megnyitása")</f>
        <v>Jogtár megnyitása</v>
      </c>
    </row>
    <row r="2360" customFormat="false" ht="38" hidden="false" customHeight="true" outlineLevel="0" collapsed="false">
      <c r="A2360" s="15" t="s">
        <v>7957</v>
      </c>
      <c r="B2360" s="15" t="s">
        <v>1471</v>
      </c>
      <c r="C2360" s="15" t="s">
        <v>7958</v>
      </c>
      <c r="D2360" s="15" t="s">
        <v>7959</v>
      </c>
      <c r="E2360" s="16" t="str">
        <f aca="false">HYPERLINK("#'Forrásszöveg'!A"&amp;(MATCH("VHR-S1031",Forrásszöveg!$A$6:$A$2497,0)+5),"117. § (2) eleje")</f>
        <v>117. § (2) eleje</v>
      </c>
      <c r="F2360" s="16" t="str">
        <f aca="false">HYPERLINK("https://net.jogtar.hu/jogszabaly?docid=a2400418.kor#pr1036id","Jogtár megnyitása")</f>
        <v>Jogtár megnyitása</v>
      </c>
    </row>
    <row r="2361" customFormat="false" ht="34" hidden="false" customHeight="true" outlineLevel="0" collapsed="false">
      <c r="A2361" s="15" t="s">
        <v>7960</v>
      </c>
      <c r="B2361" s="15" t="s">
        <v>1471</v>
      </c>
      <c r="C2361" s="15" t="s">
        <v>7961</v>
      </c>
      <c r="D2361" s="15" t="s">
        <v>7961</v>
      </c>
      <c r="E2361" s="16" t="str">
        <f aca="false">HYPERLINK("#'Forrásszöveg'!A"&amp;(MATCH("VHR-S1030",Forrásszöveg!$A$6:$A$2497,0)+5),"117. § eleje")</f>
        <v>117. § eleje</v>
      </c>
      <c r="F2361" s="16" t="str">
        <f aca="false">HYPERLINK("https://net.jogtar.hu/jogszabaly?docid=a2400418.kor#pr1037id","Jogtár megnyitása")</f>
        <v>Jogtár megnyitása</v>
      </c>
    </row>
    <row r="2362" customFormat="false" ht="34" hidden="false" customHeight="true" outlineLevel="0" collapsed="false">
      <c r="A2362" s="15" t="s">
        <v>7962</v>
      </c>
      <c r="B2362" s="15" t="s">
        <v>1471</v>
      </c>
      <c r="C2362" s="15" t="s">
        <v>4769</v>
      </c>
      <c r="D2362" s="15" t="s">
        <v>4769</v>
      </c>
      <c r="E2362" s="16" t="str">
        <f aca="false">HYPERLINK("#'Forrásszöveg'!A"&amp;(MATCH("VHR-S1030",Forrásszöveg!$A$6:$A$2497,0)+5),"117. § eleje")</f>
        <v>117. § eleje</v>
      </c>
      <c r="F2362" s="16" t="str">
        <f aca="false">HYPERLINK("https://net.jogtar.hu/jogszabaly?docid=a2400418.kor#pr1038id","Jogtár megnyitása")</f>
        <v>Jogtár megnyitása</v>
      </c>
    </row>
    <row r="2363" customFormat="false" ht="38" hidden="false" customHeight="true" outlineLevel="0" collapsed="false">
      <c r="A2363" s="15" t="s">
        <v>7963</v>
      </c>
      <c r="B2363" s="15" t="s">
        <v>1471</v>
      </c>
      <c r="C2363" s="15" t="s">
        <v>1543</v>
      </c>
      <c r="D2363" s="15" t="s">
        <v>1543</v>
      </c>
      <c r="E2363" s="16" t="str">
        <f aca="false">HYPERLINK("#'Forrásszöveg'!A"&amp;(MATCH("VHR-S1030",Forrásszöveg!$A$6:$A$2497,0)+5),"117. § eleje")</f>
        <v>117. § eleje</v>
      </c>
      <c r="F2363" s="16" t="str">
        <f aca="false">HYPERLINK("https://net.jogtar.hu/jogszabaly?docid=a2400418.kor#pr1039id","Jogtár megnyitása")</f>
        <v>Jogtár megnyitása</v>
      </c>
    </row>
    <row r="2364" customFormat="false" ht="34" hidden="false" customHeight="true" outlineLevel="0" collapsed="false">
      <c r="A2364" s="15" t="s">
        <v>7964</v>
      </c>
      <c r="B2364" s="15" t="s">
        <v>1471</v>
      </c>
      <c r="C2364" s="15" t="s">
        <v>7965</v>
      </c>
      <c r="D2364" s="15" t="s">
        <v>7966</v>
      </c>
      <c r="E2364" s="16" t="str">
        <f aca="false">HYPERLINK("#'Forrásszöveg'!A"&amp;(MATCH("VHR-S1040",Forrásszöveg!$A$6:$A$2497,0)+5),"118. § (1) eleje")</f>
        <v>118. § (1) eleje</v>
      </c>
      <c r="F2364" s="16" t="str">
        <f aca="false">HYPERLINK("https://net.jogtar.hu/jogszabaly?docid=a2400418.kor#pr1040id","Jogtár megnyitása")</f>
        <v>Jogtár megnyitása</v>
      </c>
    </row>
    <row r="2365" customFormat="false" ht="38" hidden="false" customHeight="true" outlineLevel="0" collapsed="false">
      <c r="A2365" s="15" t="s">
        <v>7967</v>
      </c>
      <c r="B2365" s="15" t="s">
        <v>1471</v>
      </c>
      <c r="C2365" s="15" t="s">
        <v>7968</v>
      </c>
      <c r="D2365" s="15" t="s">
        <v>7969</v>
      </c>
      <c r="E2365" s="16" t="str">
        <f aca="false">HYPERLINK("#'Forrásszöveg'!A"&amp;(MATCH("VHR-S1041",Forrásszöveg!$A$6:$A$2497,0)+5),"118. § (2) eleje")</f>
        <v>118. § (2) eleje</v>
      </c>
      <c r="F2365" s="16" t="str">
        <f aca="false">HYPERLINK("https://net.jogtar.hu/jogszabaly?docid=a2400418.kor#pr1041id","Jogtár megnyitása")</f>
        <v>Jogtár megnyitása</v>
      </c>
    </row>
    <row r="2366" customFormat="false" ht="34" hidden="false" customHeight="true" outlineLevel="0" collapsed="false">
      <c r="A2366" s="15" t="s">
        <v>7970</v>
      </c>
      <c r="B2366" s="15" t="s">
        <v>1471</v>
      </c>
      <c r="C2366" s="15" t="s">
        <v>1545</v>
      </c>
      <c r="D2366" s="15" t="s">
        <v>1545</v>
      </c>
      <c r="E2366" s="16" t="str">
        <f aca="false">HYPERLINK("#'Forrásszöveg'!A"&amp;(MATCH("VHR-S1040",Forrásszöveg!$A$6:$A$2497,0)+5),"118. § eleje")</f>
        <v>118. § eleje</v>
      </c>
      <c r="F2366" s="16" t="str">
        <f aca="false">HYPERLINK("https://net.jogtar.hu/jogszabaly?docid=a2400418.kor#pr1042id","Jogtár megnyitása")</f>
        <v>Jogtár megnyitása</v>
      </c>
    </row>
    <row r="2367" customFormat="false" ht="52" hidden="false" customHeight="true" outlineLevel="0" collapsed="false">
      <c r="A2367" s="15" t="s">
        <v>7971</v>
      </c>
      <c r="B2367" s="15" t="s">
        <v>1471</v>
      </c>
      <c r="C2367" s="15" t="s">
        <v>7972</v>
      </c>
      <c r="D2367" s="15" t="s">
        <v>7973</v>
      </c>
      <c r="E2367" s="16" t="str">
        <f aca="false">HYPERLINK("#'Forrásszöveg'!A"&amp;(MATCH("VHR-S1043",Forrásszöveg!$A$6:$A$2497,0)+5),"119. § (1) eleje")</f>
        <v>119. § (1) eleje</v>
      </c>
      <c r="F2367" s="16" t="str">
        <f aca="false">HYPERLINK("https://net.jogtar.hu/jogszabaly?docid=a2400418.kor#pr1043id","Jogtár megnyitása")</f>
        <v>Jogtár megnyitása</v>
      </c>
    </row>
    <row r="2368" customFormat="false" ht="38" hidden="false" customHeight="true" outlineLevel="0" collapsed="false">
      <c r="A2368" s="15" t="s">
        <v>7974</v>
      </c>
      <c r="B2368" s="15" t="s">
        <v>1471</v>
      </c>
      <c r="C2368" s="15" t="s">
        <v>7975</v>
      </c>
      <c r="D2368" s="15" t="s">
        <v>7976</v>
      </c>
      <c r="E2368" s="16" t="str">
        <f aca="false">HYPERLINK("#'Forrásszöveg'!A"&amp;(MATCH("VHR-S1044",Forrásszöveg!$A$6:$A$2497,0)+5),"119. § (2) eleje")</f>
        <v>119. § (2) eleje</v>
      </c>
      <c r="F2368" s="16" t="str">
        <f aca="false">HYPERLINK("https://net.jogtar.hu/jogszabaly?docid=a2400418.kor#pr1044id","Jogtár megnyitása")</f>
        <v>Jogtár megnyitása</v>
      </c>
    </row>
    <row r="2369" customFormat="false" ht="38" hidden="false" customHeight="true" outlineLevel="0" collapsed="false">
      <c r="A2369" s="15" t="s">
        <v>7977</v>
      </c>
      <c r="B2369" s="15" t="s">
        <v>1471</v>
      </c>
      <c r="C2369" s="15" t="s">
        <v>7978</v>
      </c>
      <c r="D2369" s="15" t="s">
        <v>7979</v>
      </c>
      <c r="E2369" s="16" t="str">
        <f aca="false">HYPERLINK("#'Forrásszöveg'!A"&amp;(MATCH("VHR-S1045",Forrásszöveg!$A$6:$A$2497,0)+5),"119. § (3) eleje")</f>
        <v>119. § (3) eleje</v>
      </c>
      <c r="F2369" s="16" t="str">
        <f aca="false">HYPERLINK("https://net.jogtar.hu/jogszabaly?docid=a2400418.kor#pr1045id","Jogtár megnyitása")</f>
        <v>Jogtár megnyitása</v>
      </c>
    </row>
    <row r="2370" customFormat="false" ht="38" hidden="false" customHeight="true" outlineLevel="0" collapsed="false">
      <c r="A2370" s="15" t="s">
        <v>7980</v>
      </c>
      <c r="B2370" s="15" t="s">
        <v>1471</v>
      </c>
      <c r="C2370" s="15" t="s">
        <v>7981</v>
      </c>
      <c r="D2370" s="15" t="s">
        <v>7982</v>
      </c>
      <c r="E2370" s="16" t="str">
        <f aca="false">HYPERLINK("#'Forrásszöveg'!A"&amp;(MATCH("VHR-S1046",Forrásszöveg!$A$6:$A$2497,0)+5),"119. § (4) eleje")</f>
        <v>119. § (4) eleje</v>
      </c>
      <c r="F2370" s="16" t="str">
        <f aca="false">HYPERLINK("https://net.jogtar.hu/jogszabaly?docid=a2400418.kor#pr1046id","Jogtár megnyitása")</f>
        <v>Jogtár megnyitása</v>
      </c>
    </row>
    <row r="2371" customFormat="false" ht="38" hidden="false" customHeight="true" outlineLevel="0" collapsed="false">
      <c r="A2371" s="15" t="s">
        <v>7983</v>
      </c>
      <c r="B2371" s="15" t="s">
        <v>1471</v>
      </c>
      <c r="C2371" s="15" t="s">
        <v>7984</v>
      </c>
      <c r="D2371" s="15" t="s">
        <v>7985</v>
      </c>
      <c r="E2371" s="16" t="str">
        <f aca="false">HYPERLINK("#'Forrásszöveg'!A"&amp;(MATCH("VHR-S1047",Forrásszöveg!$A$6:$A$2497,0)+5),"119. § (5) eleje")</f>
        <v>119. § (5) eleje</v>
      </c>
      <c r="F2371" s="16" t="str">
        <f aca="false">HYPERLINK("https://net.jogtar.hu/jogszabaly?docid=a2400418.kor#pr1047id","Jogtár megnyitása")</f>
        <v>Jogtár megnyitása</v>
      </c>
    </row>
    <row r="2372" customFormat="false" ht="34" hidden="false" customHeight="true" outlineLevel="0" collapsed="false">
      <c r="A2372" s="15" t="s">
        <v>7986</v>
      </c>
      <c r="B2372" s="15" t="s">
        <v>1471</v>
      </c>
      <c r="C2372" s="15" t="s">
        <v>7987</v>
      </c>
      <c r="D2372" s="15" t="s">
        <v>7988</v>
      </c>
      <c r="E2372" s="16" t="str">
        <f aca="false">HYPERLINK("#'Forrásszöveg'!A"&amp;(MATCH("VHR-S1048",Forrásszöveg!$A$6:$A$2497,0)+5),"119. § (6) eleje")</f>
        <v>119. § (6) eleje</v>
      </c>
      <c r="F2372" s="16" t="str">
        <f aca="false">HYPERLINK("https://net.jogtar.hu/jogszabaly?docid=a2400418.kor#pr1048id","Jogtár megnyitása")</f>
        <v>Jogtár megnyitása</v>
      </c>
    </row>
    <row r="2373" customFormat="false" ht="34" hidden="false" customHeight="true" outlineLevel="0" collapsed="false">
      <c r="A2373" s="15" t="s">
        <v>7989</v>
      </c>
      <c r="B2373" s="15" t="s">
        <v>1471</v>
      </c>
      <c r="C2373" s="15" t="s">
        <v>7990</v>
      </c>
      <c r="D2373" s="15" t="s">
        <v>7991</v>
      </c>
      <c r="E2373" s="16" t="str">
        <f aca="false">HYPERLINK("#'Forrásszöveg'!A"&amp;(MATCH("VHR-S1048",Forrásszöveg!$A$6:$A$2497,0)+5),"119. § (6) eleje")</f>
        <v>119. § (6) eleje</v>
      </c>
      <c r="F2373" s="16" t="str">
        <f aca="false">HYPERLINK("https://net.jogtar.hu/jogszabaly?docid=a2400418.kor#pr1049id","Jogtár megnyitása")</f>
        <v>Jogtár megnyitása</v>
      </c>
    </row>
    <row r="2374" customFormat="false" ht="34" hidden="false" customHeight="true" outlineLevel="0" collapsed="false">
      <c r="A2374" s="15" t="s">
        <v>7992</v>
      </c>
      <c r="B2374" s="15" t="s">
        <v>1471</v>
      </c>
      <c r="C2374" s="15" t="s">
        <v>7993</v>
      </c>
      <c r="D2374" s="15" t="s">
        <v>7994</v>
      </c>
      <c r="E2374" s="16" t="str">
        <f aca="false">HYPERLINK("#'Forrásszöveg'!A"&amp;(MATCH("VHR-S1048",Forrásszöveg!$A$6:$A$2497,0)+5),"119. § (6) eleje")</f>
        <v>119. § (6) eleje</v>
      </c>
      <c r="F2374" s="16" t="str">
        <f aca="false">HYPERLINK("https://net.jogtar.hu/jogszabaly?docid=a2400418.kor#pr1050id","Jogtár megnyitása")</f>
        <v>Jogtár megnyitása</v>
      </c>
    </row>
    <row r="2375" customFormat="false" ht="34" hidden="false" customHeight="true" outlineLevel="0" collapsed="false">
      <c r="A2375" s="15" t="s">
        <v>7995</v>
      </c>
      <c r="B2375" s="15" t="s">
        <v>1471</v>
      </c>
      <c r="C2375" s="15" t="s">
        <v>7996</v>
      </c>
      <c r="D2375" s="15" t="s">
        <v>7997</v>
      </c>
      <c r="E2375" s="16" t="str">
        <f aca="false">HYPERLINK("#'Forrásszöveg'!A"&amp;(MATCH("VHR-S1048",Forrásszöveg!$A$6:$A$2497,0)+5),"119. § (6) eleje")</f>
        <v>119. § (6) eleje</v>
      </c>
      <c r="F2375" s="16" t="str">
        <f aca="false">HYPERLINK("https://net.jogtar.hu/jogszabaly?docid=a2400418.kor#pr1051id","Jogtár megnyitása")</f>
        <v>Jogtár megnyitása</v>
      </c>
    </row>
    <row r="2376" customFormat="false" ht="34" hidden="false" customHeight="true" outlineLevel="0" collapsed="false">
      <c r="A2376" s="15" t="s">
        <v>7998</v>
      </c>
      <c r="B2376" s="15" t="s">
        <v>1471</v>
      </c>
      <c r="C2376" s="15" t="s">
        <v>7987</v>
      </c>
      <c r="D2376" s="15" t="s">
        <v>7999</v>
      </c>
      <c r="E2376" s="16" t="str">
        <f aca="false">HYPERLINK("#'Forrásszöveg'!A"&amp;(MATCH("VHR-S1048",Forrásszöveg!$A$6:$A$2497,0)+5),"119. § (6) eleje")</f>
        <v>119. § (6) eleje</v>
      </c>
      <c r="F2376" s="16" t="str">
        <f aca="false">HYPERLINK("https://net.jogtar.hu/jogszabaly?docid=a2400418.kor#pr1052id","Jogtár megnyitása")</f>
        <v>Jogtár megnyitása</v>
      </c>
    </row>
    <row r="2377" customFormat="false" ht="80" hidden="false" customHeight="true" outlineLevel="0" collapsed="false">
      <c r="A2377" s="15" t="s">
        <v>8000</v>
      </c>
      <c r="B2377" s="15" t="s">
        <v>1471</v>
      </c>
      <c r="C2377" s="15" t="s">
        <v>8001</v>
      </c>
      <c r="D2377" s="15" t="s">
        <v>8002</v>
      </c>
      <c r="E2377" s="16" t="str">
        <f aca="false">HYPERLINK("#'Forrásszöveg'!A"&amp;(MATCH("VHR-S1053",Forrásszöveg!$A$6:$A$2497,0)+5),"119. § (7) eleje")</f>
        <v>119. § (7) eleje</v>
      </c>
      <c r="F2377" s="16" t="str">
        <f aca="false">HYPERLINK("https://net.jogtar.hu/jogszabaly?docid=a2400418.kor#pr1053id","Jogtár megnyitása")</f>
        <v>Jogtár megnyitása</v>
      </c>
    </row>
    <row r="2378" customFormat="false" ht="38" hidden="false" customHeight="true" outlineLevel="0" collapsed="false">
      <c r="A2378" s="15" t="s">
        <v>8003</v>
      </c>
      <c r="B2378" s="15" t="s">
        <v>1471</v>
      </c>
      <c r="C2378" s="15" t="s">
        <v>1546</v>
      </c>
      <c r="D2378" s="15" t="s">
        <v>1546</v>
      </c>
      <c r="E2378" s="16" t="str">
        <f aca="false">HYPERLINK("#'Forrásszöveg'!A"&amp;(MATCH("VHR-S1043",Forrásszöveg!$A$6:$A$2497,0)+5),"119. § eleje")</f>
        <v>119. § eleje</v>
      </c>
      <c r="F2378" s="16" t="str">
        <f aca="false">HYPERLINK("https://net.jogtar.hu/jogszabaly?docid=a2400418.kor#pr1054id","Jogtár megnyitása")</f>
        <v>Jogtár megnyitása</v>
      </c>
    </row>
    <row r="2379" customFormat="false" ht="34" hidden="false" customHeight="true" outlineLevel="0" collapsed="false">
      <c r="A2379" s="15" t="s">
        <v>8004</v>
      </c>
      <c r="B2379" s="15" t="s">
        <v>1471</v>
      </c>
      <c r="C2379" s="15" t="s">
        <v>5115</v>
      </c>
      <c r="D2379" s="15" t="s">
        <v>8005</v>
      </c>
      <c r="E2379" s="16" t="str">
        <f aca="false">HYPERLINK("#'Forrásszöveg'!A"&amp;(MATCH("VHR-S1055",Forrásszöveg!$A$6:$A$2497,0)+5),"120. § (1) eleje")</f>
        <v>120. § (1) eleje</v>
      </c>
      <c r="F2379" s="16" t="str">
        <f aca="false">HYPERLINK("https://net.jogtar.hu/jogszabaly?docid=a2400418.kor#pr1055id","Jogtár megnyitása")</f>
        <v>Jogtár megnyitása</v>
      </c>
    </row>
    <row r="2380" customFormat="false" ht="52" hidden="false" customHeight="true" outlineLevel="0" collapsed="false">
      <c r="A2380" s="15" t="s">
        <v>8006</v>
      </c>
      <c r="B2380" s="15" t="s">
        <v>1471</v>
      </c>
      <c r="C2380" s="15" t="s">
        <v>8007</v>
      </c>
      <c r="D2380" s="15" t="s">
        <v>8008</v>
      </c>
      <c r="E2380" s="16" t="str">
        <f aca="false">HYPERLINK("#'Forrásszöveg'!A"&amp;(MATCH("VHR-S1055",Forrásszöveg!$A$6:$A$2497,0)+5),"120. § (1) eleje")</f>
        <v>120. § (1) eleje</v>
      </c>
      <c r="F2380" s="16" t="str">
        <f aca="false">HYPERLINK("https://net.jogtar.hu/jogszabaly?docid=a2400418.kor#pr1056id","Jogtár megnyitása")</f>
        <v>Jogtár megnyitása</v>
      </c>
    </row>
    <row r="2381" customFormat="false" ht="38" hidden="false" customHeight="true" outlineLevel="0" collapsed="false">
      <c r="A2381" s="15" t="s">
        <v>8009</v>
      </c>
      <c r="B2381" s="15" t="s">
        <v>1471</v>
      </c>
      <c r="C2381" s="15" t="s">
        <v>8010</v>
      </c>
      <c r="D2381" s="15" t="s">
        <v>8011</v>
      </c>
      <c r="E2381" s="16" t="str">
        <f aca="false">HYPERLINK("#'Forrásszöveg'!A"&amp;(MATCH("VHR-S1055",Forrásszöveg!$A$6:$A$2497,0)+5),"120. § (1) eleje")</f>
        <v>120. § (1) eleje</v>
      </c>
      <c r="F2381" s="16" t="str">
        <f aca="false">HYPERLINK("https://net.jogtar.hu/jogszabaly?docid=a2400418.kor#pr1057id","Jogtár megnyitása")</f>
        <v>Jogtár megnyitása</v>
      </c>
    </row>
    <row r="2382" customFormat="false" ht="34" hidden="false" customHeight="true" outlineLevel="0" collapsed="false">
      <c r="A2382" s="15" t="s">
        <v>8012</v>
      </c>
      <c r="B2382" s="15" t="s">
        <v>1471</v>
      </c>
      <c r="C2382" s="15" t="s">
        <v>5115</v>
      </c>
      <c r="D2382" s="15" t="s">
        <v>5089</v>
      </c>
      <c r="E2382" s="16" t="str">
        <f aca="false">HYPERLINK("#'Forrásszöveg'!A"&amp;(MATCH("VHR-S1055",Forrásszöveg!$A$6:$A$2497,0)+5),"120. § (1) eleje")</f>
        <v>120. § (1) eleje</v>
      </c>
      <c r="F2382" s="16" t="str">
        <f aca="false">HYPERLINK("https://net.jogtar.hu/jogszabaly?docid=a2400418.kor#pr1058id","Jogtár megnyitása")</f>
        <v>Jogtár megnyitása</v>
      </c>
    </row>
    <row r="2383" customFormat="false" ht="34" hidden="false" customHeight="true" outlineLevel="0" collapsed="false">
      <c r="A2383" s="15" t="s">
        <v>8013</v>
      </c>
      <c r="B2383" s="15" t="s">
        <v>1471</v>
      </c>
      <c r="C2383" s="15" t="s">
        <v>5117</v>
      </c>
      <c r="D2383" s="15" t="s">
        <v>8014</v>
      </c>
      <c r="E2383" s="16" t="str">
        <f aca="false">HYPERLINK("#'Forrásszöveg'!A"&amp;(MATCH("VHR-S1059",Forrásszöveg!$A$6:$A$2497,0)+5),"120. § (2) eleje")</f>
        <v>120. § (2) eleje</v>
      </c>
      <c r="F2383" s="16" t="str">
        <f aca="false">HYPERLINK("https://net.jogtar.hu/jogszabaly?docid=a2400418.kor#pr1059id","Jogtár megnyitása")</f>
        <v>Jogtár megnyitása</v>
      </c>
    </row>
    <row r="2384" customFormat="false" ht="52" hidden="false" customHeight="true" outlineLevel="0" collapsed="false">
      <c r="A2384" s="15" t="s">
        <v>8015</v>
      </c>
      <c r="B2384" s="15" t="s">
        <v>1471</v>
      </c>
      <c r="C2384" s="15" t="s">
        <v>8016</v>
      </c>
      <c r="D2384" s="15" t="s">
        <v>5095</v>
      </c>
      <c r="E2384" s="16" t="str">
        <f aca="false">HYPERLINK("#'Forrásszöveg'!A"&amp;(MATCH("VHR-S1059",Forrásszöveg!$A$6:$A$2497,0)+5),"120. § (2) eleje")</f>
        <v>120. § (2) eleje</v>
      </c>
      <c r="F2384" s="16" t="str">
        <f aca="false">HYPERLINK("https://net.jogtar.hu/jogszabaly?docid=a2400418.kor#pr1060id","Jogtár megnyitása")</f>
        <v>Jogtár megnyitása</v>
      </c>
    </row>
    <row r="2385" customFormat="false" ht="38" hidden="false" customHeight="true" outlineLevel="0" collapsed="false">
      <c r="A2385" s="15" t="s">
        <v>8017</v>
      </c>
      <c r="B2385" s="15" t="s">
        <v>1471</v>
      </c>
      <c r="C2385" s="15" t="s">
        <v>8018</v>
      </c>
      <c r="D2385" s="15" t="s">
        <v>5098</v>
      </c>
      <c r="E2385" s="16" t="str">
        <f aca="false">HYPERLINK("#'Forrásszöveg'!A"&amp;(MATCH("VHR-S1059",Forrásszöveg!$A$6:$A$2497,0)+5),"120. § (2) eleje")</f>
        <v>120. § (2) eleje</v>
      </c>
      <c r="F2385" s="16" t="str">
        <f aca="false">HYPERLINK("https://net.jogtar.hu/jogszabaly?docid=a2400418.kor#pr1061id","Jogtár megnyitása")</f>
        <v>Jogtár megnyitása</v>
      </c>
    </row>
    <row r="2386" customFormat="false" ht="52" hidden="false" customHeight="true" outlineLevel="0" collapsed="false">
      <c r="A2386" s="15" t="s">
        <v>8019</v>
      </c>
      <c r="B2386" s="15" t="s">
        <v>1471</v>
      </c>
      <c r="C2386" s="15" t="s">
        <v>8020</v>
      </c>
      <c r="D2386" s="15" t="s">
        <v>5101</v>
      </c>
      <c r="E2386" s="16" t="str">
        <f aca="false">HYPERLINK("#'Forrásszöveg'!A"&amp;(MATCH("VHR-S1059",Forrásszöveg!$A$6:$A$2497,0)+5),"120. § (2) eleje")</f>
        <v>120. § (2) eleje</v>
      </c>
      <c r="F2386" s="16" t="str">
        <f aca="false">HYPERLINK("https://net.jogtar.hu/jogszabaly?docid=a2400418.kor#pr1062id","Jogtár megnyitása")</f>
        <v>Jogtár megnyitása</v>
      </c>
    </row>
    <row r="2387" customFormat="false" ht="52" hidden="false" customHeight="true" outlineLevel="0" collapsed="false">
      <c r="A2387" s="15" t="s">
        <v>8021</v>
      </c>
      <c r="B2387" s="15" t="s">
        <v>1471</v>
      </c>
      <c r="C2387" s="15" t="s">
        <v>8022</v>
      </c>
      <c r="D2387" s="15" t="s">
        <v>8023</v>
      </c>
      <c r="E2387" s="16" t="str">
        <f aca="false">HYPERLINK("#'Forrásszöveg'!A"&amp;(MATCH("VHR-S1059",Forrásszöveg!$A$6:$A$2497,0)+5),"120. § (2) eleje")</f>
        <v>120. § (2) eleje</v>
      </c>
      <c r="F2387" s="16" t="str">
        <f aca="false">HYPERLINK("https://net.jogtar.hu/jogszabaly?docid=a2400418.kor#pr1063id","Jogtár megnyitása")</f>
        <v>Jogtár megnyitása</v>
      </c>
    </row>
    <row r="2388" customFormat="false" ht="34" hidden="false" customHeight="true" outlineLevel="0" collapsed="false">
      <c r="A2388" s="15" t="s">
        <v>8024</v>
      </c>
      <c r="B2388" s="15" t="s">
        <v>1471</v>
      </c>
      <c r="C2388" s="15" t="s">
        <v>5117</v>
      </c>
      <c r="D2388" s="15" t="s">
        <v>5109</v>
      </c>
      <c r="E2388" s="16" t="str">
        <f aca="false">HYPERLINK("#'Forrásszöveg'!A"&amp;(MATCH("VHR-S1059",Forrásszöveg!$A$6:$A$2497,0)+5),"120. § (2) eleje")</f>
        <v>120. § (2) eleje</v>
      </c>
      <c r="F2388" s="16" t="str">
        <f aca="false">HYPERLINK("https://net.jogtar.hu/jogszabaly?docid=a2400418.kor#pr1064id","Jogtár megnyitása")</f>
        <v>Jogtár megnyitása</v>
      </c>
    </row>
    <row r="2389" customFormat="false" ht="34" hidden="false" customHeight="true" outlineLevel="0" collapsed="false">
      <c r="A2389" s="15" t="s">
        <v>8025</v>
      </c>
      <c r="B2389" s="15" t="s">
        <v>1471</v>
      </c>
      <c r="C2389" s="15" t="s">
        <v>1548</v>
      </c>
      <c r="D2389" s="15" t="s">
        <v>1548</v>
      </c>
      <c r="E2389" s="16" t="str">
        <f aca="false">HYPERLINK("#'Forrásszöveg'!A"&amp;(MATCH("VHR-S1055",Forrásszöveg!$A$6:$A$2497,0)+5),"120. § eleje")</f>
        <v>120. § eleje</v>
      </c>
      <c r="F2389" s="16" t="str">
        <f aca="false">HYPERLINK("https://net.jogtar.hu/jogszabaly?docid=a2400418.kor#pr1065id","Jogtár megnyitása")</f>
        <v>Jogtár megnyitása</v>
      </c>
    </row>
    <row r="2390" customFormat="false" ht="34" hidden="false" customHeight="true" outlineLevel="0" collapsed="false">
      <c r="A2390" s="15" t="s">
        <v>8026</v>
      </c>
      <c r="B2390" s="15" t="s">
        <v>1471</v>
      </c>
      <c r="C2390" s="15" t="s">
        <v>1547</v>
      </c>
      <c r="D2390" s="15" t="s">
        <v>1547</v>
      </c>
      <c r="E2390" s="16" t="str">
        <f aca="false">HYPERLINK("#'Forrásszöveg'!A"&amp;(MATCH("VHR-S1066",Forrásszöveg!$A$6:$A$2497,0)+5),"121–143. § eleje")</f>
        <v>121–143. § eleje</v>
      </c>
      <c r="F2390" s="16" t="str">
        <f aca="false">HYPERLINK("https://net.jogtar.hu/jogszabaly?docid=a2400418.kor#pr1066id","Jogtár megnyitása")</f>
        <v>Jogtár megnyitása</v>
      </c>
    </row>
    <row r="2391" customFormat="false" ht="34" hidden="false" customHeight="true" outlineLevel="0" collapsed="false">
      <c r="A2391" s="15" t="s">
        <v>8027</v>
      </c>
      <c r="B2391" s="15" t="s">
        <v>1471</v>
      </c>
      <c r="C2391" s="15" t="s">
        <v>1549</v>
      </c>
      <c r="D2391" s="15" t="s">
        <v>1549</v>
      </c>
      <c r="E2391" s="16" t="str">
        <f aca="false">HYPERLINK("#'Forrásszöveg'!A"&amp;(MATCH("VHR-S1067",Forrásszöveg!$A$6:$A$2497,0)+5),"144. § eleje")</f>
        <v>144. § eleje</v>
      </c>
      <c r="F2391" s="16" t="str">
        <f aca="false">HYPERLINK("https://net.jogtar.hu/jogszabaly?docid=a2400418.kor#pr1067id","Jogtár megnyitása")</f>
        <v>Jogtár megnyitása</v>
      </c>
    </row>
    <row r="2392" customFormat="false" ht="34" hidden="false" customHeight="true" outlineLevel="0" collapsed="false">
      <c r="A2392" s="15" t="s">
        <v>8028</v>
      </c>
      <c r="B2392" s="15" t="s">
        <v>1471</v>
      </c>
      <c r="C2392" s="15" t="s">
        <v>1550</v>
      </c>
      <c r="D2392" s="15" t="s">
        <v>1550</v>
      </c>
      <c r="E2392" s="16" t="str">
        <f aca="false">HYPERLINK("#'Forrásszöveg'!A"&amp;(MATCH("VHR-S1068",Forrásszöveg!$A$6:$A$2497,0)+5),"145–153. § eleje")</f>
        <v>145–153. § eleje</v>
      </c>
      <c r="F2392" s="16" t="str">
        <f aca="false">HYPERLINK("https://net.jogtar.hu/jogszabaly?docid=a2400418.kor#pr1068id","Jogtár megnyitása")</f>
        <v>Jogtár megnyitása</v>
      </c>
    </row>
    <row r="2393" customFormat="false" ht="38" hidden="false" customHeight="true" outlineLevel="0" collapsed="false">
      <c r="A2393" s="15" t="s">
        <v>8029</v>
      </c>
      <c r="B2393" s="15" t="s">
        <v>1471</v>
      </c>
      <c r="C2393" s="15" t="s">
        <v>1551</v>
      </c>
      <c r="D2393" s="15" t="s">
        <v>1551</v>
      </c>
      <c r="E2393" s="16" t="str">
        <f aca="false">HYPERLINK("#'Forrásszöveg'!A"&amp;(MATCH("VHR-S1069",Forrásszöveg!$A$6:$A$2497,0)+5),"Ez a forráshely")</f>
        <v>Ez a forráshely</v>
      </c>
      <c r="F2393" s="16" t="str">
        <f aca="false">HYPERLINK("https://net.jogtar.hu/jogszabaly?docid=a2400418.kor#pr1069id","Jogtár megnyitása")</f>
        <v>Jogtár megnyitása</v>
      </c>
    </row>
    <row r="2394" customFormat="false" ht="38" hidden="false" customHeight="true" outlineLevel="0" collapsed="false">
      <c r="A2394" s="15" t="s">
        <v>8030</v>
      </c>
      <c r="B2394" s="15" t="s">
        <v>1471</v>
      </c>
      <c r="C2394" s="15" t="s">
        <v>8031</v>
      </c>
      <c r="D2394" s="15" t="s">
        <v>8031</v>
      </c>
      <c r="E2394" s="16" t="str">
        <f aca="false">HYPERLINK("#'Forrásszöveg'!A"&amp;(MATCH("VHR-S1070",Forrásszöveg!$A$6:$A$2497,0)+5),"Ez a forráshely")</f>
        <v>Ez a forráshely</v>
      </c>
      <c r="F2394" s="16" t="str">
        <f aca="false">HYPERLINK("https://net.jogtar.hu/jogszabaly?docid=a2400418.kor#pr1070id","Jogtár megnyitása")</f>
        <v>Jogtár megnyitása</v>
      </c>
    </row>
    <row r="2395" customFormat="false" ht="38" hidden="false" customHeight="true" outlineLevel="0" collapsed="false">
      <c r="A2395" s="15" t="s">
        <v>8032</v>
      </c>
      <c r="B2395" s="15" t="s">
        <v>1471</v>
      </c>
      <c r="C2395" s="15" t="s">
        <v>1551</v>
      </c>
      <c r="D2395" s="15" t="s">
        <v>8033</v>
      </c>
      <c r="E2395" s="16" t="str">
        <f aca="false">HYPERLINK("#'Forrásszöveg'!A"&amp;(MATCH("VHR-S1071",Forrásszöveg!$A$6:$A$2497,0)+5),"Ez a forráshely")</f>
        <v>Ez a forráshely</v>
      </c>
      <c r="F2395" s="16" t="str">
        <f aca="false">HYPERLINK("https://net.jogtar.hu/jogszabaly?docid=a2400418.kor#pr1071id","Jogtár megnyitása")</f>
        <v>Jogtár megnyitása</v>
      </c>
    </row>
    <row r="2396" customFormat="false" ht="94" hidden="false" customHeight="true" outlineLevel="0" collapsed="false">
      <c r="A2396" s="15" t="s">
        <v>8034</v>
      </c>
      <c r="B2396" s="15" t="s">
        <v>1471</v>
      </c>
      <c r="C2396" s="15" t="s">
        <v>1551</v>
      </c>
      <c r="D2396" s="15" t="s">
        <v>8035</v>
      </c>
      <c r="E2396" s="16" t="str">
        <f aca="false">HYPERLINK("#'Forrásszöveg'!A"&amp;(MATCH("VHR-S1072",Forrásszöveg!$A$6:$A$2497,0)+5),"Ez a forráshely")</f>
        <v>Ez a forráshely</v>
      </c>
      <c r="F2396" s="16" t="str">
        <f aca="false">HYPERLINK("https://net.jogtar.hu/jogszabaly?docid=a2400418.kor#pr1072id","Jogtár megnyitása")</f>
        <v>Jogtár megnyitása</v>
      </c>
    </row>
    <row r="2397" customFormat="false" ht="38" hidden="false" customHeight="true" outlineLevel="0" collapsed="false">
      <c r="A2397" s="15" t="s">
        <v>8036</v>
      </c>
      <c r="B2397" s="15" t="s">
        <v>1471</v>
      </c>
      <c r="C2397" s="15" t="s">
        <v>1551</v>
      </c>
      <c r="D2397" s="15" t="s">
        <v>8037</v>
      </c>
      <c r="E2397" s="16" t="str">
        <f aca="false">HYPERLINK("#'Forrásszöveg'!A"&amp;(MATCH("VHR-S1073",Forrásszöveg!$A$6:$A$2497,0)+5),"Ez a forráshely")</f>
        <v>Ez a forráshely</v>
      </c>
      <c r="F2397" s="16" t="str">
        <f aca="false">HYPERLINK("https://net.jogtar.hu/jogszabaly?docid=a2400418.kor#pr1073id","Jogtár megnyitása")</f>
        <v>Jogtár megnyitása</v>
      </c>
    </row>
    <row r="2398" customFormat="false" ht="38" hidden="false" customHeight="true" outlineLevel="0" collapsed="false">
      <c r="A2398" s="15" t="s">
        <v>8038</v>
      </c>
      <c r="B2398" s="15" t="s">
        <v>1471</v>
      </c>
      <c r="C2398" s="15" t="s">
        <v>1551</v>
      </c>
      <c r="D2398" s="15" t="s">
        <v>8039</v>
      </c>
      <c r="E2398" s="16" t="str">
        <f aca="false">HYPERLINK("#'Forrásszöveg'!A"&amp;(MATCH("VHR-S1074",Forrásszöveg!$A$6:$A$2497,0)+5),"Ez a forráshely")</f>
        <v>Ez a forráshely</v>
      </c>
      <c r="F2398" s="16" t="str">
        <f aca="false">HYPERLINK("https://net.jogtar.hu/jogszabaly?docid=a2400418.kor#pr1074id","Jogtár megnyitása")</f>
        <v>Jogtár megnyitása</v>
      </c>
    </row>
    <row r="2399" customFormat="false" ht="38" hidden="false" customHeight="true" outlineLevel="0" collapsed="false">
      <c r="A2399" s="15" t="s">
        <v>8040</v>
      </c>
      <c r="B2399" s="15" t="s">
        <v>1471</v>
      </c>
      <c r="C2399" s="15" t="s">
        <v>1551</v>
      </c>
      <c r="D2399" s="15" t="s">
        <v>8041</v>
      </c>
      <c r="E2399" s="16" t="str">
        <f aca="false">HYPERLINK("#'Forrásszöveg'!A"&amp;(MATCH("VHR-S1075",Forrásszöveg!$A$6:$A$2497,0)+5),"Ez a forráshely")</f>
        <v>Ez a forráshely</v>
      </c>
      <c r="F2399" s="16" t="str">
        <f aca="false">HYPERLINK("https://net.jogtar.hu/jogszabaly?docid=a2400418.kor#pr1075id","Jogtár megnyitása")</f>
        <v>Jogtár megnyitása</v>
      </c>
    </row>
    <row r="2400" customFormat="false" ht="38" hidden="false" customHeight="true" outlineLevel="0" collapsed="false">
      <c r="A2400" s="15" t="s">
        <v>8042</v>
      </c>
      <c r="B2400" s="15" t="s">
        <v>1471</v>
      </c>
      <c r="C2400" s="15" t="s">
        <v>1551</v>
      </c>
      <c r="D2400" s="15" t="s">
        <v>8043</v>
      </c>
      <c r="E2400" s="16" t="str">
        <f aca="false">HYPERLINK("#'Forrásszöveg'!A"&amp;(MATCH("VHR-S1076",Forrásszöveg!$A$6:$A$2497,0)+5),"Ez a forráshely")</f>
        <v>Ez a forráshely</v>
      </c>
      <c r="F2400" s="16" t="str">
        <f aca="false">HYPERLINK("https://net.jogtar.hu/jogszabaly?docid=a2400418.kor#pr1076id","Jogtár megnyitása")</f>
        <v>Jogtár megnyitása</v>
      </c>
    </row>
    <row r="2401" customFormat="false" ht="38" hidden="false" customHeight="true" outlineLevel="0" collapsed="false">
      <c r="A2401" s="15" t="s">
        <v>8044</v>
      </c>
      <c r="B2401" s="15" t="s">
        <v>1471</v>
      </c>
      <c r="C2401" s="15" t="s">
        <v>1551</v>
      </c>
      <c r="D2401" s="15" t="s">
        <v>8045</v>
      </c>
      <c r="E2401" s="16" t="str">
        <f aca="false">HYPERLINK("#'Forrásszöveg'!A"&amp;(MATCH("VHR-S1077",Forrásszöveg!$A$6:$A$2497,0)+5),"Ez a forráshely")</f>
        <v>Ez a forráshely</v>
      </c>
      <c r="F2401" s="16" t="str">
        <f aca="false">HYPERLINK("https://net.jogtar.hu/jogszabaly?docid=a2400418.kor#pr1077id","Jogtár megnyitása")</f>
        <v>Jogtár megnyitása</v>
      </c>
    </row>
    <row r="2402" customFormat="false" ht="38" hidden="false" customHeight="true" outlineLevel="0" collapsed="false">
      <c r="A2402" s="15" t="s">
        <v>8046</v>
      </c>
      <c r="B2402" s="15" t="s">
        <v>1471</v>
      </c>
      <c r="C2402" s="15" t="s">
        <v>1551</v>
      </c>
      <c r="D2402" s="15" t="s">
        <v>8047</v>
      </c>
      <c r="E2402" s="16" t="str">
        <f aca="false">HYPERLINK("#'Forrásszöveg'!A"&amp;(MATCH("VHR-S1078",Forrásszöveg!$A$6:$A$2497,0)+5),"Ez a forráshely")</f>
        <v>Ez a forráshely</v>
      </c>
      <c r="F2402" s="16" t="str">
        <f aca="false">HYPERLINK("https://net.jogtar.hu/jogszabaly?docid=a2400418.kor#pr1078id","Jogtár megnyitása")</f>
        <v>Jogtár megnyitása</v>
      </c>
    </row>
    <row r="2403" customFormat="false" ht="38" hidden="false" customHeight="true" outlineLevel="0" collapsed="false">
      <c r="A2403" s="15" t="s">
        <v>8048</v>
      </c>
      <c r="B2403" s="15" t="s">
        <v>1471</v>
      </c>
      <c r="C2403" s="15" t="s">
        <v>1551</v>
      </c>
      <c r="D2403" s="15" t="s">
        <v>8049</v>
      </c>
      <c r="E2403" s="16" t="str">
        <f aca="false">HYPERLINK("#'Forrásszöveg'!A"&amp;(MATCH("VHR-S1079",Forrásszöveg!$A$6:$A$2497,0)+5),"Ez a forráshely")</f>
        <v>Ez a forráshely</v>
      </c>
      <c r="F2403" s="16" t="str">
        <f aca="false">HYPERLINK("https://net.jogtar.hu/jogszabaly?docid=a2400418.kor#pr1079id","Jogtár megnyitása")</f>
        <v>Jogtár megnyitása</v>
      </c>
    </row>
    <row r="2404" customFormat="false" ht="38" hidden="false" customHeight="true" outlineLevel="0" collapsed="false">
      <c r="A2404" s="15" t="s">
        <v>8050</v>
      </c>
      <c r="B2404" s="15" t="s">
        <v>1471</v>
      </c>
      <c r="C2404" s="15" t="s">
        <v>1551</v>
      </c>
      <c r="D2404" s="15" t="s">
        <v>8051</v>
      </c>
      <c r="E2404" s="16" t="str">
        <f aca="false">HYPERLINK("#'Forrásszöveg'!A"&amp;(MATCH("VHR-S1080",Forrásszöveg!$A$6:$A$2497,0)+5),"Ez a forráshely")</f>
        <v>Ez a forráshely</v>
      </c>
      <c r="F2404" s="16" t="str">
        <f aca="false">HYPERLINK("https://net.jogtar.hu/jogszabaly?docid=a2400418.kor#pr1080id","Jogtár megnyitása")</f>
        <v>Jogtár megnyitása</v>
      </c>
    </row>
    <row r="2405" customFormat="false" ht="38" hidden="false" customHeight="true" outlineLevel="0" collapsed="false">
      <c r="A2405" s="15" t="s">
        <v>8052</v>
      </c>
      <c r="B2405" s="15" t="s">
        <v>1471</v>
      </c>
      <c r="C2405" s="15" t="s">
        <v>1551</v>
      </c>
      <c r="D2405" s="15" t="s">
        <v>8053</v>
      </c>
      <c r="E2405" s="16" t="str">
        <f aca="false">HYPERLINK("#'Forrásszöveg'!A"&amp;(MATCH("VHR-S1081",Forrásszöveg!$A$6:$A$2497,0)+5),"Ez a forráshely")</f>
        <v>Ez a forráshely</v>
      </c>
      <c r="F2405" s="16" t="str">
        <f aca="false">HYPERLINK("https://net.jogtar.hu/jogszabaly?docid=a2400418.kor#pr1081id","Jogtár megnyitása")</f>
        <v>Jogtár megnyitása</v>
      </c>
    </row>
    <row r="2406" customFormat="false" ht="38" hidden="false" customHeight="true" outlineLevel="0" collapsed="false">
      <c r="A2406" s="15" t="s">
        <v>8054</v>
      </c>
      <c r="B2406" s="15" t="s">
        <v>1471</v>
      </c>
      <c r="C2406" s="15" t="s">
        <v>1551</v>
      </c>
      <c r="D2406" s="15" t="s">
        <v>8055</v>
      </c>
      <c r="E2406" s="16" t="str">
        <f aca="false">HYPERLINK("#'Forrásszöveg'!A"&amp;(MATCH("VHR-S1082",Forrásszöveg!$A$6:$A$2497,0)+5),"Ez a forráshely")</f>
        <v>Ez a forráshely</v>
      </c>
      <c r="F2406" s="16" t="str">
        <f aca="false">HYPERLINK("https://net.jogtar.hu/jogszabaly?docid=a2400418.kor#pr1082id","Jogtár megnyitása")</f>
        <v>Jogtár megnyitása</v>
      </c>
    </row>
    <row r="2407" customFormat="false" ht="38" hidden="false" customHeight="true" outlineLevel="0" collapsed="false">
      <c r="A2407" s="15" t="s">
        <v>8056</v>
      </c>
      <c r="B2407" s="15" t="s">
        <v>1471</v>
      </c>
      <c r="C2407" s="15" t="s">
        <v>1551</v>
      </c>
      <c r="D2407" s="15" t="s">
        <v>8057</v>
      </c>
      <c r="E2407" s="16" t="str">
        <f aca="false">HYPERLINK("#'Forrásszöveg'!A"&amp;(MATCH("VHR-S1083",Forrásszöveg!$A$6:$A$2497,0)+5),"Ez a forráshely")</f>
        <v>Ez a forráshely</v>
      </c>
      <c r="F2407" s="16" t="str">
        <f aca="false">HYPERLINK("https://net.jogtar.hu/jogszabaly?docid=a2400418.kor#pr1083id","Jogtár megnyitása")</f>
        <v>Jogtár megnyitása</v>
      </c>
    </row>
    <row r="2408" customFormat="false" ht="52" hidden="false" customHeight="true" outlineLevel="0" collapsed="false">
      <c r="A2408" s="15" t="s">
        <v>8058</v>
      </c>
      <c r="B2408" s="15" t="s">
        <v>1471</v>
      </c>
      <c r="C2408" s="15" t="s">
        <v>1551</v>
      </c>
      <c r="D2408" s="15" t="s">
        <v>8059</v>
      </c>
      <c r="E2408" s="16" t="str">
        <f aca="false">HYPERLINK("#'Forrásszöveg'!A"&amp;(MATCH("VHR-S1084",Forrásszöveg!$A$6:$A$2497,0)+5),"Ez a forráshely")</f>
        <v>Ez a forráshely</v>
      </c>
      <c r="F2408" s="16" t="str">
        <f aca="false">HYPERLINK("https://net.jogtar.hu/jogszabaly?docid=a2400418.kor#pr1084id","Jogtár megnyitása")</f>
        <v>Jogtár megnyitása</v>
      </c>
    </row>
    <row r="2409" customFormat="false" ht="38" hidden="false" customHeight="true" outlineLevel="0" collapsed="false">
      <c r="A2409" s="15" t="s">
        <v>8060</v>
      </c>
      <c r="B2409" s="15" t="s">
        <v>1471</v>
      </c>
      <c r="C2409" s="15" t="s">
        <v>1551</v>
      </c>
      <c r="D2409" s="15" t="s">
        <v>8061</v>
      </c>
      <c r="E2409" s="16" t="str">
        <f aca="false">HYPERLINK("#'Forrásszöveg'!A"&amp;(MATCH("VHR-S1085",Forrásszöveg!$A$6:$A$2497,0)+5),"Ez a forráshely")</f>
        <v>Ez a forráshely</v>
      </c>
      <c r="F2409" s="16" t="str">
        <f aca="false">HYPERLINK("https://net.jogtar.hu/jogszabaly?docid=a2400418.kor#pr1085id","Jogtár megnyitása")</f>
        <v>Jogtár megnyitása</v>
      </c>
    </row>
    <row r="2410" customFormat="false" ht="52" hidden="false" customHeight="true" outlineLevel="0" collapsed="false">
      <c r="A2410" s="15" t="s">
        <v>8062</v>
      </c>
      <c r="B2410" s="15" t="s">
        <v>1471</v>
      </c>
      <c r="C2410" s="15" t="s">
        <v>1551</v>
      </c>
      <c r="D2410" s="15" t="s">
        <v>8063</v>
      </c>
      <c r="E2410" s="16" t="str">
        <f aca="false">HYPERLINK("#'Forrásszöveg'!A"&amp;(MATCH("VHR-S1086",Forrásszöveg!$A$6:$A$2497,0)+5),"Ez a forráshely")</f>
        <v>Ez a forráshely</v>
      </c>
      <c r="F2410" s="16" t="str">
        <f aca="false">HYPERLINK("https://net.jogtar.hu/jogszabaly?docid=a2400418.kor#pr1086id","Jogtár megnyitása")</f>
        <v>Jogtár megnyitása</v>
      </c>
    </row>
    <row r="2411" customFormat="false" ht="38" hidden="false" customHeight="true" outlineLevel="0" collapsed="false">
      <c r="A2411" s="15" t="s">
        <v>8064</v>
      </c>
      <c r="B2411" s="15" t="s">
        <v>1471</v>
      </c>
      <c r="C2411" s="15" t="s">
        <v>1551</v>
      </c>
      <c r="D2411" s="15" t="s">
        <v>8065</v>
      </c>
      <c r="E2411" s="16" t="str">
        <f aca="false">HYPERLINK("#'Forrásszöveg'!A"&amp;(MATCH("VHR-S1087",Forrásszöveg!$A$6:$A$2497,0)+5),"Ez a forráshely")</f>
        <v>Ez a forráshely</v>
      </c>
      <c r="F2411" s="16" t="str">
        <f aca="false">HYPERLINK("https://net.jogtar.hu/jogszabaly?docid=a2400418.kor#pr1087id","Jogtár megnyitása")</f>
        <v>Jogtár megnyitása</v>
      </c>
    </row>
    <row r="2412" customFormat="false" ht="38" hidden="false" customHeight="true" outlineLevel="0" collapsed="false">
      <c r="A2412" s="15" t="s">
        <v>8066</v>
      </c>
      <c r="B2412" s="15" t="s">
        <v>1471</v>
      </c>
      <c r="C2412" s="15" t="s">
        <v>1551</v>
      </c>
      <c r="D2412" s="15" t="s">
        <v>8067</v>
      </c>
      <c r="E2412" s="16" t="str">
        <f aca="false">HYPERLINK("#'Forrásszöveg'!A"&amp;(MATCH("VHR-S1088",Forrásszöveg!$A$6:$A$2497,0)+5),"Ez a forráshely")</f>
        <v>Ez a forráshely</v>
      </c>
      <c r="F2412" s="16" t="str">
        <f aca="false">HYPERLINK("https://net.jogtar.hu/jogszabaly?docid=a2400418.kor#pr1088id","Jogtár megnyitása")</f>
        <v>Jogtár megnyitása</v>
      </c>
    </row>
    <row r="2413" customFormat="false" ht="38" hidden="false" customHeight="true" outlineLevel="0" collapsed="false">
      <c r="A2413" s="15" t="s">
        <v>8068</v>
      </c>
      <c r="B2413" s="15" t="s">
        <v>1471</v>
      </c>
      <c r="C2413" s="15" t="s">
        <v>1551</v>
      </c>
      <c r="D2413" s="15" t="s">
        <v>8069</v>
      </c>
      <c r="E2413" s="16" t="str">
        <f aca="false">HYPERLINK("#'Forrásszöveg'!A"&amp;(MATCH("VHR-S1089",Forrásszöveg!$A$6:$A$2497,0)+5),"Ez a forráshely")</f>
        <v>Ez a forráshely</v>
      </c>
      <c r="F2413" s="16" t="str">
        <f aca="false">HYPERLINK("https://net.jogtar.hu/jogszabaly?docid=a2400418.kor#pr1089id","Jogtár megnyitása")</f>
        <v>Jogtár megnyitása</v>
      </c>
    </row>
    <row r="2414" customFormat="false" ht="38" hidden="false" customHeight="true" outlineLevel="0" collapsed="false">
      <c r="A2414" s="15" t="s">
        <v>8070</v>
      </c>
      <c r="B2414" s="15" t="s">
        <v>1471</v>
      </c>
      <c r="C2414" s="15" t="s">
        <v>1551</v>
      </c>
      <c r="D2414" s="15" t="s">
        <v>8071</v>
      </c>
      <c r="E2414" s="16" t="str">
        <f aca="false">HYPERLINK("#'Forrásszöveg'!A"&amp;(MATCH("VHR-S1090",Forrásszöveg!$A$6:$A$2497,0)+5),"Ez a forráshely")</f>
        <v>Ez a forráshely</v>
      </c>
      <c r="F2414" s="16" t="str">
        <f aca="false">HYPERLINK("https://net.jogtar.hu/jogszabaly?docid=a2400418.kor#pr1090id","Jogtár megnyitása")</f>
        <v>Jogtár megnyitása</v>
      </c>
    </row>
    <row r="2415" customFormat="false" ht="38" hidden="false" customHeight="true" outlineLevel="0" collapsed="false">
      <c r="A2415" s="15" t="s">
        <v>8072</v>
      </c>
      <c r="B2415" s="15" t="s">
        <v>1471</v>
      </c>
      <c r="C2415" s="15" t="s">
        <v>1551</v>
      </c>
      <c r="D2415" s="15" t="s">
        <v>8073</v>
      </c>
      <c r="E2415" s="16" t="str">
        <f aca="false">HYPERLINK("#'Forrásszöveg'!A"&amp;(MATCH("VHR-S1091",Forrásszöveg!$A$6:$A$2497,0)+5),"Ez a forráshely")</f>
        <v>Ez a forráshely</v>
      </c>
      <c r="F2415" s="16" t="str">
        <f aca="false">HYPERLINK("https://net.jogtar.hu/jogszabaly?docid=a2400418.kor#pr1091id","Jogtár megnyitása")</f>
        <v>Jogtár megnyitása</v>
      </c>
    </row>
    <row r="2416" customFormat="false" ht="52" hidden="false" customHeight="true" outlineLevel="0" collapsed="false">
      <c r="A2416" s="15" t="s">
        <v>8074</v>
      </c>
      <c r="B2416" s="15" t="s">
        <v>1471</v>
      </c>
      <c r="C2416" s="15" t="s">
        <v>1551</v>
      </c>
      <c r="D2416" s="15" t="s">
        <v>8075</v>
      </c>
      <c r="E2416" s="16" t="str">
        <f aca="false">HYPERLINK("#'Forrásszöveg'!A"&amp;(MATCH("VHR-S1092",Forrásszöveg!$A$6:$A$2497,0)+5),"Ez a forráshely")</f>
        <v>Ez a forráshely</v>
      </c>
      <c r="F2416" s="16" t="str">
        <f aca="false">HYPERLINK("https://net.jogtar.hu/jogszabaly?docid=a2400418.kor#pr1092id","Jogtár megnyitása")</f>
        <v>Jogtár megnyitása</v>
      </c>
    </row>
    <row r="2417" customFormat="false" ht="52" hidden="false" customHeight="true" outlineLevel="0" collapsed="false">
      <c r="A2417" s="15" t="s">
        <v>8076</v>
      </c>
      <c r="B2417" s="15" t="s">
        <v>1471</v>
      </c>
      <c r="C2417" s="15" t="s">
        <v>1551</v>
      </c>
      <c r="D2417" s="15" t="s">
        <v>8077</v>
      </c>
      <c r="E2417" s="16" t="str">
        <f aca="false">HYPERLINK("#'Forrásszöveg'!A"&amp;(MATCH("VHR-S1093",Forrásszöveg!$A$6:$A$2497,0)+5),"Ez a forráshely")</f>
        <v>Ez a forráshely</v>
      </c>
      <c r="F2417" s="16" t="str">
        <f aca="false">HYPERLINK("https://net.jogtar.hu/jogszabaly?docid=a2400418.kor#pr1093id","Jogtár megnyitása")</f>
        <v>Jogtár megnyitása</v>
      </c>
    </row>
    <row r="2418" customFormat="false" ht="38" hidden="false" customHeight="true" outlineLevel="0" collapsed="false">
      <c r="A2418" s="15" t="s">
        <v>8078</v>
      </c>
      <c r="B2418" s="15" t="s">
        <v>1471</v>
      </c>
      <c r="C2418" s="15" t="s">
        <v>1551</v>
      </c>
      <c r="D2418" s="15" t="s">
        <v>8079</v>
      </c>
      <c r="E2418" s="16" t="str">
        <f aca="false">HYPERLINK("#'Forrásszöveg'!A"&amp;(MATCH("VHR-S1094",Forrásszöveg!$A$6:$A$2497,0)+5),"Ez a forráshely")</f>
        <v>Ez a forráshely</v>
      </c>
      <c r="F2418" s="16" t="str">
        <f aca="false">HYPERLINK("https://net.jogtar.hu/jogszabaly?docid=a2400418.kor#pr1094id","Jogtár megnyitása")</f>
        <v>Jogtár megnyitása</v>
      </c>
    </row>
    <row r="2419" customFormat="false" ht="38" hidden="false" customHeight="true" outlineLevel="0" collapsed="false">
      <c r="A2419" s="15" t="s">
        <v>8080</v>
      </c>
      <c r="B2419" s="15" t="s">
        <v>1471</v>
      </c>
      <c r="C2419" s="15" t="s">
        <v>1551</v>
      </c>
      <c r="D2419" s="15" t="s">
        <v>8081</v>
      </c>
      <c r="E2419" s="16" t="str">
        <f aca="false">HYPERLINK("#'Forrásszöveg'!A"&amp;(MATCH("VHR-S1095",Forrásszöveg!$A$6:$A$2497,0)+5),"Ez a forráshely")</f>
        <v>Ez a forráshely</v>
      </c>
      <c r="F2419" s="16" t="str">
        <f aca="false">HYPERLINK("https://net.jogtar.hu/jogszabaly?docid=a2400418.kor#pr1095id","Jogtár megnyitása")</f>
        <v>Jogtár megnyitása</v>
      </c>
    </row>
    <row r="2420" customFormat="false" ht="38" hidden="false" customHeight="true" outlineLevel="0" collapsed="false">
      <c r="A2420" s="15" t="s">
        <v>8082</v>
      </c>
      <c r="B2420" s="15" t="s">
        <v>1471</v>
      </c>
      <c r="C2420" s="15" t="s">
        <v>1551</v>
      </c>
      <c r="D2420" s="15" t="s">
        <v>8083</v>
      </c>
      <c r="E2420" s="16" t="str">
        <f aca="false">HYPERLINK("#'Forrásszöveg'!A"&amp;(MATCH("VHR-S1096",Forrásszöveg!$A$6:$A$2497,0)+5),"Ez a forráshely")</f>
        <v>Ez a forráshely</v>
      </c>
      <c r="F2420" s="16" t="str">
        <f aca="false">HYPERLINK("https://net.jogtar.hu/jogszabaly?docid=a2400418.kor#pr1096id","Jogtár megnyitása")</f>
        <v>Jogtár megnyitása</v>
      </c>
    </row>
    <row r="2421" customFormat="false" ht="38" hidden="false" customHeight="true" outlineLevel="0" collapsed="false">
      <c r="A2421" s="15" t="s">
        <v>8084</v>
      </c>
      <c r="B2421" s="15" t="s">
        <v>1471</v>
      </c>
      <c r="C2421" s="15" t="s">
        <v>1551</v>
      </c>
      <c r="D2421" s="15" t="s">
        <v>8085</v>
      </c>
      <c r="E2421" s="16" t="str">
        <f aca="false">HYPERLINK("#'Forrásszöveg'!A"&amp;(MATCH("VHR-S1097",Forrásszöveg!$A$6:$A$2497,0)+5),"Ez a forráshely")</f>
        <v>Ez a forráshely</v>
      </c>
      <c r="F2421" s="16" t="str">
        <f aca="false">HYPERLINK("https://net.jogtar.hu/jogszabaly?docid=a2400418.kor#pr1097id","Jogtár megnyitása")</f>
        <v>Jogtár megnyitása</v>
      </c>
    </row>
    <row r="2422" customFormat="false" ht="38" hidden="false" customHeight="true" outlineLevel="0" collapsed="false">
      <c r="A2422" s="15" t="s">
        <v>8086</v>
      </c>
      <c r="B2422" s="15" t="s">
        <v>1471</v>
      </c>
      <c r="C2422" s="15" t="s">
        <v>1551</v>
      </c>
      <c r="D2422" s="15" t="s">
        <v>8087</v>
      </c>
      <c r="E2422" s="16" t="str">
        <f aca="false">HYPERLINK("#'Forrásszöveg'!A"&amp;(MATCH("VHR-S1098",Forrásszöveg!$A$6:$A$2497,0)+5),"Ez a forráshely")</f>
        <v>Ez a forráshely</v>
      </c>
      <c r="F2422" s="16" t="str">
        <f aca="false">HYPERLINK("https://net.jogtar.hu/jogszabaly?docid=a2400418.kor#pr1098id","Jogtár megnyitása")</f>
        <v>Jogtár megnyitása</v>
      </c>
    </row>
    <row r="2423" customFormat="false" ht="38" hidden="false" customHeight="true" outlineLevel="0" collapsed="false">
      <c r="A2423" s="15" t="s">
        <v>8088</v>
      </c>
      <c r="B2423" s="15" t="s">
        <v>1471</v>
      </c>
      <c r="C2423" s="15" t="s">
        <v>1551</v>
      </c>
      <c r="D2423" s="15" t="s">
        <v>8089</v>
      </c>
      <c r="E2423" s="16" t="str">
        <f aca="false">HYPERLINK("#'Forrásszöveg'!A"&amp;(MATCH("VHR-S1099",Forrásszöveg!$A$6:$A$2497,0)+5),"Ez a forráshely")</f>
        <v>Ez a forráshely</v>
      </c>
      <c r="F2423" s="16" t="str">
        <f aca="false">HYPERLINK("https://net.jogtar.hu/jogszabaly?docid=a2400418.kor#pr1099id","Jogtár megnyitása")</f>
        <v>Jogtár megnyitása</v>
      </c>
    </row>
    <row r="2424" customFormat="false" ht="38" hidden="false" customHeight="true" outlineLevel="0" collapsed="false">
      <c r="A2424" s="15" t="s">
        <v>8090</v>
      </c>
      <c r="B2424" s="15" t="s">
        <v>1471</v>
      </c>
      <c r="C2424" s="15" t="s">
        <v>1551</v>
      </c>
      <c r="D2424" s="15" t="s">
        <v>8091</v>
      </c>
      <c r="E2424" s="16" t="str">
        <f aca="false">HYPERLINK("#'Forrásszöveg'!A"&amp;(MATCH("VHR-S1100",Forrásszöveg!$A$6:$A$2497,0)+5),"Ez a forráshely")</f>
        <v>Ez a forráshely</v>
      </c>
      <c r="F2424" s="16" t="str">
        <f aca="false">HYPERLINK("https://net.jogtar.hu/jogszabaly?docid=a2400418.kor#pr1100id","Jogtár megnyitása")</f>
        <v>Jogtár megnyitása</v>
      </c>
    </row>
    <row r="2425" customFormat="false" ht="38" hidden="false" customHeight="true" outlineLevel="0" collapsed="false">
      <c r="A2425" s="15" t="s">
        <v>8092</v>
      </c>
      <c r="B2425" s="15" t="s">
        <v>1471</v>
      </c>
      <c r="C2425" s="15" t="s">
        <v>1551</v>
      </c>
      <c r="D2425" s="15" t="s">
        <v>8093</v>
      </c>
      <c r="E2425" s="16" t="str">
        <f aca="false">HYPERLINK("#'Forrásszöveg'!A"&amp;(MATCH("VHR-S1101",Forrásszöveg!$A$6:$A$2497,0)+5),"Ez a forráshely")</f>
        <v>Ez a forráshely</v>
      </c>
      <c r="F2425" s="16" t="str">
        <f aca="false">HYPERLINK("https://net.jogtar.hu/jogszabaly?docid=a2400418.kor#pr1101id","Jogtár megnyitása")</f>
        <v>Jogtár megnyitása</v>
      </c>
    </row>
    <row r="2426" customFormat="false" ht="52" hidden="false" customHeight="true" outlineLevel="0" collapsed="false">
      <c r="A2426" s="15" t="s">
        <v>8094</v>
      </c>
      <c r="B2426" s="15" t="s">
        <v>1471</v>
      </c>
      <c r="C2426" s="15" t="s">
        <v>1551</v>
      </c>
      <c r="D2426" s="15" t="s">
        <v>8095</v>
      </c>
      <c r="E2426" s="16" t="str">
        <f aca="false">HYPERLINK("#'Forrásszöveg'!A"&amp;(MATCH("VHR-S1102",Forrásszöveg!$A$6:$A$2497,0)+5),"Ez a forráshely")</f>
        <v>Ez a forráshely</v>
      </c>
      <c r="F2426" s="16" t="str">
        <f aca="false">HYPERLINK("https://net.jogtar.hu/jogszabaly?docid=a2400418.kor#pr1102id","Jogtár megnyitása")</f>
        <v>Jogtár megnyitása</v>
      </c>
    </row>
    <row r="2427" customFormat="false" ht="38" hidden="false" customHeight="true" outlineLevel="0" collapsed="false">
      <c r="A2427" s="15" t="s">
        <v>8096</v>
      </c>
      <c r="B2427" s="15" t="s">
        <v>1471</v>
      </c>
      <c r="C2427" s="15" t="s">
        <v>1551</v>
      </c>
      <c r="D2427" s="15" t="s">
        <v>8097</v>
      </c>
      <c r="E2427" s="16" t="str">
        <f aca="false">HYPERLINK("#'Forrásszöveg'!A"&amp;(MATCH("VHR-S1103",Forrásszöveg!$A$6:$A$2497,0)+5),"Ez a forráshely")</f>
        <v>Ez a forráshely</v>
      </c>
      <c r="F2427" s="16" t="str">
        <f aca="false">HYPERLINK("https://net.jogtar.hu/jogszabaly?docid=a2400418.kor#pr1103id","Jogtár megnyitása")</f>
        <v>Jogtár megnyitása</v>
      </c>
    </row>
    <row r="2428" customFormat="false" ht="38" hidden="false" customHeight="true" outlineLevel="0" collapsed="false">
      <c r="A2428" s="15" t="s">
        <v>8098</v>
      </c>
      <c r="B2428" s="15" t="s">
        <v>1471</v>
      </c>
      <c r="C2428" s="15" t="s">
        <v>1551</v>
      </c>
      <c r="D2428" s="15" t="s">
        <v>8099</v>
      </c>
      <c r="E2428" s="16" t="str">
        <f aca="false">HYPERLINK("#'Forrásszöveg'!A"&amp;(MATCH("VHR-S1104",Forrásszöveg!$A$6:$A$2497,0)+5),"Ez a forráshely")</f>
        <v>Ez a forráshely</v>
      </c>
      <c r="F2428" s="16" t="str">
        <f aca="false">HYPERLINK("https://net.jogtar.hu/jogszabaly?docid=a2400418.kor#pr1104id","Jogtár megnyitása")</f>
        <v>Jogtár megnyitása</v>
      </c>
    </row>
    <row r="2429" customFormat="false" ht="38" hidden="false" customHeight="true" outlineLevel="0" collapsed="false">
      <c r="A2429" s="15" t="s">
        <v>8100</v>
      </c>
      <c r="B2429" s="15" t="s">
        <v>1471</v>
      </c>
      <c r="C2429" s="15" t="s">
        <v>1551</v>
      </c>
      <c r="D2429" s="15" t="s">
        <v>8101</v>
      </c>
      <c r="E2429" s="16" t="str">
        <f aca="false">HYPERLINK("#'Forrásszöveg'!A"&amp;(MATCH("VHR-S1105",Forrásszöveg!$A$6:$A$2497,0)+5),"Ez a forráshely")</f>
        <v>Ez a forráshely</v>
      </c>
      <c r="F2429" s="16" t="str">
        <f aca="false">HYPERLINK("https://net.jogtar.hu/jogszabaly?docid=a2400418.kor#pr1105id","Jogtár megnyitása")</f>
        <v>Jogtár megnyitása</v>
      </c>
    </row>
    <row r="2430" customFormat="false" ht="38" hidden="false" customHeight="true" outlineLevel="0" collapsed="false">
      <c r="A2430" s="15" t="s">
        <v>8102</v>
      </c>
      <c r="B2430" s="15" t="s">
        <v>1471</v>
      </c>
      <c r="C2430" s="15" t="s">
        <v>1551</v>
      </c>
      <c r="D2430" s="15" t="s">
        <v>8103</v>
      </c>
      <c r="E2430" s="16" t="str">
        <f aca="false">HYPERLINK("#'Forrásszöveg'!A"&amp;(MATCH("VHR-S1106",Forrásszöveg!$A$6:$A$2497,0)+5),"Ez a forráshely")</f>
        <v>Ez a forráshely</v>
      </c>
      <c r="F2430" s="16" t="str">
        <f aca="false">HYPERLINK("https://net.jogtar.hu/jogszabaly?docid=a2400418.kor#pr1106id","Jogtár megnyitása")</f>
        <v>Jogtár megnyitása</v>
      </c>
    </row>
    <row r="2431" customFormat="false" ht="38" hidden="false" customHeight="true" outlineLevel="0" collapsed="false">
      <c r="A2431" s="15" t="s">
        <v>8104</v>
      </c>
      <c r="B2431" s="15" t="s">
        <v>1471</v>
      </c>
      <c r="C2431" s="15" t="s">
        <v>1551</v>
      </c>
      <c r="D2431" s="15" t="s">
        <v>8105</v>
      </c>
      <c r="E2431" s="16" t="str">
        <f aca="false">HYPERLINK("#'Forrásszöveg'!A"&amp;(MATCH("VHR-S1107",Forrásszöveg!$A$6:$A$2497,0)+5),"Ez a forráshely")</f>
        <v>Ez a forráshely</v>
      </c>
      <c r="F2431" s="16" t="str">
        <f aca="false">HYPERLINK("https://net.jogtar.hu/jogszabaly?docid=a2400418.kor#pr1107id","Jogtár megnyitása")</f>
        <v>Jogtár megnyitása</v>
      </c>
    </row>
    <row r="2432" customFormat="false" ht="38" hidden="false" customHeight="true" outlineLevel="0" collapsed="false">
      <c r="A2432" s="15" t="s">
        <v>8106</v>
      </c>
      <c r="B2432" s="15" t="s">
        <v>1471</v>
      </c>
      <c r="C2432" s="15" t="s">
        <v>1551</v>
      </c>
      <c r="D2432" s="15" t="s">
        <v>8093</v>
      </c>
      <c r="E2432" s="16" t="str">
        <f aca="false">HYPERLINK("#'Forrásszöveg'!A"&amp;(MATCH("VHR-S1108",Forrásszöveg!$A$6:$A$2497,0)+5),"Ez a forráshely")</f>
        <v>Ez a forráshely</v>
      </c>
      <c r="F2432" s="16" t="str">
        <f aca="false">HYPERLINK("https://net.jogtar.hu/jogszabaly?docid=a2400418.kor#pr1108id","Jogtár megnyitása")</f>
        <v>Jogtár megnyitása</v>
      </c>
    </row>
    <row r="2433" customFormat="false" ht="38" hidden="false" customHeight="true" outlineLevel="0" collapsed="false">
      <c r="A2433" s="15" t="s">
        <v>8107</v>
      </c>
      <c r="B2433" s="15" t="s">
        <v>1471</v>
      </c>
      <c r="C2433" s="15" t="s">
        <v>1551</v>
      </c>
      <c r="D2433" s="15" t="s">
        <v>8108</v>
      </c>
      <c r="E2433" s="16" t="str">
        <f aca="false">HYPERLINK("#'Forrásszöveg'!A"&amp;(MATCH("VHR-S1109",Forrásszöveg!$A$6:$A$2497,0)+5),"Ez a forráshely")</f>
        <v>Ez a forráshely</v>
      </c>
      <c r="F2433" s="16" t="str">
        <f aca="false">HYPERLINK("https://net.jogtar.hu/jogszabaly?docid=a2400418.kor#pr1109id","Jogtár megnyitása")</f>
        <v>Jogtár megnyitása</v>
      </c>
    </row>
    <row r="2434" customFormat="false" ht="38" hidden="false" customHeight="true" outlineLevel="0" collapsed="false">
      <c r="A2434" s="15" t="s">
        <v>8109</v>
      </c>
      <c r="B2434" s="15" t="s">
        <v>1471</v>
      </c>
      <c r="C2434" s="15" t="s">
        <v>1551</v>
      </c>
      <c r="D2434" s="15" t="s">
        <v>8110</v>
      </c>
      <c r="E2434" s="16" t="str">
        <f aca="false">HYPERLINK("#'Forrásszöveg'!A"&amp;(MATCH("VHR-S1110",Forrásszöveg!$A$6:$A$2497,0)+5),"Ez a forráshely")</f>
        <v>Ez a forráshely</v>
      </c>
      <c r="F2434" s="16" t="str">
        <f aca="false">HYPERLINK("https://net.jogtar.hu/jogszabaly?docid=a2400418.kor#pr1110id","Jogtár megnyitása")</f>
        <v>Jogtár megnyitása</v>
      </c>
    </row>
    <row r="2435" customFormat="false" ht="38" hidden="false" customHeight="true" outlineLevel="0" collapsed="false">
      <c r="A2435" s="15" t="s">
        <v>8111</v>
      </c>
      <c r="B2435" s="15" t="s">
        <v>1471</v>
      </c>
      <c r="C2435" s="15" t="s">
        <v>1551</v>
      </c>
      <c r="D2435" s="15" t="s">
        <v>8099</v>
      </c>
      <c r="E2435" s="16" t="str">
        <f aca="false">HYPERLINK("#'Forrásszöveg'!A"&amp;(MATCH("VHR-S1111",Forrásszöveg!$A$6:$A$2497,0)+5),"Ez a forráshely")</f>
        <v>Ez a forráshely</v>
      </c>
      <c r="F2435" s="16" t="str">
        <f aca="false">HYPERLINK("https://net.jogtar.hu/jogszabaly?docid=a2400418.kor#pr1111id","Jogtár megnyitása")</f>
        <v>Jogtár megnyitása</v>
      </c>
    </row>
    <row r="2436" customFormat="false" ht="38" hidden="false" customHeight="true" outlineLevel="0" collapsed="false">
      <c r="A2436" s="15" t="s">
        <v>8112</v>
      </c>
      <c r="B2436" s="15" t="s">
        <v>1471</v>
      </c>
      <c r="C2436" s="15" t="s">
        <v>1551</v>
      </c>
      <c r="D2436" s="15" t="s">
        <v>8113</v>
      </c>
      <c r="E2436" s="16" t="str">
        <f aca="false">HYPERLINK("#'Forrásszöveg'!A"&amp;(MATCH("VHR-S1112",Forrásszöveg!$A$6:$A$2497,0)+5),"Ez a forráshely")</f>
        <v>Ez a forráshely</v>
      </c>
      <c r="F2436" s="16" t="str">
        <f aca="false">HYPERLINK("https://net.jogtar.hu/jogszabaly?docid=a2400418.kor#pr1112id","Jogtár megnyitása")</f>
        <v>Jogtár megnyitása</v>
      </c>
    </row>
    <row r="2437" customFormat="false" ht="38" hidden="false" customHeight="true" outlineLevel="0" collapsed="false">
      <c r="A2437" s="15" t="s">
        <v>8114</v>
      </c>
      <c r="B2437" s="15" t="s">
        <v>1471</v>
      </c>
      <c r="C2437" s="15" t="s">
        <v>1551</v>
      </c>
      <c r="D2437" s="15" t="s">
        <v>8115</v>
      </c>
      <c r="E2437" s="16" t="str">
        <f aca="false">HYPERLINK("#'Forrásszöveg'!A"&amp;(MATCH("VHR-S1113",Forrásszöveg!$A$6:$A$2497,0)+5),"Ez a forráshely")</f>
        <v>Ez a forráshely</v>
      </c>
      <c r="F2437" s="16" t="str">
        <f aca="false">HYPERLINK("https://net.jogtar.hu/jogszabaly?docid=a2400418.kor#pr1113id","Jogtár megnyitása")</f>
        <v>Jogtár megnyitása</v>
      </c>
    </row>
    <row r="2438" customFormat="false" ht="38" hidden="false" customHeight="true" outlineLevel="0" collapsed="false">
      <c r="A2438" s="15" t="s">
        <v>8116</v>
      </c>
      <c r="B2438" s="15" t="s">
        <v>1471</v>
      </c>
      <c r="C2438" s="15" t="s">
        <v>1551</v>
      </c>
      <c r="D2438" s="15" t="s">
        <v>8117</v>
      </c>
      <c r="E2438" s="16" t="str">
        <f aca="false">HYPERLINK("#'Forrásszöveg'!A"&amp;(MATCH("VHR-S1114",Forrásszöveg!$A$6:$A$2497,0)+5),"Ez a forráshely")</f>
        <v>Ez a forráshely</v>
      </c>
      <c r="F2438" s="16" t="str">
        <f aca="false">HYPERLINK("https://net.jogtar.hu/jogszabaly?docid=a2400418.kor#pr1114id","Jogtár megnyitása")</f>
        <v>Jogtár megnyitása</v>
      </c>
    </row>
    <row r="2439" customFormat="false" ht="38" hidden="false" customHeight="true" outlineLevel="0" collapsed="false">
      <c r="A2439" s="15" t="s">
        <v>8118</v>
      </c>
      <c r="B2439" s="15" t="s">
        <v>1471</v>
      </c>
      <c r="C2439" s="15" t="s">
        <v>1551</v>
      </c>
      <c r="D2439" s="15" t="s">
        <v>8119</v>
      </c>
      <c r="E2439" s="16" t="str">
        <f aca="false">HYPERLINK("#'Forrásszöveg'!A"&amp;(MATCH("VHR-S1115",Forrásszöveg!$A$6:$A$2497,0)+5),"Ez a forráshely")</f>
        <v>Ez a forráshely</v>
      </c>
      <c r="F2439" s="16" t="str">
        <f aca="false">HYPERLINK("https://net.jogtar.hu/jogszabaly?docid=a2400418.kor#pr1115id","Jogtár megnyitása")</f>
        <v>Jogtár megnyitása</v>
      </c>
    </row>
    <row r="2440" customFormat="false" ht="38" hidden="false" customHeight="true" outlineLevel="0" collapsed="false">
      <c r="A2440" s="15" t="s">
        <v>8120</v>
      </c>
      <c r="B2440" s="15" t="s">
        <v>1471</v>
      </c>
      <c r="C2440" s="15" t="s">
        <v>1551</v>
      </c>
      <c r="D2440" s="15" t="s">
        <v>8121</v>
      </c>
      <c r="E2440" s="16" t="str">
        <f aca="false">HYPERLINK("#'Forrásszöveg'!A"&amp;(MATCH("VHR-S1116",Forrásszöveg!$A$6:$A$2497,0)+5),"Ez a forráshely")</f>
        <v>Ez a forráshely</v>
      </c>
      <c r="F2440" s="16" t="str">
        <f aca="false">HYPERLINK("https://net.jogtar.hu/jogszabaly?docid=a2400418.kor#pr1116id","Jogtár megnyitása")</f>
        <v>Jogtár megnyitása</v>
      </c>
    </row>
    <row r="2441" customFormat="false" ht="38" hidden="false" customHeight="true" outlineLevel="0" collapsed="false">
      <c r="A2441" s="15" t="s">
        <v>8122</v>
      </c>
      <c r="B2441" s="15" t="s">
        <v>1471</v>
      </c>
      <c r="C2441" s="15" t="s">
        <v>1551</v>
      </c>
      <c r="D2441" s="15" t="s">
        <v>8123</v>
      </c>
      <c r="E2441" s="16" t="str">
        <f aca="false">HYPERLINK("#'Forrásszöveg'!A"&amp;(MATCH("VHR-S1117",Forrásszöveg!$A$6:$A$2497,0)+5),"Ez a forráshely")</f>
        <v>Ez a forráshely</v>
      </c>
      <c r="F2441" s="16" t="str">
        <f aca="false">HYPERLINK("https://net.jogtar.hu/jogszabaly?docid=a2400418.kor#pr1117id","Jogtár megnyitása")</f>
        <v>Jogtár megnyitása</v>
      </c>
    </row>
    <row r="2442" customFormat="false" ht="38" hidden="false" customHeight="true" outlineLevel="0" collapsed="false">
      <c r="A2442" s="15" t="s">
        <v>8124</v>
      </c>
      <c r="B2442" s="15" t="s">
        <v>1471</v>
      </c>
      <c r="C2442" s="15" t="s">
        <v>1551</v>
      </c>
      <c r="D2442" s="15" t="s">
        <v>8125</v>
      </c>
      <c r="E2442" s="16" t="str">
        <f aca="false">HYPERLINK("#'Forrásszöveg'!A"&amp;(MATCH("VHR-S1118",Forrásszöveg!$A$6:$A$2497,0)+5),"Ez a forráshely")</f>
        <v>Ez a forráshely</v>
      </c>
      <c r="F2442" s="16" t="str">
        <f aca="false">HYPERLINK("https://net.jogtar.hu/jogszabaly?docid=a2400418.kor#pr1118id","Jogtár megnyitása")</f>
        <v>Jogtár megnyitása</v>
      </c>
    </row>
    <row r="2443" customFormat="false" ht="38" hidden="false" customHeight="true" outlineLevel="0" collapsed="false">
      <c r="A2443" s="15" t="s">
        <v>8126</v>
      </c>
      <c r="B2443" s="15" t="s">
        <v>1471</v>
      </c>
      <c r="C2443" s="15" t="s">
        <v>1551</v>
      </c>
      <c r="D2443" s="15" t="s">
        <v>8127</v>
      </c>
      <c r="E2443" s="16" t="str">
        <f aca="false">HYPERLINK("#'Forrásszöveg'!A"&amp;(MATCH("VHR-S1119",Forrásszöveg!$A$6:$A$2497,0)+5),"Ez a forráshely")</f>
        <v>Ez a forráshely</v>
      </c>
      <c r="F2443" s="16" t="str">
        <f aca="false">HYPERLINK("https://net.jogtar.hu/jogszabaly?docid=a2400418.kor#pr1119id","Jogtár megnyitása")</f>
        <v>Jogtár megnyitása</v>
      </c>
    </row>
    <row r="2444" customFormat="false" ht="52" hidden="false" customHeight="true" outlineLevel="0" collapsed="false">
      <c r="A2444" s="15" t="s">
        <v>8128</v>
      </c>
      <c r="B2444" s="15" t="s">
        <v>1471</v>
      </c>
      <c r="C2444" s="15" t="s">
        <v>8129</v>
      </c>
      <c r="D2444" s="15" t="s">
        <v>5162</v>
      </c>
      <c r="E2444" s="16" t="str">
        <f aca="false">HYPERLINK("#'Forrásszöveg'!A"&amp;(MATCH("VHR-S1120",Forrásszöveg!$A$6:$A$2497,0)+5),"Ez a forráshely")</f>
        <v>Ez a forráshely</v>
      </c>
      <c r="F2444" s="16" t="str">
        <f aca="false">HYPERLINK("https://net.jogtar.hu/jogszabaly?docid=a2400418.kor#pr1120id","Jogtár megnyitása")</f>
        <v>Jogtár megnyitása</v>
      </c>
    </row>
    <row r="2445" customFormat="false" ht="52" hidden="false" customHeight="true" outlineLevel="0" collapsed="false">
      <c r="A2445" s="15" t="s">
        <v>8130</v>
      </c>
      <c r="B2445" s="15" t="s">
        <v>1471</v>
      </c>
      <c r="C2445" s="15" t="s">
        <v>8131</v>
      </c>
      <c r="D2445" s="15" t="s">
        <v>8132</v>
      </c>
      <c r="E2445" s="16" t="str">
        <f aca="false">HYPERLINK("#'Forrásszöveg'!A"&amp;(MATCH("VHR-S1121",Forrásszöveg!$A$6:$A$2497,0)+5),"Ez a forráshely")</f>
        <v>Ez a forráshely</v>
      </c>
      <c r="F2445" s="16" t="str">
        <f aca="false">HYPERLINK("https://net.jogtar.hu/jogszabaly?docid=a2400418.kor#pr1121id","Jogtár megnyitása")</f>
        <v>Jogtár megnyitása</v>
      </c>
    </row>
    <row r="2446" customFormat="false" ht="52" hidden="false" customHeight="true" outlineLevel="0" collapsed="false">
      <c r="A2446" s="15" t="s">
        <v>8133</v>
      </c>
      <c r="B2446" s="15" t="s">
        <v>1471</v>
      </c>
      <c r="C2446" s="15" t="s">
        <v>8134</v>
      </c>
      <c r="D2446" s="15" t="s">
        <v>8135</v>
      </c>
      <c r="E2446" s="16" t="str">
        <f aca="false">HYPERLINK("#'Forrásszöveg'!A"&amp;(MATCH("VHR-S1122",Forrásszöveg!$A$6:$A$2497,0)+5),"Ez a forráshely")</f>
        <v>Ez a forráshely</v>
      </c>
      <c r="F2446" s="16" t="str">
        <f aca="false">HYPERLINK("https://net.jogtar.hu/jogszabaly?docid=a2400418.kor#pr1122id","Jogtár megnyitása")</f>
        <v>Jogtár megnyitása</v>
      </c>
    </row>
    <row r="2447" customFormat="false" ht="52" hidden="false" customHeight="true" outlineLevel="0" collapsed="false">
      <c r="A2447" s="15" t="s">
        <v>8136</v>
      </c>
      <c r="B2447" s="15" t="s">
        <v>1471</v>
      </c>
      <c r="C2447" s="15" t="s">
        <v>8137</v>
      </c>
      <c r="D2447" s="15" t="s">
        <v>8138</v>
      </c>
      <c r="E2447" s="16" t="str">
        <f aca="false">HYPERLINK("#'Forrásszöveg'!A"&amp;(MATCH("VHR-S1123",Forrásszöveg!$A$6:$A$2497,0)+5),"Ez a forráshely")</f>
        <v>Ez a forráshely</v>
      </c>
      <c r="F2447" s="16" t="str">
        <f aca="false">HYPERLINK("https://net.jogtar.hu/jogszabaly?docid=a2400418.kor#pr1123id","Jogtár megnyitása")</f>
        <v>Jogtár megnyitása</v>
      </c>
    </row>
    <row r="2448" customFormat="false" ht="52" hidden="false" customHeight="true" outlineLevel="0" collapsed="false">
      <c r="A2448" s="15" t="s">
        <v>8139</v>
      </c>
      <c r="B2448" s="15" t="s">
        <v>1471</v>
      </c>
      <c r="C2448" s="15" t="s">
        <v>8140</v>
      </c>
      <c r="D2448" s="15" t="s">
        <v>8141</v>
      </c>
      <c r="E2448" s="16" t="str">
        <f aca="false">HYPERLINK("#'Forrásszöveg'!A"&amp;(MATCH("VHR-S1124",Forrásszöveg!$A$6:$A$2497,0)+5),"Ez a forráshely")</f>
        <v>Ez a forráshely</v>
      </c>
      <c r="F2448" s="16" t="str">
        <f aca="false">HYPERLINK("https://net.jogtar.hu/jogszabaly?docid=a2400418.kor#pr1124id","Jogtár megnyitása")</f>
        <v>Jogtár megnyitása</v>
      </c>
    </row>
    <row r="2449" customFormat="false" ht="52" hidden="false" customHeight="true" outlineLevel="0" collapsed="false">
      <c r="A2449" s="15" t="s">
        <v>8142</v>
      </c>
      <c r="B2449" s="15" t="s">
        <v>1471</v>
      </c>
      <c r="C2449" s="15" t="s">
        <v>8143</v>
      </c>
      <c r="D2449" s="15" t="s">
        <v>8144</v>
      </c>
      <c r="E2449" s="16" t="str">
        <f aca="false">HYPERLINK("#'Forrásszöveg'!A"&amp;(MATCH("VHR-S1125",Forrásszöveg!$A$6:$A$2497,0)+5),"Ez a forráshely")</f>
        <v>Ez a forráshely</v>
      </c>
      <c r="F2449" s="16" t="str">
        <f aca="false">HYPERLINK("https://net.jogtar.hu/jogszabaly?docid=a2400418.kor#pr1125id","Jogtár megnyitása")</f>
        <v>Jogtár megnyitása</v>
      </c>
    </row>
    <row r="2450" customFormat="false" ht="38" hidden="false" customHeight="true" outlineLevel="0" collapsed="false">
      <c r="A2450" s="15" t="s">
        <v>8145</v>
      </c>
      <c r="B2450" s="15" t="s">
        <v>1471</v>
      </c>
      <c r="C2450" s="15" t="s">
        <v>1552</v>
      </c>
      <c r="D2450" s="15" t="s">
        <v>1552</v>
      </c>
      <c r="E2450" s="16" t="str">
        <f aca="false">HYPERLINK("#'Forrásszöveg'!A"&amp;(MATCH("VHR-S1127",Forrásszöveg!$A$6:$A$2497,0)+5),"Ez a forráshely")</f>
        <v>Ez a forráshely</v>
      </c>
      <c r="F2450" s="16" t="str">
        <f aca="false">HYPERLINK("https://net.jogtar.hu/jogszabaly?docid=a2400418.kor#pr1127id","Jogtár megnyitása")</f>
        <v>Jogtár megnyitása</v>
      </c>
    </row>
    <row r="2451" customFormat="false" ht="80" hidden="false" customHeight="true" outlineLevel="0" collapsed="false">
      <c r="A2451" s="15" t="s">
        <v>8146</v>
      </c>
      <c r="B2451" s="15" t="s">
        <v>1471</v>
      </c>
      <c r="C2451" s="15" t="s">
        <v>8147</v>
      </c>
      <c r="D2451" s="15" t="s">
        <v>8147</v>
      </c>
      <c r="E2451" s="16" t="str">
        <f aca="false">HYPERLINK("#'Forrásszöveg'!A"&amp;(MATCH("VHR-S1128",Forrásszöveg!$A$6:$A$2497,0)+5),"Ez a forráshely")</f>
        <v>Ez a forráshely</v>
      </c>
      <c r="F2451" s="16" t="str">
        <f aca="false">HYPERLINK("https://net.jogtar.hu/jogszabaly?docid=a2400418.kor#pr1128id","Jogtár megnyitása")</f>
        <v>Jogtár megnyitása</v>
      </c>
    </row>
    <row r="2452" customFormat="false" ht="52" hidden="false" customHeight="true" outlineLevel="0" collapsed="false">
      <c r="A2452" s="15" t="s">
        <v>8148</v>
      </c>
      <c r="B2452" s="15" t="s">
        <v>1471</v>
      </c>
      <c r="C2452" s="15" t="s">
        <v>8149</v>
      </c>
      <c r="D2452" s="15" t="s">
        <v>5162</v>
      </c>
      <c r="E2452" s="16" t="str">
        <f aca="false">HYPERLINK("#'Forrásszöveg'!A"&amp;(MATCH("VHR-S1129",Forrásszöveg!$A$6:$A$2497,0)+5),"Ez a forráshely")</f>
        <v>Ez a forráshely</v>
      </c>
      <c r="F2452" s="16" t="str">
        <f aca="false">HYPERLINK("https://net.jogtar.hu/jogszabaly?docid=a2400418.kor#pr1129id","Jogtár megnyitása")</f>
        <v>Jogtár megnyitása</v>
      </c>
    </row>
    <row r="2453" customFormat="false" ht="52" hidden="false" customHeight="true" outlineLevel="0" collapsed="false">
      <c r="A2453" s="15" t="s">
        <v>8150</v>
      </c>
      <c r="B2453" s="15" t="s">
        <v>1471</v>
      </c>
      <c r="C2453" s="15" t="s">
        <v>8151</v>
      </c>
      <c r="D2453" s="15" t="s">
        <v>8152</v>
      </c>
      <c r="E2453" s="16" t="str">
        <f aca="false">HYPERLINK("#'Forrásszöveg'!A"&amp;(MATCH("VHR-S1130",Forrásszöveg!$A$6:$A$2497,0)+5),"Ez a forráshely")</f>
        <v>Ez a forráshely</v>
      </c>
      <c r="F2453" s="16" t="str">
        <f aca="false">HYPERLINK("https://net.jogtar.hu/jogszabaly?docid=a2400418.kor#pr1130id","Jogtár megnyitása")</f>
        <v>Jogtár megnyitása</v>
      </c>
    </row>
    <row r="2454" customFormat="false" ht="52" hidden="false" customHeight="true" outlineLevel="0" collapsed="false">
      <c r="A2454" s="15" t="s">
        <v>8153</v>
      </c>
      <c r="B2454" s="15" t="s">
        <v>1471</v>
      </c>
      <c r="C2454" s="15" t="s">
        <v>8154</v>
      </c>
      <c r="D2454" s="15" t="s">
        <v>8155</v>
      </c>
      <c r="E2454" s="16" t="str">
        <f aca="false">HYPERLINK("#'Forrásszöveg'!A"&amp;(MATCH("VHR-S1131",Forrásszöveg!$A$6:$A$2497,0)+5),"Ez a forráshely")</f>
        <v>Ez a forráshely</v>
      </c>
      <c r="F2454" s="16" t="str">
        <f aca="false">HYPERLINK("https://net.jogtar.hu/jogszabaly?docid=a2400418.kor#pr1131id","Jogtár megnyitása")</f>
        <v>Jogtár megnyitása</v>
      </c>
    </row>
    <row r="2455" customFormat="false" ht="52" hidden="false" customHeight="true" outlineLevel="0" collapsed="false">
      <c r="A2455" s="15" t="s">
        <v>8156</v>
      </c>
      <c r="B2455" s="15" t="s">
        <v>1471</v>
      </c>
      <c r="C2455" s="15" t="s">
        <v>8157</v>
      </c>
      <c r="D2455" s="15" t="s">
        <v>8158</v>
      </c>
      <c r="E2455" s="16" t="str">
        <f aca="false">HYPERLINK("#'Forrásszöveg'!A"&amp;(MATCH("VHR-S1132",Forrásszöveg!$A$6:$A$2497,0)+5),"Ez a forráshely")</f>
        <v>Ez a forráshely</v>
      </c>
      <c r="F2455" s="16" t="str">
        <f aca="false">HYPERLINK("https://net.jogtar.hu/jogszabaly?docid=a2400418.kor#pr1132id","Jogtár megnyitása")</f>
        <v>Jogtár megnyitása</v>
      </c>
    </row>
    <row r="2456" customFormat="false" ht="52" hidden="false" customHeight="true" outlineLevel="0" collapsed="false">
      <c r="A2456" s="15" t="s">
        <v>8159</v>
      </c>
      <c r="B2456" s="15" t="s">
        <v>1471</v>
      </c>
      <c r="C2456" s="15" t="s">
        <v>8160</v>
      </c>
      <c r="D2456" s="15" t="s">
        <v>8161</v>
      </c>
      <c r="E2456" s="16" t="str">
        <f aca="false">HYPERLINK("#'Forrásszöveg'!A"&amp;(MATCH("VHR-S1133",Forrásszöveg!$A$6:$A$2497,0)+5),"Ez a forráshely")</f>
        <v>Ez a forráshely</v>
      </c>
      <c r="F2456" s="16" t="str">
        <f aca="false">HYPERLINK("https://net.jogtar.hu/jogszabaly?docid=a2400418.kor#pr1133id","Jogtár megnyitása")</f>
        <v>Jogtár megnyitása</v>
      </c>
    </row>
    <row r="2457" customFormat="false" ht="52" hidden="false" customHeight="true" outlineLevel="0" collapsed="false">
      <c r="A2457" s="15" t="s">
        <v>8162</v>
      </c>
      <c r="B2457" s="15" t="s">
        <v>1471</v>
      </c>
      <c r="C2457" s="15" t="s">
        <v>8163</v>
      </c>
      <c r="D2457" s="15" t="s">
        <v>8164</v>
      </c>
      <c r="E2457" s="16" t="str">
        <f aca="false">HYPERLINK("#'Forrásszöveg'!A"&amp;(MATCH("VHR-S1134",Forrásszöveg!$A$6:$A$2497,0)+5),"Ez a forráshely")</f>
        <v>Ez a forráshely</v>
      </c>
      <c r="F2457" s="16" t="str">
        <f aca="false">HYPERLINK("https://net.jogtar.hu/jogszabaly?docid=a2400418.kor#pr1134id","Jogtár megnyitása")</f>
        <v>Jogtár megnyitása</v>
      </c>
    </row>
    <row r="2458" customFormat="false" ht="52" hidden="false" customHeight="true" outlineLevel="0" collapsed="false">
      <c r="A2458" s="15" t="s">
        <v>8165</v>
      </c>
      <c r="B2458" s="15" t="s">
        <v>1471</v>
      </c>
      <c r="C2458" s="15" t="s">
        <v>8166</v>
      </c>
      <c r="D2458" s="15" t="s">
        <v>8167</v>
      </c>
      <c r="E2458" s="16" t="str">
        <f aca="false">HYPERLINK("#'Forrásszöveg'!A"&amp;(MATCH("VHR-S1135",Forrásszöveg!$A$6:$A$2497,0)+5),"Ez a forráshely")</f>
        <v>Ez a forráshely</v>
      </c>
      <c r="F2458" s="16" t="str">
        <f aca="false">HYPERLINK("https://net.jogtar.hu/jogszabaly?docid=a2400418.kor#pr1135id","Jogtár megnyitása")</f>
        <v>Jogtár megnyitása</v>
      </c>
    </row>
    <row r="2459" customFormat="false" ht="52" hidden="false" customHeight="true" outlineLevel="0" collapsed="false">
      <c r="A2459" s="15" t="s">
        <v>8168</v>
      </c>
      <c r="B2459" s="15" t="s">
        <v>1471</v>
      </c>
      <c r="C2459" s="15" t="s">
        <v>8169</v>
      </c>
      <c r="D2459" s="15" t="s">
        <v>8170</v>
      </c>
      <c r="E2459" s="16" t="str">
        <f aca="false">HYPERLINK("#'Forrásszöveg'!A"&amp;(MATCH("VHR-S1136",Forrásszöveg!$A$6:$A$2497,0)+5),"Ez a forráshely")</f>
        <v>Ez a forráshely</v>
      </c>
      <c r="F2459" s="16" t="str">
        <f aca="false">HYPERLINK("https://net.jogtar.hu/jogszabaly?docid=a2400418.kor#pr1136id","Jogtár megnyitása")</f>
        <v>Jogtár megnyitása</v>
      </c>
    </row>
    <row r="2460" customFormat="false" ht="150" hidden="false" customHeight="true" outlineLevel="0" collapsed="false">
      <c r="A2460" s="15" t="s">
        <v>8171</v>
      </c>
      <c r="B2460" s="15" t="s">
        <v>1471</v>
      </c>
      <c r="C2460" s="15" t="s">
        <v>8172</v>
      </c>
      <c r="D2460" s="15" t="s">
        <v>8173</v>
      </c>
      <c r="E2460" s="16" t="str">
        <f aca="false">HYPERLINK("#'Forrásszöveg'!A"&amp;(MATCH("VHR-S1137",Forrásszöveg!$A$6:$A$2497,0)+5),"Ez a forráshely")</f>
        <v>Ez a forráshely</v>
      </c>
      <c r="F2460" s="16" t="str">
        <f aca="false">HYPERLINK("https://net.jogtar.hu/jogszabaly?docid=a2400418.kor#pr1137id","Jogtár megnyitása")</f>
        <v>Jogtár megnyitása</v>
      </c>
    </row>
    <row r="2461" customFormat="false" ht="108" hidden="false" customHeight="true" outlineLevel="0" collapsed="false">
      <c r="A2461" s="15" t="s">
        <v>8174</v>
      </c>
      <c r="B2461" s="15" t="s">
        <v>1471</v>
      </c>
      <c r="C2461" s="15" t="s">
        <v>8175</v>
      </c>
      <c r="D2461" s="15" t="s">
        <v>8176</v>
      </c>
      <c r="E2461" s="16" t="str">
        <f aca="false">HYPERLINK("#'Forrásszöveg'!A"&amp;(MATCH("VHR-S1138",Forrásszöveg!$A$6:$A$2497,0)+5),"Ez a forráshely")</f>
        <v>Ez a forráshely</v>
      </c>
      <c r="F2461" s="16" t="str">
        <f aca="false">HYPERLINK("https://net.jogtar.hu/jogszabaly?docid=a2400418.kor#pr1138id","Jogtár megnyitása")</f>
        <v>Jogtár megnyitása</v>
      </c>
    </row>
    <row r="2462" customFormat="false" ht="66" hidden="false" customHeight="true" outlineLevel="0" collapsed="false">
      <c r="A2462" s="15" t="s">
        <v>8177</v>
      </c>
      <c r="B2462" s="15" t="s">
        <v>1471</v>
      </c>
      <c r="C2462" s="15" t="s">
        <v>8178</v>
      </c>
      <c r="D2462" s="15" t="s">
        <v>8179</v>
      </c>
      <c r="E2462" s="16" t="str">
        <f aca="false">HYPERLINK("#'Forrásszöveg'!A"&amp;(MATCH("VHR-S1139",Forrásszöveg!$A$6:$A$2497,0)+5),"Ez a forráshely")</f>
        <v>Ez a forráshely</v>
      </c>
      <c r="F2462" s="16" t="str">
        <f aca="false">HYPERLINK("https://net.jogtar.hu/jogszabaly?docid=a2400418.kor#pr1139id","Jogtár megnyitása")</f>
        <v>Jogtár megnyitása</v>
      </c>
    </row>
    <row r="2463" customFormat="false" ht="52" hidden="false" customHeight="true" outlineLevel="0" collapsed="false">
      <c r="A2463" s="15" t="s">
        <v>8180</v>
      </c>
      <c r="B2463" s="15" t="s">
        <v>1471</v>
      </c>
      <c r="C2463" s="15" t="s">
        <v>8181</v>
      </c>
      <c r="D2463" s="15" t="s">
        <v>8182</v>
      </c>
      <c r="E2463" s="16" t="str">
        <f aca="false">HYPERLINK("#'Forrásszöveg'!A"&amp;(MATCH("VHR-S1140",Forrásszöveg!$A$6:$A$2497,0)+5),"Ez a forráshely")</f>
        <v>Ez a forráshely</v>
      </c>
      <c r="F2463" s="16" t="str">
        <f aca="false">HYPERLINK("https://net.jogtar.hu/jogszabaly?docid=a2400418.kor#pr1140id","Jogtár megnyitása")</f>
        <v>Jogtár megnyitása</v>
      </c>
    </row>
    <row r="2464" customFormat="false" ht="52" hidden="false" customHeight="true" outlineLevel="0" collapsed="false">
      <c r="A2464" s="15" t="s">
        <v>8183</v>
      </c>
      <c r="B2464" s="15" t="s">
        <v>1471</v>
      </c>
      <c r="C2464" s="15" t="s">
        <v>8184</v>
      </c>
      <c r="D2464" s="15" t="s">
        <v>8185</v>
      </c>
      <c r="E2464" s="16" t="str">
        <f aca="false">HYPERLINK("#'Forrásszöveg'!A"&amp;(MATCH("VHR-S1141",Forrásszöveg!$A$6:$A$2497,0)+5),"Ez a forráshely")</f>
        <v>Ez a forráshely</v>
      </c>
      <c r="F2464" s="16" t="str">
        <f aca="false">HYPERLINK("https://net.jogtar.hu/jogszabaly?docid=a2400418.kor#pr1141id","Jogtár megnyitása")</f>
        <v>Jogtár megnyitása</v>
      </c>
    </row>
    <row r="2465" customFormat="false" ht="52" hidden="false" customHeight="true" outlineLevel="0" collapsed="false">
      <c r="A2465" s="15" t="s">
        <v>8186</v>
      </c>
      <c r="B2465" s="15" t="s">
        <v>1471</v>
      </c>
      <c r="C2465" s="15" t="s">
        <v>8187</v>
      </c>
      <c r="D2465" s="15" t="s">
        <v>8188</v>
      </c>
      <c r="E2465" s="16" t="str">
        <f aca="false">HYPERLINK("#'Forrásszöveg'!A"&amp;(MATCH("VHR-S1142",Forrásszöveg!$A$6:$A$2497,0)+5),"Ez a forráshely")</f>
        <v>Ez a forráshely</v>
      </c>
      <c r="F2465" s="16" t="str">
        <f aca="false">HYPERLINK("https://net.jogtar.hu/jogszabaly?docid=a2400418.kor#pr1142id","Jogtár megnyitása")</f>
        <v>Jogtár megnyitása</v>
      </c>
    </row>
    <row r="2466" customFormat="false" ht="52" hidden="false" customHeight="true" outlineLevel="0" collapsed="false">
      <c r="A2466" s="15" t="s">
        <v>8189</v>
      </c>
      <c r="B2466" s="15" t="s">
        <v>1471</v>
      </c>
      <c r="C2466" s="15" t="s">
        <v>8190</v>
      </c>
      <c r="D2466" s="15" t="s">
        <v>8191</v>
      </c>
      <c r="E2466" s="16" t="str">
        <f aca="false">HYPERLINK("#'Forrásszöveg'!A"&amp;(MATCH("VHR-S1143",Forrásszöveg!$A$6:$A$2497,0)+5),"Ez a forráshely")</f>
        <v>Ez a forráshely</v>
      </c>
      <c r="F2466" s="16" t="str">
        <f aca="false">HYPERLINK("https://net.jogtar.hu/jogszabaly?docid=a2400418.kor#pr1143id","Jogtár megnyitása")</f>
        <v>Jogtár megnyitása</v>
      </c>
    </row>
    <row r="2467" customFormat="false" ht="52" hidden="false" customHeight="true" outlineLevel="0" collapsed="false">
      <c r="A2467" s="15" t="s">
        <v>8192</v>
      </c>
      <c r="B2467" s="15" t="s">
        <v>1471</v>
      </c>
      <c r="C2467" s="15" t="s">
        <v>8193</v>
      </c>
      <c r="D2467" s="15" t="s">
        <v>8194</v>
      </c>
      <c r="E2467" s="16" t="str">
        <f aca="false">HYPERLINK("#'Forrásszöveg'!A"&amp;(MATCH("VHR-S1144",Forrásszöveg!$A$6:$A$2497,0)+5),"Ez a forráshely")</f>
        <v>Ez a forráshely</v>
      </c>
      <c r="F2467" s="16" t="str">
        <f aca="false">HYPERLINK("https://net.jogtar.hu/jogszabaly?docid=a2400418.kor#pr1144id","Jogtár megnyitása")</f>
        <v>Jogtár megnyitása</v>
      </c>
    </row>
    <row r="2468" customFormat="false" ht="52" hidden="false" customHeight="true" outlineLevel="0" collapsed="false">
      <c r="A2468" s="15" t="s">
        <v>8195</v>
      </c>
      <c r="B2468" s="15" t="s">
        <v>1471</v>
      </c>
      <c r="C2468" s="15" t="s">
        <v>8196</v>
      </c>
      <c r="D2468" s="15" t="s">
        <v>8197</v>
      </c>
      <c r="E2468" s="16" t="str">
        <f aca="false">HYPERLINK("#'Forrásszöveg'!A"&amp;(MATCH("VHR-S1145",Forrásszöveg!$A$6:$A$2497,0)+5),"Ez a forráshely")</f>
        <v>Ez a forráshely</v>
      </c>
      <c r="F2468" s="16" t="str">
        <f aca="false">HYPERLINK("https://net.jogtar.hu/jogszabaly?docid=a2400418.kor#pr1145id","Jogtár megnyitása")</f>
        <v>Jogtár megnyitása</v>
      </c>
    </row>
    <row r="2469" customFormat="false" ht="52" hidden="false" customHeight="true" outlineLevel="0" collapsed="false">
      <c r="A2469" s="15" t="s">
        <v>8198</v>
      </c>
      <c r="B2469" s="15" t="s">
        <v>1471</v>
      </c>
      <c r="C2469" s="15" t="s">
        <v>8199</v>
      </c>
      <c r="D2469" s="15" t="s">
        <v>8200</v>
      </c>
      <c r="E2469" s="16" t="str">
        <f aca="false">HYPERLINK("#'Forrásszöveg'!A"&amp;(MATCH("VHR-S1146",Forrásszöveg!$A$6:$A$2497,0)+5),"Ez a forráshely")</f>
        <v>Ez a forráshely</v>
      </c>
      <c r="F2469" s="16" t="str">
        <f aca="false">HYPERLINK("https://net.jogtar.hu/jogszabaly?docid=a2400418.kor#pr1146id","Jogtár megnyitása")</f>
        <v>Jogtár megnyitása</v>
      </c>
    </row>
    <row r="2470" customFormat="false" ht="52" hidden="false" customHeight="true" outlineLevel="0" collapsed="false">
      <c r="A2470" s="15" t="s">
        <v>8201</v>
      </c>
      <c r="B2470" s="15" t="s">
        <v>1471</v>
      </c>
      <c r="C2470" s="15" t="s">
        <v>8202</v>
      </c>
      <c r="D2470" s="15" t="s">
        <v>8203</v>
      </c>
      <c r="E2470" s="16" t="str">
        <f aca="false">HYPERLINK("#'Forrásszöveg'!A"&amp;(MATCH("VHR-S1147",Forrásszöveg!$A$6:$A$2497,0)+5),"Ez a forráshely")</f>
        <v>Ez a forráshely</v>
      </c>
      <c r="F2470" s="16" t="str">
        <f aca="false">HYPERLINK("https://net.jogtar.hu/jogszabaly?docid=a2400418.kor#pr1147id","Jogtár megnyitása")</f>
        <v>Jogtár megnyitása</v>
      </c>
    </row>
    <row r="2471" customFormat="false" ht="52" hidden="false" customHeight="true" outlineLevel="0" collapsed="false">
      <c r="A2471" s="15" t="s">
        <v>8204</v>
      </c>
      <c r="B2471" s="15" t="s">
        <v>1471</v>
      </c>
      <c r="C2471" s="15" t="s">
        <v>8205</v>
      </c>
      <c r="D2471" s="15" t="s">
        <v>8206</v>
      </c>
      <c r="E2471" s="16" t="str">
        <f aca="false">HYPERLINK("#'Forrásszöveg'!A"&amp;(MATCH("VHR-S1148",Forrásszöveg!$A$6:$A$2497,0)+5),"Ez a forráshely")</f>
        <v>Ez a forráshely</v>
      </c>
      <c r="F2471" s="16" t="str">
        <f aca="false">HYPERLINK("https://net.jogtar.hu/jogszabaly?docid=a2400418.kor#pr1148id","Jogtár megnyitása")</f>
        <v>Jogtár megnyitása</v>
      </c>
    </row>
    <row r="2472" customFormat="false" ht="52" hidden="false" customHeight="true" outlineLevel="0" collapsed="false">
      <c r="A2472" s="15" t="s">
        <v>8207</v>
      </c>
      <c r="B2472" s="15" t="s">
        <v>1471</v>
      </c>
      <c r="C2472" s="15" t="s">
        <v>8208</v>
      </c>
      <c r="D2472" s="15" t="s">
        <v>8209</v>
      </c>
      <c r="E2472" s="16" t="str">
        <f aca="false">HYPERLINK("#'Forrásszöveg'!A"&amp;(MATCH("VHR-S1149",Forrásszöveg!$A$6:$A$2497,0)+5),"Ez a forráshely")</f>
        <v>Ez a forráshely</v>
      </c>
      <c r="F2472" s="16" t="str">
        <f aca="false">HYPERLINK("https://net.jogtar.hu/jogszabaly?docid=a2400418.kor#pr1149id","Jogtár megnyitása")</f>
        <v>Jogtár megnyitása</v>
      </c>
    </row>
    <row r="2473" customFormat="false" ht="52" hidden="false" customHeight="true" outlineLevel="0" collapsed="false">
      <c r="A2473" s="15" t="s">
        <v>8210</v>
      </c>
      <c r="B2473" s="15" t="s">
        <v>1471</v>
      </c>
      <c r="C2473" s="15" t="s">
        <v>8211</v>
      </c>
      <c r="D2473" s="15" t="s">
        <v>8212</v>
      </c>
      <c r="E2473" s="16" t="str">
        <f aca="false">HYPERLINK("#'Forrásszöveg'!A"&amp;(MATCH("VHR-S1150",Forrásszöveg!$A$6:$A$2497,0)+5),"Ez a forráshely")</f>
        <v>Ez a forráshely</v>
      </c>
      <c r="F2473" s="16" t="str">
        <f aca="false">HYPERLINK("https://net.jogtar.hu/jogszabaly?docid=a2400418.kor#pr1150id","Jogtár megnyitása")</f>
        <v>Jogtár megnyitása</v>
      </c>
    </row>
    <row r="2474" customFormat="false" ht="52" hidden="false" customHeight="true" outlineLevel="0" collapsed="false">
      <c r="A2474" s="15" t="s">
        <v>8213</v>
      </c>
      <c r="B2474" s="15" t="s">
        <v>1471</v>
      </c>
      <c r="C2474" s="15" t="s">
        <v>8214</v>
      </c>
      <c r="D2474" s="15" t="s">
        <v>8215</v>
      </c>
      <c r="E2474" s="16" t="str">
        <f aca="false">HYPERLINK("#'Forrásszöveg'!A"&amp;(MATCH("VHR-S1151",Forrásszöveg!$A$6:$A$2497,0)+5),"Ez a forráshely")</f>
        <v>Ez a forráshely</v>
      </c>
      <c r="F2474" s="16" t="str">
        <f aca="false">HYPERLINK("https://net.jogtar.hu/jogszabaly?docid=a2400418.kor#pr1151id","Jogtár megnyitása")</f>
        <v>Jogtár megnyitása</v>
      </c>
    </row>
    <row r="2475" customFormat="false" ht="38" hidden="false" customHeight="true" outlineLevel="0" collapsed="false">
      <c r="A2475" s="15" t="s">
        <v>8216</v>
      </c>
      <c r="B2475" s="15" t="s">
        <v>1471</v>
      </c>
      <c r="C2475" s="15" t="s">
        <v>1553</v>
      </c>
      <c r="D2475" s="15" t="s">
        <v>1553</v>
      </c>
      <c r="E2475" s="16" t="str">
        <f aca="false">HYPERLINK("#'Forrásszöveg'!A"&amp;(MATCH("VHR-S1153",Forrásszöveg!$A$6:$A$2497,0)+5),"Ez a forráshely")</f>
        <v>Ez a forráshely</v>
      </c>
      <c r="F2475" s="16" t="str">
        <f aca="false">HYPERLINK("https://net.jogtar.hu/jogszabaly?docid=a2400418.kor#pr1153id","Jogtár megnyitása")</f>
        <v>Jogtár megnyitása</v>
      </c>
    </row>
    <row r="2476" customFormat="false" ht="80" hidden="false" customHeight="true" outlineLevel="0" collapsed="false">
      <c r="A2476" s="15" t="s">
        <v>8217</v>
      </c>
      <c r="B2476" s="15" t="s">
        <v>1471</v>
      </c>
      <c r="C2476" s="15" t="s">
        <v>8218</v>
      </c>
      <c r="D2476" s="15" t="s">
        <v>8218</v>
      </c>
      <c r="E2476" s="16" t="str">
        <f aca="false">HYPERLINK("#'Forrásszöveg'!A"&amp;(MATCH("VHR-S1154",Forrásszöveg!$A$6:$A$2497,0)+5),"Ez a forráshely")</f>
        <v>Ez a forráshely</v>
      </c>
      <c r="F2476" s="16" t="str">
        <f aca="false">HYPERLINK("https://net.jogtar.hu/jogszabaly?docid=a2400418.kor#pr1154id","Jogtár megnyitása")</f>
        <v>Jogtár megnyitása</v>
      </c>
    </row>
    <row r="2477" customFormat="false" ht="52" hidden="false" customHeight="true" outlineLevel="0" collapsed="false">
      <c r="A2477" s="15" t="s">
        <v>8219</v>
      </c>
      <c r="B2477" s="15" t="s">
        <v>1471</v>
      </c>
      <c r="C2477" s="15" t="s">
        <v>8220</v>
      </c>
      <c r="D2477" s="15" t="s">
        <v>5162</v>
      </c>
      <c r="E2477" s="16" t="str">
        <f aca="false">HYPERLINK("#'Forrásszöveg'!A"&amp;(MATCH("VHR-S1155",Forrásszöveg!$A$6:$A$2497,0)+5),"Ez a forráshely")</f>
        <v>Ez a forráshely</v>
      </c>
      <c r="F2477" s="16" t="str">
        <f aca="false">HYPERLINK("https://net.jogtar.hu/jogszabaly?docid=a2400418.kor#pr1155id","Jogtár megnyitása")</f>
        <v>Jogtár megnyitása</v>
      </c>
    </row>
    <row r="2478" customFormat="false" ht="52" hidden="false" customHeight="true" outlineLevel="0" collapsed="false">
      <c r="A2478" s="15" t="s">
        <v>8221</v>
      </c>
      <c r="B2478" s="15" t="s">
        <v>1471</v>
      </c>
      <c r="C2478" s="15" t="s">
        <v>8222</v>
      </c>
      <c r="D2478" s="15" t="s">
        <v>8223</v>
      </c>
      <c r="E2478" s="16" t="str">
        <f aca="false">HYPERLINK("#'Forrásszöveg'!A"&amp;(MATCH("VHR-S1156",Forrásszöveg!$A$6:$A$2497,0)+5),"Ez a forráshely")</f>
        <v>Ez a forráshely</v>
      </c>
      <c r="F2478" s="16" t="str">
        <f aca="false">HYPERLINK("https://net.jogtar.hu/jogszabaly?docid=a2400418.kor#pr1156id","Jogtár megnyitása")</f>
        <v>Jogtár megnyitása</v>
      </c>
    </row>
    <row r="2479" customFormat="false" ht="108" hidden="false" customHeight="true" outlineLevel="0" collapsed="false">
      <c r="A2479" s="15" t="s">
        <v>8224</v>
      </c>
      <c r="B2479" s="15" t="s">
        <v>1471</v>
      </c>
      <c r="C2479" s="15" t="s">
        <v>8225</v>
      </c>
      <c r="D2479" s="15" t="s">
        <v>8226</v>
      </c>
      <c r="E2479" s="16" t="str">
        <f aca="false">HYPERLINK("#'Forrásszöveg'!A"&amp;(MATCH("VHR-S1157",Forrásszöveg!$A$6:$A$2497,0)+5),"Ez a forráshely")</f>
        <v>Ez a forráshely</v>
      </c>
      <c r="F2479" s="16" t="str">
        <f aca="false">HYPERLINK("https://net.jogtar.hu/jogszabaly?docid=a2400418.kor#pr1157id","Jogtár megnyitása")</f>
        <v>Jogtár megnyitása</v>
      </c>
    </row>
    <row r="2480" customFormat="false" ht="80" hidden="false" customHeight="true" outlineLevel="0" collapsed="false">
      <c r="A2480" s="15" t="s">
        <v>8227</v>
      </c>
      <c r="B2480" s="15" t="s">
        <v>1471</v>
      </c>
      <c r="C2480" s="15" t="s">
        <v>8228</v>
      </c>
      <c r="D2480" s="15" t="s">
        <v>8229</v>
      </c>
      <c r="E2480" s="16" t="str">
        <f aca="false">HYPERLINK("#'Forrásszöveg'!A"&amp;(MATCH("VHR-S1158",Forrásszöveg!$A$6:$A$2497,0)+5),"Ez a forráshely")</f>
        <v>Ez a forráshely</v>
      </c>
      <c r="F2480" s="16" t="str">
        <f aca="false">HYPERLINK("https://net.jogtar.hu/jogszabaly?docid=a2400418.kor#pr1158id","Jogtár megnyitása")</f>
        <v>Jogtár megnyitása</v>
      </c>
    </row>
    <row r="2481" customFormat="false" ht="52" hidden="false" customHeight="true" outlineLevel="0" collapsed="false">
      <c r="A2481" s="15" t="s">
        <v>8230</v>
      </c>
      <c r="B2481" s="15" t="s">
        <v>1471</v>
      </c>
      <c r="C2481" s="15" t="s">
        <v>8231</v>
      </c>
      <c r="D2481" s="15" t="s">
        <v>8232</v>
      </c>
      <c r="E2481" s="16" t="str">
        <f aca="false">HYPERLINK("#'Forrásszöveg'!A"&amp;(MATCH("VHR-S1159",Forrásszöveg!$A$6:$A$2497,0)+5),"Ez a forráshely")</f>
        <v>Ez a forráshely</v>
      </c>
      <c r="F2481" s="16" t="str">
        <f aca="false">HYPERLINK("https://net.jogtar.hu/jogszabaly?docid=a2400418.kor#pr1159id","Jogtár megnyitása")</f>
        <v>Jogtár megnyitása</v>
      </c>
    </row>
    <row r="2482" customFormat="false" ht="52" hidden="false" customHeight="true" outlineLevel="0" collapsed="false">
      <c r="A2482" s="15" t="s">
        <v>8233</v>
      </c>
      <c r="B2482" s="15" t="s">
        <v>1471</v>
      </c>
      <c r="C2482" s="15" t="s">
        <v>8234</v>
      </c>
      <c r="D2482" s="15" t="s">
        <v>8235</v>
      </c>
      <c r="E2482" s="16" t="str">
        <f aca="false">HYPERLINK("#'Forrásszöveg'!A"&amp;(MATCH("VHR-S1160",Forrásszöveg!$A$6:$A$2497,0)+5),"Ez a forráshely")</f>
        <v>Ez a forráshely</v>
      </c>
      <c r="F2482" s="16" t="str">
        <f aca="false">HYPERLINK("https://net.jogtar.hu/jogszabaly?docid=a2400418.kor#pr1160id","Jogtár megnyitása")</f>
        <v>Jogtár megnyitása</v>
      </c>
    </row>
    <row r="2483" customFormat="false" ht="52" hidden="false" customHeight="true" outlineLevel="0" collapsed="false">
      <c r="A2483" s="15" t="s">
        <v>8236</v>
      </c>
      <c r="B2483" s="15" t="s">
        <v>1471</v>
      </c>
      <c r="C2483" s="15" t="s">
        <v>8237</v>
      </c>
      <c r="D2483" s="15" t="s">
        <v>8238</v>
      </c>
      <c r="E2483" s="16" t="str">
        <f aca="false">HYPERLINK("#'Forrásszöveg'!A"&amp;(MATCH("VHR-S1161",Forrásszöveg!$A$6:$A$2497,0)+5),"Ez a forráshely")</f>
        <v>Ez a forráshely</v>
      </c>
      <c r="F2483" s="16" t="str">
        <f aca="false">HYPERLINK("https://net.jogtar.hu/jogszabaly?docid=a2400418.kor#pr1161id","Jogtár megnyitása")</f>
        <v>Jogtár megnyitása</v>
      </c>
    </row>
    <row r="2484" customFormat="false" ht="52" hidden="false" customHeight="true" outlineLevel="0" collapsed="false">
      <c r="A2484" s="15" t="s">
        <v>8239</v>
      </c>
      <c r="B2484" s="15" t="s">
        <v>1471</v>
      </c>
      <c r="C2484" s="15" t="s">
        <v>8240</v>
      </c>
      <c r="D2484" s="15" t="s">
        <v>8241</v>
      </c>
      <c r="E2484" s="16" t="str">
        <f aca="false">HYPERLINK("#'Forrásszöveg'!A"&amp;(MATCH("VHR-S1162",Forrásszöveg!$A$6:$A$2497,0)+5),"Ez a forráshely")</f>
        <v>Ez a forráshely</v>
      </c>
      <c r="F2484" s="16" t="str">
        <f aca="false">HYPERLINK("https://net.jogtar.hu/jogszabaly?docid=a2400418.kor#pr1162id","Jogtár megnyitása")</f>
        <v>Jogtár megnyitása</v>
      </c>
    </row>
    <row r="2485" customFormat="false" ht="66" hidden="false" customHeight="true" outlineLevel="0" collapsed="false">
      <c r="A2485" s="15" t="s">
        <v>8242</v>
      </c>
      <c r="B2485" s="15" t="s">
        <v>1471</v>
      </c>
      <c r="C2485" s="15" t="s">
        <v>8243</v>
      </c>
      <c r="D2485" s="15" t="s">
        <v>8244</v>
      </c>
      <c r="E2485" s="16" t="str">
        <f aca="false">HYPERLINK("#'Forrásszöveg'!A"&amp;(MATCH("VHR-S1163",Forrásszöveg!$A$6:$A$2497,0)+5),"Ez a forráshely")</f>
        <v>Ez a forráshely</v>
      </c>
      <c r="F2485" s="16" t="str">
        <f aca="false">HYPERLINK("https://net.jogtar.hu/jogszabaly?docid=a2400418.kor#pr1163id","Jogtár megnyitása")</f>
        <v>Jogtár megnyitása</v>
      </c>
    </row>
    <row r="2486" customFormat="false" ht="52" hidden="false" customHeight="true" outlineLevel="0" collapsed="false">
      <c r="A2486" s="15" t="s">
        <v>8245</v>
      </c>
      <c r="B2486" s="15" t="s">
        <v>1471</v>
      </c>
      <c r="C2486" s="15" t="s">
        <v>8246</v>
      </c>
      <c r="D2486" s="15" t="s">
        <v>8247</v>
      </c>
      <c r="E2486" s="16" t="str">
        <f aca="false">HYPERLINK("#'Forrásszöveg'!A"&amp;(MATCH("VHR-S1164",Forrásszöveg!$A$6:$A$2497,0)+5),"Ez a forráshely")</f>
        <v>Ez a forráshely</v>
      </c>
      <c r="F2486" s="16" t="str">
        <f aca="false">HYPERLINK("https://net.jogtar.hu/jogszabaly?docid=a2400418.kor#pr1164id","Jogtár megnyitása")</f>
        <v>Jogtár megnyitása</v>
      </c>
    </row>
    <row r="2487" customFormat="false" ht="38" hidden="false" customHeight="true" outlineLevel="0" collapsed="false">
      <c r="A2487" s="15" t="s">
        <v>8248</v>
      </c>
      <c r="B2487" s="15" t="s">
        <v>1471</v>
      </c>
      <c r="C2487" s="15" t="s">
        <v>1554</v>
      </c>
      <c r="D2487" s="15" t="s">
        <v>1554</v>
      </c>
      <c r="E2487" s="16" t="str">
        <f aca="false">HYPERLINK("#'Forrásszöveg'!A"&amp;(MATCH("VHR-S1165",Forrásszöveg!$A$6:$A$2497,0)+5),"Ez a forráshely")</f>
        <v>Ez a forráshely</v>
      </c>
      <c r="F2487" s="16" t="str">
        <f aca="false">HYPERLINK("https://net.jogtar.hu/jogszabaly?docid=a2400418.kor#pr1165id","Jogtár megnyitása")</f>
        <v>Jogtár megnyitása</v>
      </c>
    </row>
    <row r="2488" customFormat="false" ht="38" hidden="false" customHeight="true" outlineLevel="0" collapsed="false">
      <c r="A2488" s="15" t="s">
        <v>8249</v>
      </c>
      <c r="B2488" s="15" t="s">
        <v>1471</v>
      </c>
      <c r="C2488" s="15" t="s">
        <v>8250</v>
      </c>
      <c r="D2488" s="15" t="s">
        <v>8250</v>
      </c>
      <c r="E2488" s="16" t="str">
        <f aca="false">HYPERLINK("#'Forrásszöveg'!A"&amp;(MATCH("VHR-S1166",Forrásszöveg!$A$6:$A$2497,0)+5),"Ez a forráshely")</f>
        <v>Ez a forráshely</v>
      </c>
      <c r="F2488" s="16" t="str">
        <f aca="false">HYPERLINK("https://net.jogtar.hu/jogszabaly?docid=a2400418.kor#pr1166id","Jogtár megnyitása")</f>
        <v>Jogtár megnyitása</v>
      </c>
    </row>
    <row r="2489" customFormat="false" ht="52" hidden="false" customHeight="true" outlineLevel="0" collapsed="false">
      <c r="A2489" s="15" t="s">
        <v>8251</v>
      </c>
      <c r="B2489" s="15" t="s">
        <v>1471</v>
      </c>
      <c r="C2489" s="15" t="s">
        <v>8252</v>
      </c>
      <c r="D2489" s="15" t="s">
        <v>5162</v>
      </c>
      <c r="E2489" s="16" t="str">
        <f aca="false">HYPERLINK("#'Forrásszöveg'!A"&amp;(MATCH("VHR-S1167",Forrásszöveg!$A$6:$A$2497,0)+5),"Ez a forráshely")</f>
        <v>Ez a forráshely</v>
      </c>
      <c r="F2489" s="16" t="str">
        <f aca="false">HYPERLINK("https://net.jogtar.hu/jogszabaly?docid=a2400418.kor#pr1167id","Jogtár megnyitása")</f>
        <v>Jogtár megnyitása</v>
      </c>
    </row>
    <row r="2490" customFormat="false" ht="52" hidden="false" customHeight="true" outlineLevel="0" collapsed="false">
      <c r="A2490" s="15" t="s">
        <v>8253</v>
      </c>
      <c r="B2490" s="15" t="s">
        <v>1471</v>
      </c>
      <c r="C2490" s="15" t="s">
        <v>8254</v>
      </c>
      <c r="D2490" s="15" t="s">
        <v>8255</v>
      </c>
      <c r="E2490" s="16" t="str">
        <f aca="false">HYPERLINK("#'Forrásszöveg'!A"&amp;(MATCH("VHR-S1168",Forrásszöveg!$A$6:$A$2497,0)+5),"Ez a forráshely")</f>
        <v>Ez a forráshely</v>
      </c>
      <c r="F2490" s="16" t="str">
        <f aca="false">HYPERLINK("https://net.jogtar.hu/jogszabaly?docid=a2400418.kor#pr1168id","Jogtár megnyitása")</f>
        <v>Jogtár megnyitása</v>
      </c>
    </row>
    <row r="2491" customFormat="false" ht="52" hidden="false" customHeight="true" outlineLevel="0" collapsed="false">
      <c r="A2491" s="15" t="s">
        <v>8256</v>
      </c>
      <c r="B2491" s="15" t="s">
        <v>1471</v>
      </c>
      <c r="C2491" s="15" t="s">
        <v>8257</v>
      </c>
      <c r="D2491" s="15" t="s">
        <v>8258</v>
      </c>
      <c r="E2491" s="16" t="str">
        <f aca="false">HYPERLINK("#'Forrásszöveg'!A"&amp;(MATCH("VHR-S1169",Forrásszöveg!$A$6:$A$2497,0)+5),"Ez a forráshely")</f>
        <v>Ez a forráshely</v>
      </c>
      <c r="F2491" s="16" t="str">
        <f aca="false">HYPERLINK("https://net.jogtar.hu/jogszabaly?docid=a2400418.kor#pr1169id","Jogtár megnyitása")</f>
        <v>Jogtár megnyitása</v>
      </c>
    </row>
    <row r="2492" customFormat="false" ht="52" hidden="false" customHeight="true" outlineLevel="0" collapsed="false">
      <c r="A2492" s="15" t="s">
        <v>8259</v>
      </c>
      <c r="B2492" s="15" t="s">
        <v>1471</v>
      </c>
      <c r="C2492" s="15" t="s">
        <v>8260</v>
      </c>
      <c r="D2492" s="15" t="s">
        <v>8261</v>
      </c>
      <c r="E2492" s="16" t="str">
        <f aca="false">HYPERLINK("#'Forrásszöveg'!A"&amp;(MATCH("VHR-S1170",Forrásszöveg!$A$6:$A$2497,0)+5),"Ez a forráshely")</f>
        <v>Ez a forráshely</v>
      </c>
      <c r="F2492" s="16" t="str">
        <f aca="false">HYPERLINK("https://net.jogtar.hu/jogszabaly?docid=a2400418.kor#pr1170id","Jogtár megnyitása")</f>
        <v>Jogtár megnyitása</v>
      </c>
    </row>
    <row r="2493" customFormat="false" ht="52" hidden="false" customHeight="true" outlineLevel="0" collapsed="false">
      <c r="A2493" s="15" t="s">
        <v>8262</v>
      </c>
      <c r="B2493" s="15" t="s">
        <v>1471</v>
      </c>
      <c r="C2493" s="15" t="s">
        <v>8263</v>
      </c>
      <c r="D2493" s="15" t="s">
        <v>8264</v>
      </c>
      <c r="E2493" s="16" t="str">
        <f aca="false">HYPERLINK("#'Forrásszöveg'!A"&amp;(MATCH("VHR-S1171",Forrásszöveg!$A$6:$A$2497,0)+5),"Ez a forráshely")</f>
        <v>Ez a forráshely</v>
      </c>
      <c r="F2493" s="16" t="str">
        <f aca="false">HYPERLINK("https://net.jogtar.hu/jogszabaly?docid=a2400418.kor#pr1171id","Jogtár megnyitása")</f>
        <v>Jogtár megnyitása</v>
      </c>
    </row>
    <row r="2494" customFormat="false" ht="52" hidden="false" customHeight="true" outlineLevel="0" collapsed="false">
      <c r="A2494" s="15" t="s">
        <v>8265</v>
      </c>
      <c r="B2494" s="15" t="s">
        <v>1471</v>
      </c>
      <c r="C2494" s="15" t="s">
        <v>8266</v>
      </c>
      <c r="D2494" s="15" t="s">
        <v>8267</v>
      </c>
      <c r="E2494" s="16" t="str">
        <f aca="false">HYPERLINK("#'Forrásszöveg'!A"&amp;(MATCH("VHR-S1172",Forrásszöveg!$A$6:$A$2497,0)+5),"Ez a forráshely")</f>
        <v>Ez a forráshely</v>
      </c>
      <c r="F2494" s="16" t="str">
        <f aca="false">HYPERLINK("https://net.jogtar.hu/jogszabaly?docid=a2400418.kor#pr1172id","Jogtár megnyitása")</f>
        <v>Jogtár megnyitása</v>
      </c>
    </row>
    <row r="2495" customFormat="false" ht="52" hidden="false" customHeight="true" outlineLevel="0" collapsed="false">
      <c r="A2495" s="15" t="s">
        <v>8268</v>
      </c>
      <c r="B2495" s="15" t="s">
        <v>1471</v>
      </c>
      <c r="C2495" s="15" t="s">
        <v>8269</v>
      </c>
      <c r="D2495" s="15" t="s">
        <v>8270</v>
      </c>
      <c r="E2495" s="16" t="str">
        <f aca="false">HYPERLINK("#'Forrásszöveg'!A"&amp;(MATCH("VHR-S1173",Forrásszöveg!$A$6:$A$2497,0)+5),"Ez a forráshely")</f>
        <v>Ez a forráshely</v>
      </c>
      <c r="F2495" s="16" t="str">
        <f aca="false">HYPERLINK("https://net.jogtar.hu/jogszabaly?docid=a2400418.kor#pr1173id","Jogtár megnyitása")</f>
        <v>Jogtár megnyitása</v>
      </c>
    </row>
    <row r="2496" customFormat="false" ht="52" hidden="false" customHeight="true" outlineLevel="0" collapsed="false">
      <c r="A2496" s="15" t="s">
        <v>8271</v>
      </c>
      <c r="B2496" s="15" t="s">
        <v>1471</v>
      </c>
      <c r="C2496" s="15" t="s">
        <v>8272</v>
      </c>
      <c r="D2496" s="15" t="s">
        <v>8273</v>
      </c>
      <c r="E2496" s="16" t="str">
        <f aca="false">HYPERLINK("#'Forrásszöveg'!A"&amp;(MATCH("VHR-S1174",Forrásszöveg!$A$6:$A$2497,0)+5),"Ez a forráshely")</f>
        <v>Ez a forráshely</v>
      </c>
      <c r="F2496" s="16" t="str">
        <f aca="false">HYPERLINK("https://net.jogtar.hu/jogszabaly?docid=a2400418.kor#pr1174id","Jogtár megnyitása")</f>
        <v>Jogtár megnyitása</v>
      </c>
    </row>
    <row r="2497" customFormat="false" ht="52" hidden="false" customHeight="true" outlineLevel="0" collapsed="false">
      <c r="A2497" s="15" t="s">
        <v>8274</v>
      </c>
      <c r="B2497" s="15" t="s">
        <v>1471</v>
      </c>
      <c r="C2497" s="15" t="s">
        <v>8275</v>
      </c>
      <c r="D2497" s="15" t="s">
        <v>8276</v>
      </c>
      <c r="E2497" s="16" t="str">
        <f aca="false">HYPERLINK("#'Forrásszöveg'!A"&amp;(MATCH("VHR-S1175",Forrásszöveg!$A$6:$A$2497,0)+5),"Ez a forráshely")</f>
        <v>Ez a forráshely</v>
      </c>
      <c r="F2497" s="16" t="str">
        <f aca="false">HYPERLINK("https://net.jogtar.hu/jogszabaly?docid=a2400418.kor#pr1175id","Jogtár megnyitása")</f>
        <v>Jogtár megnyitása</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C8A"/>
    <pageSetUpPr fitToPage="false"/>
  </sheetPr>
  <dimension ref="A1:E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45"/>
    <col collapsed="false" customWidth="true" hidden="false" outlineLevel="0" max="5" min="4" style="0" width="27"/>
  </cols>
  <sheetData>
    <row r="1" customFormat="false" ht="15" hidden="false" customHeight="false" outlineLevel="0" collapsed="false">
      <c r="A1" s="10"/>
      <c r="B1" s="10"/>
      <c r="C1" s="10"/>
      <c r="D1" s="10"/>
      <c r="E1" s="10"/>
    </row>
    <row r="2" customFormat="false" ht="18.55" hidden="false" customHeight="false" outlineLevel="0" collapsed="false">
      <c r="A2" s="11" t="s">
        <v>8277</v>
      </c>
      <c r="B2" s="10"/>
      <c r="C2" s="10"/>
      <c r="D2" s="10"/>
      <c r="E2" s="12" t="str">
        <f aca="false">HYPERLINK("#'Áttekintő'!A1","Áttekintő")</f>
        <v>Áttekintő</v>
      </c>
    </row>
    <row r="3" customFormat="false" ht="15" hidden="false" customHeight="false" outlineLevel="0" collapsed="false">
      <c r="A3" s="13" t="s">
        <v>8278</v>
      </c>
      <c r="B3" s="10"/>
      <c r="C3" s="10"/>
      <c r="D3" s="10"/>
      <c r="E3" s="10"/>
    </row>
    <row r="4" customFormat="false" ht="15" hidden="false" customHeight="false" outlineLevel="0" collapsed="false">
      <c r="A4" s="10"/>
      <c r="B4" s="10"/>
      <c r="C4" s="10"/>
      <c r="D4" s="10"/>
      <c r="E4" s="10"/>
    </row>
    <row r="5" customFormat="false" ht="30" hidden="false" customHeight="true" outlineLevel="0" collapsed="false">
      <c r="A5" s="14" t="s">
        <v>19</v>
      </c>
      <c r="B5" s="14" t="s">
        <v>8279</v>
      </c>
      <c r="C5" s="14" t="s">
        <v>8280</v>
      </c>
      <c r="D5" s="14" t="s">
        <v>8281</v>
      </c>
      <c r="E5" s="14" t="s">
        <v>8282</v>
      </c>
    </row>
    <row r="6" customFormat="false" ht="34" hidden="false" customHeight="true" outlineLevel="0" collapsed="false">
      <c r="A6" s="15" t="s">
        <v>8283</v>
      </c>
      <c r="B6" s="15" t="s">
        <v>5341</v>
      </c>
      <c r="C6" s="15" t="s">
        <v>8284</v>
      </c>
      <c r="D6" s="15" t="str">
        <f aca="false">HYPERLINK("#'Forrásszöveg'!A"&amp;(MATCH("VHR-S0034",Forrásszöveg!$A$6:$A$2497,0)+5),"Vhr. szöveg")</f>
        <v>Vhr. szöveg</v>
      </c>
      <c r="E6" s="15" t="str">
        <f aca="false">HYPERLINK("#'Forrásszöveg'!A"&amp;(MATCH("TV-S0010",Forrásszöveg!$A$6:$A$2497,0)+5),"Tv. szöveg")</f>
        <v>Tv. szöveg</v>
      </c>
    </row>
    <row r="7" customFormat="false" ht="34" hidden="false" customHeight="true" outlineLevel="0" collapsed="false">
      <c r="A7" s="15" t="s">
        <v>8285</v>
      </c>
      <c r="B7" s="15" t="s">
        <v>5344</v>
      </c>
      <c r="C7" s="15" t="s">
        <v>8284</v>
      </c>
      <c r="D7" s="15" t="str">
        <f aca="false">HYPERLINK("#'Forrásszöveg'!A"&amp;(MATCH("VHR-S0035",Forrásszöveg!$A$6:$A$2497,0)+5),"Vhr. szöveg")</f>
        <v>Vhr. szöveg</v>
      </c>
      <c r="E7" s="15" t="str">
        <f aca="false">HYPERLINK("#'Forrásszöveg'!A"&amp;(MATCH("TV-S0010",Forrásszöveg!$A$6:$A$2497,0)+5),"Tv. szöveg")</f>
        <v>Tv. szöveg</v>
      </c>
    </row>
    <row r="8" customFormat="false" ht="34" hidden="false" customHeight="true" outlineLevel="0" collapsed="false">
      <c r="A8" s="15" t="s">
        <v>8286</v>
      </c>
      <c r="B8" s="15" t="s">
        <v>5347</v>
      </c>
      <c r="C8" s="15" t="s">
        <v>8284</v>
      </c>
      <c r="D8" s="15" t="str">
        <f aca="false">HYPERLINK("#'Forrásszöveg'!A"&amp;(MATCH("VHR-S0036",Forrásszöveg!$A$6:$A$2497,0)+5),"Vhr. szöveg")</f>
        <v>Vhr. szöveg</v>
      </c>
      <c r="E8" s="15" t="str">
        <f aca="false">HYPERLINK("#'Forrásszöveg'!A"&amp;(MATCH("TV-S0010",Forrásszöveg!$A$6:$A$2497,0)+5),"Tv. szöveg")</f>
        <v>Tv. szöveg</v>
      </c>
    </row>
    <row r="9" customFormat="false" ht="34" hidden="false" customHeight="true" outlineLevel="0" collapsed="false">
      <c r="A9" s="15" t="s">
        <v>8287</v>
      </c>
      <c r="B9" s="15" t="s">
        <v>1635</v>
      </c>
      <c r="C9" s="15" t="s">
        <v>8284</v>
      </c>
      <c r="D9" s="15" t="str">
        <f aca="false">HYPERLINK("#'Forrásszöveg'!A"&amp;(MATCH("VHR-S0037",Forrásszöveg!$A$6:$A$2497,0)+5),"Vhr. szöveg")</f>
        <v>Vhr. szöveg</v>
      </c>
      <c r="E9" s="15" t="str">
        <f aca="false">HYPERLINK("#'Forrásszöveg'!A"&amp;(MATCH("TV-S0010",Forrásszöveg!$A$6:$A$2497,0)+5),"Tv. szöveg")</f>
        <v>Tv. szöveg</v>
      </c>
    </row>
    <row r="10" customFormat="false" ht="34" hidden="false" customHeight="true" outlineLevel="0" collapsed="false">
      <c r="A10" s="15" t="s">
        <v>8288</v>
      </c>
      <c r="B10" s="15" t="s">
        <v>1667</v>
      </c>
      <c r="C10" s="15" t="s">
        <v>8284</v>
      </c>
      <c r="D10" s="15" t="str">
        <f aca="false">HYPERLINK("#'Forrásszöveg'!A"&amp;(MATCH("VHR-S0040",Forrásszöveg!$A$6:$A$2497,0)+5),"Vhr. szöveg")</f>
        <v>Vhr. szöveg</v>
      </c>
      <c r="E10" s="15" t="str">
        <f aca="false">HYPERLINK("#'Forrásszöveg'!A"&amp;(MATCH("TV-S0010",Forrásszöveg!$A$6:$A$2497,0)+5),"Tv. szöveg")</f>
        <v>Tv. szöveg</v>
      </c>
    </row>
    <row r="11" customFormat="false" ht="34" hidden="false" customHeight="true" outlineLevel="0" collapsed="false">
      <c r="A11" s="15" t="s">
        <v>8289</v>
      </c>
      <c r="B11" s="15" t="s">
        <v>1670</v>
      </c>
      <c r="C11" s="15" t="s">
        <v>8290</v>
      </c>
      <c r="D11" s="15" t="str">
        <f aca="false">HYPERLINK("#'Forrásszöveg'!A"&amp;(MATCH("VHR-S0041",Forrásszöveg!$A$6:$A$2497,0)+5),"Vhr. szöveg")</f>
        <v>Vhr. szöveg</v>
      </c>
      <c r="E11" s="15" t="str">
        <f aca="false">HYPERLINK("#'Forrásszöveg'!A"&amp;(MATCH("TV-S0907",Forrásszöveg!$A$6:$A$2497,0)+5),"Tv. szöveg")</f>
        <v>Tv. szöveg</v>
      </c>
    </row>
    <row r="12" customFormat="false" ht="34" hidden="false" customHeight="true" outlineLevel="0" collapsed="false">
      <c r="A12" s="15" t="s">
        <v>8291</v>
      </c>
      <c r="B12" s="15" t="s">
        <v>5362</v>
      </c>
      <c r="C12" s="15" t="s">
        <v>8284</v>
      </c>
      <c r="D12" s="15" t="str">
        <f aca="false">HYPERLINK("#'Forrásszöveg'!A"&amp;(MATCH("VHR-S0044",Forrásszöveg!$A$6:$A$2497,0)+5),"Vhr. szöveg")</f>
        <v>Vhr. szöveg</v>
      </c>
      <c r="E12" s="15" t="str">
        <f aca="false">HYPERLINK("#'Forrásszöveg'!A"&amp;(MATCH("TV-S0010",Forrásszöveg!$A$6:$A$2497,0)+5),"Tv. szöveg")</f>
        <v>Tv. szöveg</v>
      </c>
    </row>
    <row r="13" customFormat="false" ht="34" hidden="false" customHeight="true" outlineLevel="0" collapsed="false">
      <c r="A13" s="15" t="s">
        <v>8292</v>
      </c>
      <c r="B13" s="15" t="s">
        <v>5372</v>
      </c>
      <c r="C13" s="15" t="s">
        <v>8284</v>
      </c>
      <c r="D13" s="15" t="str">
        <f aca="false">HYPERLINK("#'Forrásszöveg'!A"&amp;(MATCH("VHR-S0048",Forrásszöveg!$A$6:$A$2497,0)+5),"Vhr. szöveg")</f>
        <v>Vhr. szöveg</v>
      </c>
      <c r="E13" s="15" t="str">
        <f aca="false">HYPERLINK("#'Forrásszöveg'!A"&amp;(MATCH("TV-S0010",Forrásszöveg!$A$6:$A$2497,0)+5),"Tv. szöveg")</f>
        <v>Tv. szöveg</v>
      </c>
    </row>
    <row r="14" customFormat="false" ht="34" hidden="false" customHeight="true" outlineLevel="0" collapsed="false">
      <c r="A14" s="15" t="s">
        <v>8293</v>
      </c>
      <c r="B14" s="15" t="s">
        <v>1798</v>
      </c>
      <c r="C14" s="15" t="s">
        <v>8294</v>
      </c>
      <c r="D14" s="15" t="str">
        <f aca="false">HYPERLINK("#'Forrásszöveg'!A"&amp;(MATCH("VHR-S0084",Forrásszöveg!$A$6:$A$2497,0)+5),"Vhr. szöveg")</f>
        <v>Vhr. szöveg</v>
      </c>
      <c r="E14" s="15" t="str">
        <f aca="false">HYPERLINK("#'Forrásszöveg'!A"&amp;(MATCH("TV-S0308",Forrásszöveg!$A$6:$A$2497,0)+5),"Tv. szöveg")</f>
        <v>Tv. szöveg</v>
      </c>
    </row>
    <row r="15" customFormat="false" ht="34" hidden="false" customHeight="true" outlineLevel="0" collapsed="false">
      <c r="A15" s="15" t="s">
        <v>8295</v>
      </c>
      <c r="B15" s="15" t="s">
        <v>5475</v>
      </c>
      <c r="C15" s="15" t="s">
        <v>8284</v>
      </c>
      <c r="D15" s="15" t="str">
        <f aca="false">HYPERLINK("#'Forrásszöveg'!A"&amp;(MATCH("VHR-S0086",Forrásszöveg!$A$6:$A$2497,0)+5),"Vhr. szöveg")</f>
        <v>Vhr. szöveg</v>
      </c>
      <c r="E15" s="15" t="str">
        <f aca="false">HYPERLINK("#'Forrásszöveg'!A"&amp;(MATCH("TV-S0010",Forrásszöveg!$A$6:$A$2497,0)+5),"Tv. szöveg")</f>
        <v>Tv. szöveg</v>
      </c>
    </row>
    <row r="16" customFormat="false" ht="34" hidden="false" customHeight="true" outlineLevel="0" collapsed="false">
      <c r="A16" s="15" t="s">
        <v>8296</v>
      </c>
      <c r="B16" s="15" t="s">
        <v>5478</v>
      </c>
      <c r="C16" s="15" t="s">
        <v>8284</v>
      </c>
      <c r="D16" s="15" t="str">
        <f aca="false">HYPERLINK("#'Forrásszöveg'!A"&amp;(MATCH("VHR-S0087",Forrásszöveg!$A$6:$A$2497,0)+5),"Vhr. szöveg")</f>
        <v>Vhr. szöveg</v>
      </c>
      <c r="E16" s="15" t="str">
        <f aca="false">HYPERLINK("#'Forrásszöveg'!A"&amp;(MATCH("TV-S0010",Forrásszöveg!$A$6:$A$2497,0)+5),"Tv. szöveg")</f>
        <v>Tv. szöveg</v>
      </c>
    </row>
    <row r="17" customFormat="false" ht="34" hidden="false" customHeight="true" outlineLevel="0" collapsed="false">
      <c r="A17" s="15" t="s">
        <v>8297</v>
      </c>
      <c r="B17" s="15" t="s">
        <v>5485</v>
      </c>
      <c r="C17" s="15" t="s">
        <v>8284</v>
      </c>
      <c r="D17" s="15" t="str">
        <f aca="false">HYPERLINK("#'Forrásszöveg'!A"&amp;(MATCH("VHR-S0090",Forrásszöveg!$A$6:$A$2497,0)+5),"Vhr. szöveg")</f>
        <v>Vhr. szöveg</v>
      </c>
      <c r="E17" s="15" t="str">
        <f aca="false">HYPERLINK("#'Forrásszöveg'!A"&amp;(MATCH("TV-S0010",Forrásszöveg!$A$6:$A$2497,0)+5),"Tv. szöveg")</f>
        <v>Tv. szöveg</v>
      </c>
    </row>
    <row r="18" customFormat="false" ht="34" hidden="false" customHeight="true" outlineLevel="0" collapsed="false">
      <c r="A18" s="15" t="s">
        <v>8298</v>
      </c>
      <c r="B18" s="15" t="s">
        <v>1314</v>
      </c>
      <c r="C18" s="15" t="s">
        <v>8299</v>
      </c>
      <c r="D18" s="15" t="str">
        <f aca="false">HYPERLINK("#'Forrásszöveg'!A"&amp;(MATCH("VHR-S0103",Forrásszöveg!$A$6:$A$2497,0)+5),"Vhr. szöveg")</f>
        <v>Vhr. szöveg</v>
      </c>
      <c r="E18" s="15" t="str">
        <f aca="false">HYPERLINK("#'Forrásszöveg'!A"&amp;(MATCH("TV-S0285",Forrásszöveg!$A$6:$A$2497,0)+5),"Tv. szöveg")</f>
        <v>Tv. szöveg</v>
      </c>
    </row>
    <row r="19" customFormat="false" ht="34" hidden="false" customHeight="true" outlineLevel="0" collapsed="false">
      <c r="A19" s="15" t="s">
        <v>8300</v>
      </c>
      <c r="B19" s="15" t="s">
        <v>2386</v>
      </c>
      <c r="C19" s="15" t="s">
        <v>8299</v>
      </c>
      <c r="D19" s="15" t="str">
        <f aca="false">HYPERLINK("#'Forrásszöveg'!A"&amp;(MATCH("VHR-S0106",Forrásszöveg!$A$6:$A$2497,0)+5),"Vhr. szöveg")</f>
        <v>Vhr. szöveg</v>
      </c>
      <c r="E19" s="15" t="str">
        <f aca="false">HYPERLINK("#'Forrásszöveg'!A"&amp;(MATCH("TV-S0285",Forrásszöveg!$A$6:$A$2497,0)+5),"Tv. szöveg")</f>
        <v>Tv. szöveg</v>
      </c>
    </row>
    <row r="20" customFormat="false" ht="34" hidden="false" customHeight="true" outlineLevel="0" collapsed="false">
      <c r="A20" s="15" t="s">
        <v>8301</v>
      </c>
      <c r="B20" s="15" t="s">
        <v>2464</v>
      </c>
      <c r="C20" s="15" t="s">
        <v>8284</v>
      </c>
      <c r="D20" s="15" t="str">
        <f aca="false">HYPERLINK("#'Forrásszöveg'!A"&amp;(MATCH("VHR-S0115",Forrásszöveg!$A$6:$A$2497,0)+5),"Vhr. szöveg")</f>
        <v>Vhr. szöveg</v>
      </c>
      <c r="E20" s="15" t="str">
        <f aca="false">HYPERLINK("#'Forrásszöveg'!A"&amp;(MATCH("TV-S0010",Forrásszöveg!$A$6:$A$2497,0)+5),"Tv. szöveg")</f>
        <v>Tv. szöveg</v>
      </c>
    </row>
    <row r="21" customFormat="false" ht="34" hidden="false" customHeight="true" outlineLevel="0" collapsed="false">
      <c r="A21" s="15" t="s">
        <v>8302</v>
      </c>
      <c r="B21" s="15" t="s">
        <v>5543</v>
      </c>
      <c r="C21" s="15" t="s">
        <v>8284</v>
      </c>
      <c r="D21" s="15" t="str">
        <f aca="false">HYPERLINK("#'Forrásszöveg'!A"&amp;(MATCH("VHR-S0116",Forrásszöveg!$A$6:$A$2497,0)+5),"Vhr. szöveg")</f>
        <v>Vhr. szöveg</v>
      </c>
      <c r="E21" s="15" t="str">
        <f aca="false">HYPERLINK("#'Forrásszöveg'!A"&amp;(MATCH("TV-S0010",Forrásszöveg!$A$6:$A$2497,0)+5),"Tv. szöveg")</f>
        <v>Tv. szöveg</v>
      </c>
    </row>
    <row r="22" customFormat="false" ht="34" hidden="false" customHeight="true" outlineLevel="0" collapsed="false">
      <c r="A22" s="15" t="s">
        <v>8303</v>
      </c>
      <c r="B22" s="15" t="s">
        <v>2476</v>
      </c>
      <c r="C22" s="15" t="s">
        <v>8284</v>
      </c>
      <c r="D22" s="15" t="str">
        <f aca="false">HYPERLINK("#'Forrásszöveg'!A"&amp;(MATCH("VHR-S0123",Forrásszöveg!$A$6:$A$2497,0)+5),"Vhr. szöveg")</f>
        <v>Vhr. szöveg</v>
      </c>
      <c r="E22" s="15" t="str">
        <f aca="false">HYPERLINK("#'Forrásszöveg'!A"&amp;(MATCH("TV-S0010",Forrásszöveg!$A$6:$A$2497,0)+5),"Tv. szöveg")</f>
        <v>Tv. szöveg</v>
      </c>
    </row>
    <row r="23" customFormat="false" ht="34" hidden="false" customHeight="true" outlineLevel="0" collapsed="false">
      <c r="A23" s="15" t="s">
        <v>8304</v>
      </c>
      <c r="B23" s="15" t="s">
        <v>5715</v>
      </c>
      <c r="C23" s="15" t="s">
        <v>8305</v>
      </c>
      <c r="D23" s="15" t="str">
        <f aca="false">HYPERLINK("#'Forrásszöveg'!A"&amp;(MATCH("VHR-S0187",Forrásszöveg!$A$6:$A$2497,0)+5),"Vhr. szöveg")</f>
        <v>Vhr. szöveg</v>
      </c>
      <c r="E23" s="15" t="str">
        <f aca="false">HYPERLINK("#'Forrásszöveg'!A"&amp;(MATCH("TV-S0487",Forrásszöveg!$A$6:$A$2497,0)+5),"Tv. szöveg")</f>
        <v>Tv. szöveg</v>
      </c>
    </row>
    <row r="24" customFormat="false" ht="34" hidden="false" customHeight="true" outlineLevel="0" collapsed="false">
      <c r="A24" s="15" t="s">
        <v>8306</v>
      </c>
      <c r="B24" s="15" t="s">
        <v>2671</v>
      </c>
      <c r="C24" s="15" t="s">
        <v>8305</v>
      </c>
      <c r="D24" s="15" t="str">
        <f aca="false">HYPERLINK("#'Forrásszöveg'!A"&amp;(MATCH("VHR-S0190",Forrásszöveg!$A$6:$A$2497,0)+5),"Vhr. szöveg")</f>
        <v>Vhr. szöveg</v>
      </c>
      <c r="E24" s="15" t="str">
        <f aca="false">HYPERLINK("#'Forrásszöveg'!A"&amp;(MATCH("TV-S0487",Forrásszöveg!$A$6:$A$2497,0)+5),"Tv. szöveg")</f>
        <v>Tv. szöveg</v>
      </c>
    </row>
    <row r="25" customFormat="false" ht="34" hidden="false" customHeight="true" outlineLevel="0" collapsed="false">
      <c r="A25" s="15" t="s">
        <v>8307</v>
      </c>
      <c r="B25" s="15" t="s">
        <v>5740</v>
      </c>
      <c r="C25" s="15" t="s">
        <v>8284</v>
      </c>
      <c r="D25" s="15" t="str">
        <f aca="false">HYPERLINK("#'Forrásszöveg'!A"&amp;(MATCH("VHR-S0197",Forrásszöveg!$A$6:$A$2497,0)+5),"Vhr. szöveg")</f>
        <v>Vhr. szöveg</v>
      </c>
      <c r="E25" s="15" t="str">
        <f aca="false">HYPERLINK("#'Forrásszöveg'!A"&amp;(MATCH("TV-S0010",Forrásszöveg!$A$6:$A$2497,0)+5),"Tv. szöveg")</f>
        <v>Tv. szöveg</v>
      </c>
    </row>
    <row r="26" customFormat="false" ht="34" hidden="false" customHeight="true" outlineLevel="0" collapsed="false">
      <c r="A26" s="15" t="s">
        <v>8308</v>
      </c>
      <c r="B26" s="15" t="s">
        <v>1483</v>
      </c>
      <c r="C26" s="15" t="s">
        <v>8309</v>
      </c>
      <c r="D26" s="15" t="str">
        <f aca="false">HYPERLINK("#'Forrásszöveg'!A"&amp;(MATCH("VHR-S0226",Forrásszöveg!$A$6:$A$2497,0)+5),"Vhr. szöveg")</f>
        <v>Vhr. szöveg</v>
      </c>
      <c r="E26" s="15" t="str">
        <f aca="false">HYPERLINK("#'Forrásszöveg'!A"&amp;(MATCH("TV-S0494",Forrásszöveg!$A$6:$A$2497,0)+5),"Tv. szöveg")</f>
        <v>Tv. szöveg</v>
      </c>
    </row>
    <row r="27" customFormat="false" ht="34" hidden="false" customHeight="true" outlineLevel="0" collapsed="false">
      <c r="A27" s="15" t="s">
        <v>8310</v>
      </c>
      <c r="B27" s="15" t="s">
        <v>2955</v>
      </c>
      <c r="C27" s="15" t="s">
        <v>8311</v>
      </c>
      <c r="D27" s="15" t="str">
        <f aca="false">HYPERLINK("#'Forrásszöveg'!A"&amp;(MATCH("VHR-S0251",Forrásszöveg!$A$6:$A$2497,0)+5),"Vhr. szöveg")</f>
        <v>Vhr. szöveg</v>
      </c>
      <c r="E27" s="15" t="str">
        <f aca="false">HYPERLINK("#'Forrásszöveg'!A"&amp;(MATCH("TV-S0966",Forrásszöveg!$A$6:$A$2497,0)+5),"Tv. szöveg")</f>
        <v>Tv. szöveg</v>
      </c>
    </row>
    <row r="28" customFormat="false" ht="34" hidden="false" customHeight="true" outlineLevel="0" collapsed="false">
      <c r="A28" s="15" t="s">
        <v>8312</v>
      </c>
      <c r="B28" s="15" t="s">
        <v>5916</v>
      </c>
      <c r="C28" s="15" t="s">
        <v>8313</v>
      </c>
      <c r="D28" s="15" t="str">
        <f aca="false">HYPERLINK("#'Forrásszöveg'!A"&amp;(MATCH("VHR-S0266",Forrásszöveg!$A$6:$A$2497,0)+5),"Vhr. szöveg")</f>
        <v>Vhr. szöveg</v>
      </c>
      <c r="E28" s="15" t="str">
        <f aca="false">HYPERLINK("#'Forrásszöveg'!A"&amp;(MATCH("TV-S0322",Forrásszöveg!$A$6:$A$2497,0)+5),"Tv. szöveg")</f>
        <v>Tv. szöveg</v>
      </c>
    </row>
    <row r="29" customFormat="false" ht="34" hidden="false" customHeight="true" outlineLevel="0" collapsed="false">
      <c r="A29" s="15" t="s">
        <v>8314</v>
      </c>
      <c r="B29" s="15" t="s">
        <v>5928</v>
      </c>
      <c r="C29" s="15" t="s">
        <v>8313</v>
      </c>
      <c r="D29" s="15" t="str">
        <f aca="false">HYPERLINK("#'Forrásszöveg'!A"&amp;(MATCH("VHR-S0270",Forrásszöveg!$A$6:$A$2497,0)+5),"Vhr. szöveg")</f>
        <v>Vhr. szöveg</v>
      </c>
      <c r="E29" s="15" t="str">
        <f aca="false">HYPERLINK("#'Forrásszöveg'!A"&amp;(MATCH("TV-S0322",Forrásszöveg!$A$6:$A$2497,0)+5),"Tv. szöveg")</f>
        <v>Tv. szöveg</v>
      </c>
    </row>
    <row r="30" customFormat="false" ht="34" hidden="false" customHeight="true" outlineLevel="0" collapsed="false">
      <c r="A30" s="15" t="s">
        <v>8315</v>
      </c>
      <c r="B30" s="15" t="s">
        <v>5934</v>
      </c>
      <c r="C30" s="15" t="s">
        <v>8313</v>
      </c>
      <c r="D30" s="15" t="str">
        <f aca="false">HYPERLINK("#'Forrásszöveg'!A"&amp;(MATCH("VHR-S0272",Forrásszöveg!$A$6:$A$2497,0)+5),"Vhr. szöveg")</f>
        <v>Vhr. szöveg</v>
      </c>
      <c r="E30" s="15" t="str">
        <f aca="false">HYPERLINK("#'Forrásszöveg'!A"&amp;(MATCH("TV-S0322",Forrásszöveg!$A$6:$A$2497,0)+5),"Tv. szöveg")</f>
        <v>Tv. szöveg</v>
      </c>
    </row>
    <row r="31" customFormat="false" ht="34" hidden="false" customHeight="true" outlineLevel="0" collapsed="false">
      <c r="A31" s="15" t="s">
        <v>8316</v>
      </c>
      <c r="B31" s="15" t="s">
        <v>5980</v>
      </c>
      <c r="C31" s="15" t="s">
        <v>8284</v>
      </c>
      <c r="D31" s="15" t="str">
        <f aca="false">HYPERLINK("#'Forrásszöveg'!A"&amp;(MATCH("VHR-S0289",Forrásszöveg!$A$6:$A$2497,0)+5),"Vhr. szöveg")</f>
        <v>Vhr. szöveg</v>
      </c>
      <c r="E31" s="15" t="str">
        <f aca="false">HYPERLINK("#'Forrásszöveg'!A"&amp;(MATCH("TV-S0010",Forrásszöveg!$A$6:$A$2497,0)+5),"Tv. szöveg")</f>
        <v>Tv. szöveg</v>
      </c>
    </row>
    <row r="32" customFormat="false" ht="34" hidden="false" customHeight="true" outlineLevel="0" collapsed="false">
      <c r="A32" s="15" t="s">
        <v>8317</v>
      </c>
      <c r="B32" s="15" t="s">
        <v>3416</v>
      </c>
      <c r="C32" s="15" t="s">
        <v>8284</v>
      </c>
      <c r="D32" s="15" t="str">
        <f aca="false">HYPERLINK("#'Forrásszöveg'!A"&amp;(MATCH("VHR-S0308",Forrásszöveg!$A$6:$A$2497,0)+5),"Vhr. szöveg")</f>
        <v>Vhr. szöveg</v>
      </c>
      <c r="E32" s="15" t="str">
        <f aca="false">HYPERLINK("#'Forrásszöveg'!A"&amp;(MATCH("TV-S0010",Forrásszöveg!$A$6:$A$2497,0)+5),"Tv. szöveg")</f>
        <v>Tv. szöveg</v>
      </c>
    </row>
    <row r="33" customFormat="false" ht="34" hidden="false" customHeight="true" outlineLevel="0" collapsed="false">
      <c r="A33" s="15" t="s">
        <v>8318</v>
      </c>
      <c r="B33" s="15" t="s">
        <v>3585</v>
      </c>
      <c r="C33" s="15" t="s">
        <v>8284</v>
      </c>
      <c r="D33" s="15" t="str">
        <f aca="false">HYPERLINK("#'Forrásszöveg'!A"&amp;(MATCH("VHR-S0363",Forrásszöveg!$A$6:$A$2497,0)+5),"Vhr. szöveg")</f>
        <v>Vhr. szöveg</v>
      </c>
      <c r="E33" s="15" t="str">
        <f aca="false">HYPERLINK("#'Forrásszöveg'!A"&amp;(MATCH("TV-S0010",Forrásszöveg!$A$6:$A$2497,0)+5),"Tv. szöveg")</f>
        <v>Tv. szöveg</v>
      </c>
    </row>
    <row r="34" customFormat="false" ht="34" hidden="false" customHeight="true" outlineLevel="0" collapsed="false">
      <c r="A34" s="15" t="s">
        <v>8319</v>
      </c>
      <c r="B34" s="15" t="s">
        <v>3585</v>
      </c>
      <c r="C34" s="15" t="s">
        <v>8320</v>
      </c>
      <c r="D34" s="15" t="str">
        <f aca="false">HYPERLINK("#'Forrásszöveg'!A"&amp;(MATCH("VHR-S0363",Forrásszöveg!$A$6:$A$2497,0)+5),"Vhr. szöveg")</f>
        <v>Vhr. szöveg</v>
      </c>
      <c r="E34" s="15" t="str">
        <f aca="false">HYPERLINK("#'Forrásszöveg'!A"&amp;(MATCH("TV-S0282",Forrásszöveg!$A$6:$A$2497,0)+5),"Tv. szöveg")</f>
        <v>Tv. szöveg</v>
      </c>
    </row>
    <row r="35" customFormat="false" ht="34" hidden="false" customHeight="true" outlineLevel="0" collapsed="false">
      <c r="A35" s="15" t="s">
        <v>8321</v>
      </c>
      <c r="B35" s="15" t="s">
        <v>3730</v>
      </c>
      <c r="C35" s="15" t="s">
        <v>8322</v>
      </c>
      <c r="D35" s="15" t="str">
        <f aca="false">HYPERLINK("#'Forrásszöveg'!A"&amp;(MATCH("VHR-S0415",Forrásszöveg!$A$6:$A$2497,0)+5),"Vhr. szöveg")</f>
        <v>Vhr. szöveg</v>
      </c>
      <c r="E35" s="15" t="str">
        <f aca="false">HYPERLINK("#'Forrásszöveg'!A"&amp;(MATCH("TV-S0633",Forrásszöveg!$A$6:$A$2497,0)+5),"Tv. szöveg")</f>
        <v>Tv. szöveg</v>
      </c>
    </row>
    <row r="36" customFormat="false" ht="34" hidden="false" customHeight="true" outlineLevel="0" collapsed="false">
      <c r="A36" s="15" t="s">
        <v>8323</v>
      </c>
      <c r="B36" s="15" t="s">
        <v>6303</v>
      </c>
      <c r="C36" s="15" t="s">
        <v>8284</v>
      </c>
      <c r="D36" s="15" t="str">
        <f aca="false">HYPERLINK("#'Forrásszöveg'!A"&amp;(MATCH("VHR-S0416",Forrásszöveg!$A$6:$A$2497,0)+5),"Vhr. szöveg")</f>
        <v>Vhr. szöveg</v>
      </c>
      <c r="E36" s="15" t="str">
        <f aca="false">HYPERLINK("#'Forrásszöveg'!A"&amp;(MATCH("TV-S0010",Forrásszöveg!$A$6:$A$2497,0)+5),"Tv. szöveg")</f>
        <v>Tv. szöveg</v>
      </c>
    </row>
    <row r="37" customFormat="false" ht="34" hidden="false" customHeight="true" outlineLevel="0" collapsed="false">
      <c r="A37" s="15" t="s">
        <v>8324</v>
      </c>
      <c r="B37" s="15" t="s">
        <v>6306</v>
      </c>
      <c r="C37" s="15" t="s">
        <v>8284</v>
      </c>
      <c r="D37" s="15" t="str">
        <f aca="false">HYPERLINK("#'Forrásszöveg'!A"&amp;(MATCH("VHR-S0417",Forrásszöveg!$A$6:$A$2497,0)+5),"Vhr. szöveg")</f>
        <v>Vhr. szöveg</v>
      </c>
      <c r="E37" s="15" t="str">
        <f aca="false">HYPERLINK("#'Forrásszöveg'!A"&amp;(MATCH("TV-S0010",Forrásszöveg!$A$6:$A$2497,0)+5),"Tv. szöveg")</f>
        <v>Tv. szöveg</v>
      </c>
    </row>
    <row r="38" customFormat="false" ht="34" hidden="false" customHeight="true" outlineLevel="0" collapsed="false">
      <c r="A38" s="15" t="s">
        <v>8325</v>
      </c>
      <c r="B38" s="15" t="s">
        <v>1376</v>
      </c>
      <c r="C38" s="15" t="s">
        <v>8326</v>
      </c>
      <c r="D38" s="15" t="str">
        <f aca="false">HYPERLINK("#'Forrásszöveg'!A"&amp;(MATCH("VHR-S0433",Forrásszöveg!$A$6:$A$2497,0)+5),"Vhr. szöveg")</f>
        <v>Vhr. szöveg</v>
      </c>
      <c r="E38" s="15" t="str">
        <f aca="false">HYPERLINK("#'Forrásszöveg'!A"&amp;(MATCH("TV-S0772",Forrásszöveg!$A$6:$A$2497,0)+5),"Tv. szöveg")</f>
        <v>Tv. szöveg</v>
      </c>
    </row>
    <row r="39" customFormat="false" ht="34" hidden="false" customHeight="true" outlineLevel="0" collapsed="false">
      <c r="A39" s="15" t="s">
        <v>8327</v>
      </c>
      <c r="B39" s="15" t="s">
        <v>3785</v>
      </c>
      <c r="C39" s="15" t="s">
        <v>8326</v>
      </c>
      <c r="D39" s="15" t="str">
        <f aca="false">HYPERLINK("#'Forrásszöveg'!A"&amp;(MATCH("VHR-S0434",Forrásszöveg!$A$6:$A$2497,0)+5),"Vhr. szöveg")</f>
        <v>Vhr. szöveg</v>
      </c>
      <c r="E39" s="15" t="str">
        <f aca="false">HYPERLINK("#'Forrásszöveg'!A"&amp;(MATCH("TV-S0772",Forrásszöveg!$A$6:$A$2497,0)+5),"Tv. szöveg")</f>
        <v>Tv. szöveg</v>
      </c>
    </row>
    <row r="40" customFormat="false" ht="34" hidden="false" customHeight="true" outlineLevel="0" collapsed="false">
      <c r="A40" s="15" t="s">
        <v>8328</v>
      </c>
      <c r="B40" s="15" t="s">
        <v>3785</v>
      </c>
      <c r="C40" s="15" t="s">
        <v>8329</v>
      </c>
      <c r="D40" s="15" t="str">
        <f aca="false">HYPERLINK("#'Forrásszöveg'!A"&amp;(MATCH("VHR-S0434",Forrásszöveg!$A$6:$A$2497,0)+5),"Vhr. szöveg")</f>
        <v>Vhr. szöveg</v>
      </c>
      <c r="E40" s="15" t="str">
        <f aca="false">HYPERLINK("#'Forrásszöveg'!A"&amp;(MATCH("TV-S0827",Forrásszöveg!$A$6:$A$2497,0)+5),"Tv. szöveg")</f>
        <v>Tv. szöveg</v>
      </c>
    </row>
    <row r="41" customFormat="false" ht="34" hidden="false" customHeight="true" outlineLevel="0" collapsed="false">
      <c r="A41" s="15" t="s">
        <v>8330</v>
      </c>
      <c r="B41" s="15" t="s">
        <v>6351</v>
      </c>
      <c r="C41" s="15" t="s">
        <v>8329</v>
      </c>
      <c r="D41" s="15" t="str">
        <f aca="false">HYPERLINK("#'Forrásszöveg'!A"&amp;(MATCH("VHR-S0437",Forrásszöveg!$A$6:$A$2497,0)+5),"Vhr. szöveg")</f>
        <v>Vhr. szöveg</v>
      </c>
      <c r="E41" s="15" t="str">
        <f aca="false">HYPERLINK("#'Forrásszöveg'!A"&amp;(MATCH("TV-S0827",Forrásszöveg!$A$6:$A$2497,0)+5),"Tv. szöveg")</f>
        <v>Tv. szöveg</v>
      </c>
    </row>
    <row r="42" customFormat="false" ht="34" hidden="false" customHeight="true" outlineLevel="0" collapsed="false">
      <c r="A42" s="15" t="s">
        <v>8331</v>
      </c>
      <c r="B42" s="15" t="s">
        <v>3860</v>
      </c>
      <c r="C42" s="15" t="s">
        <v>8332</v>
      </c>
      <c r="D42" s="15" t="str">
        <f aca="false">HYPERLINK("#'Forrásszöveg'!A"&amp;(MATCH("VHR-S0442",Forrásszöveg!$A$6:$A$2497,0)+5),"Vhr. szöveg")</f>
        <v>Vhr. szöveg</v>
      </c>
      <c r="E42" s="15" t="str">
        <f aca="false">HYPERLINK("#'Forrásszöveg'!A"&amp;(MATCH("TV-S0879",Forrásszöveg!$A$6:$A$2497,0)+5),"Tv. szöveg")</f>
        <v>Tv. szöveg</v>
      </c>
    </row>
    <row r="43" customFormat="false" ht="34" hidden="false" customHeight="true" outlineLevel="0" collapsed="false">
      <c r="A43" s="15" t="s">
        <v>8333</v>
      </c>
      <c r="B43" s="15" t="s">
        <v>3917</v>
      </c>
      <c r="C43" s="15" t="s">
        <v>8332</v>
      </c>
      <c r="D43" s="15" t="str">
        <f aca="false">HYPERLINK("#'Forrásszöveg'!A"&amp;(MATCH("VHR-S0445",Forrásszöveg!$A$6:$A$2497,0)+5),"Vhr. szöveg")</f>
        <v>Vhr. szöveg</v>
      </c>
      <c r="E43" s="15" t="str">
        <f aca="false">HYPERLINK("#'Forrásszöveg'!A"&amp;(MATCH("TV-S0879",Forrásszöveg!$A$6:$A$2497,0)+5),"Tv. szöveg")</f>
        <v>Tv. szöveg</v>
      </c>
    </row>
    <row r="44" customFormat="false" ht="34" hidden="false" customHeight="true" outlineLevel="0" collapsed="false">
      <c r="A44" s="15" t="s">
        <v>8334</v>
      </c>
      <c r="B44" s="15" t="s">
        <v>3977</v>
      </c>
      <c r="C44" s="15" t="s">
        <v>8332</v>
      </c>
      <c r="D44" s="15" t="str">
        <f aca="false">HYPERLINK("#'Forrásszöveg'!A"&amp;(MATCH("VHR-S0481",Forrásszöveg!$A$6:$A$2497,0)+5),"Vhr. szöveg")</f>
        <v>Vhr. szöveg</v>
      </c>
      <c r="E44" s="15" t="str">
        <f aca="false">HYPERLINK("#'Forrásszöveg'!A"&amp;(MATCH("TV-S0879",Forrásszöveg!$A$6:$A$2497,0)+5),"Tv. szöveg")</f>
        <v>Tv. szöveg</v>
      </c>
    </row>
    <row r="45" customFormat="false" ht="34" hidden="false" customHeight="true" outlineLevel="0" collapsed="false">
      <c r="A45" s="15" t="s">
        <v>8335</v>
      </c>
      <c r="B45" s="15" t="s">
        <v>4229</v>
      </c>
      <c r="C45" s="15" t="s">
        <v>8336</v>
      </c>
      <c r="D45" s="15" t="str">
        <f aca="false">HYPERLINK("#'Forrásszöveg'!A"&amp;(MATCH("VHR-S0587",Forrásszöveg!$A$6:$A$2497,0)+5),"Vhr. szöveg")</f>
        <v>Vhr. szöveg</v>
      </c>
      <c r="E45" s="15" t="str">
        <f aca="false">HYPERLINK("#'Forrásszöveg'!A"&amp;(MATCH("TV-S0916",Forrásszöveg!$A$6:$A$2497,0)+5),"Tv. szöveg")</f>
        <v>Tv. szöveg</v>
      </c>
    </row>
    <row r="46" customFormat="false" ht="34" hidden="false" customHeight="true" outlineLevel="0" collapsed="false">
      <c r="A46" s="15" t="s">
        <v>8337</v>
      </c>
      <c r="B46" s="15" t="s">
        <v>4232</v>
      </c>
      <c r="C46" s="15" t="s">
        <v>8336</v>
      </c>
      <c r="D46" s="15" t="str">
        <f aca="false">HYPERLINK("#'Forrásszöveg'!A"&amp;(MATCH("VHR-S0588",Forrásszöveg!$A$6:$A$2497,0)+5),"Vhr. szöveg")</f>
        <v>Vhr. szöveg</v>
      </c>
      <c r="E46" s="15" t="str">
        <f aca="false">HYPERLINK("#'Forrásszöveg'!A"&amp;(MATCH("TV-S0916",Forrásszöveg!$A$6:$A$2497,0)+5),"Tv. szöveg")</f>
        <v>Tv. szöveg</v>
      </c>
    </row>
    <row r="47" customFormat="false" ht="34" hidden="false" customHeight="true" outlineLevel="0" collapsed="false">
      <c r="A47" s="15" t="s">
        <v>8338</v>
      </c>
      <c r="B47" s="15" t="s">
        <v>6986</v>
      </c>
      <c r="C47" s="15" t="s">
        <v>8339</v>
      </c>
      <c r="D47" s="15" t="str">
        <f aca="false">HYPERLINK("#'Forrásszöveg'!A"&amp;(MATCH("VHR-S0673",Forrásszöveg!$A$6:$A$2497,0)+5),"Vhr. szöveg")</f>
        <v>Vhr. szöveg</v>
      </c>
      <c r="E47" s="15" t="str">
        <f aca="false">HYPERLINK("#'Forrásszöveg'!A"&amp;(MATCH("TV-S0947",Forrásszöveg!$A$6:$A$2497,0)+5),"Tv. szöveg")</f>
        <v>Tv. szöveg</v>
      </c>
    </row>
    <row r="48" customFormat="false" ht="34" hidden="false" customHeight="true" outlineLevel="0" collapsed="false">
      <c r="A48" s="15" t="s">
        <v>8340</v>
      </c>
      <c r="B48" s="15" t="s">
        <v>4383</v>
      </c>
      <c r="C48" s="15" t="s">
        <v>8341</v>
      </c>
      <c r="D48" s="15" t="str">
        <f aca="false">HYPERLINK("#'Forrásszöveg'!A"&amp;(MATCH("VHR-S0688",Forrásszöveg!$A$6:$A$2497,0)+5),"Vhr. szöveg")</f>
        <v>Vhr. szöveg</v>
      </c>
      <c r="E48" s="15" t="str">
        <f aca="false">HYPERLINK("#'Forrásszöveg'!A"&amp;(MATCH("TV-S0938",Forrásszöveg!$A$6:$A$2497,0)+5),"Tv. szöveg")</f>
        <v>Tv. szöveg</v>
      </c>
    </row>
    <row r="49" customFormat="false" ht="34" hidden="false" customHeight="true" outlineLevel="0" collapsed="false">
      <c r="A49" s="15" t="s">
        <v>8342</v>
      </c>
      <c r="B49" s="15" t="s">
        <v>4579</v>
      </c>
      <c r="C49" s="15" t="s">
        <v>8339</v>
      </c>
      <c r="D49" s="15" t="str">
        <f aca="false">HYPERLINK("#'Forrásszöveg'!A"&amp;(MATCH("VHR-S0765",Forrásszöveg!$A$6:$A$2497,0)+5),"Vhr. szöveg")</f>
        <v>Vhr. szöveg</v>
      </c>
      <c r="E49" s="15" t="str">
        <f aca="false">HYPERLINK("#'Forrásszöveg'!A"&amp;(MATCH("TV-S0947",Forrásszöveg!$A$6:$A$2497,0)+5),"Tv. szöveg")</f>
        <v>Tv. szöveg</v>
      </c>
    </row>
    <row r="50" customFormat="false" ht="34" hidden="false" customHeight="true" outlineLevel="0" collapsed="false">
      <c r="A50" s="15" t="s">
        <v>8343</v>
      </c>
      <c r="B50" s="15" t="s">
        <v>1523</v>
      </c>
      <c r="C50" s="15" t="s">
        <v>8344</v>
      </c>
      <c r="D50" s="15" t="str">
        <f aca="false">HYPERLINK("#'Forrásszöveg'!A"&amp;(MATCH("VHR-S0914",Forrásszöveg!$A$6:$A$2497,0)+5),"Vhr. szöveg")</f>
        <v>Vhr. szöveg</v>
      </c>
      <c r="E50" s="15" t="str">
        <f aca="false">HYPERLINK("#'Forrásszöveg'!A"&amp;(MATCH("TV-S1040",Forrásszöveg!$A$6:$A$2497,0)+5),"Tv. szöveg")</f>
        <v>Tv. szöveg</v>
      </c>
    </row>
    <row r="51" customFormat="false" ht="34" hidden="false" customHeight="true" outlineLevel="0" collapsed="false">
      <c r="A51" s="15" t="s">
        <v>8345</v>
      </c>
      <c r="B51" s="15" t="s">
        <v>7686</v>
      </c>
      <c r="C51" s="15" t="s">
        <v>8346</v>
      </c>
      <c r="D51" s="15" t="str">
        <f aca="false">HYPERLINK("#'Forrásszöveg'!A"&amp;(MATCH("VHR-S0941",Forrásszöveg!$A$6:$A$2497,0)+5),"Vhr. szöveg")</f>
        <v>Vhr. szöveg</v>
      </c>
      <c r="E51" s="15" t="str">
        <f aca="false">HYPERLINK("#'Forrásszöveg'!A"&amp;(MATCH("TV-S1010",Forrásszöveg!$A$6:$A$2497,0)+5),"Tv. szöveg")</f>
        <v>Tv. szöveg</v>
      </c>
    </row>
    <row r="52" customFormat="false" ht="34" hidden="false" customHeight="true" outlineLevel="0" collapsed="false">
      <c r="A52" s="15" t="s">
        <v>8347</v>
      </c>
      <c r="B52" s="15" t="s">
        <v>7779</v>
      </c>
      <c r="C52" s="15" t="s">
        <v>8284</v>
      </c>
      <c r="D52" s="15" t="str">
        <f aca="false">HYPERLINK("#'Forrásszöveg'!A"&amp;(MATCH("VHR-S0975",Forrásszöveg!$A$6:$A$2497,0)+5),"Vhr. szöveg")</f>
        <v>Vhr. szöveg</v>
      </c>
      <c r="E52" s="15" t="str">
        <f aca="false">HYPERLINK("#'Forrásszöveg'!A"&amp;(MATCH("TV-S0010",Forrásszöveg!$A$6:$A$2497,0)+5),"Tv. szöveg")</f>
        <v>Tv. szöveg</v>
      </c>
    </row>
    <row r="53" customFormat="false" ht="34" hidden="false" customHeight="true" outlineLevel="0" collapsed="false">
      <c r="A53" s="15" t="s">
        <v>8348</v>
      </c>
      <c r="B53" s="15" t="s">
        <v>7824</v>
      </c>
      <c r="C53" s="15" t="s">
        <v>8284</v>
      </c>
      <c r="D53" s="15" t="str">
        <f aca="false">HYPERLINK("#'Forrásszöveg'!A"&amp;(MATCH("VHR-S0990",Forrásszöveg!$A$6:$A$2497,0)+5),"Vhr. szöveg")</f>
        <v>Vhr. szöveg</v>
      </c>
      <c r="E53" s="15" t="str">
        <f aca="false">HYPERLINK("#'Forrásszöveg'!A"&amp;(MATCH("TV-S0010",Forrásszöveg!$A$6:$A$2497,0)+5),"Tv. szöveg")</f>
        <v>Tv. szöveg</v>
      </c>
    </row>
    <row r="54" customFormat="false" ht="52" hidden="false" customHeight="true" outlineLevel="0" collapsed="false">
      <c r="A54" s="15" t="s">
        <v>8349</v>
      </c>
      <c r="B54" s="15" t="s">
        <v>8154</v>
      </c>
      <c r="C54" s="15" t="s">
        <v>8299</v>
      </c>
      <c r="D54" s="15" t="str">
        <f aca="false">HYPERLINK("#'Forrásszöveg'!A"&amp;(MATCH("VHR-S1131",Forrásszöveg!$A$6:$A$2497,0)+5),"Vhr. szöveg")</f>
        <v>Vhr. szöveg</v>
      </c>
      <c r="E54" s="15" t="str">
        <f aca="false">HYPERLINK("#'Forrásszöveg'!A"&amp;(MATCH("TV-S0285",Forrásszöveg!$A$6:$A$2497,0)+5),"Tv. szöveg")</f>
        <v>Tv. szöveg</v>
      </c>
    </row>
    <row r="55" customFormat="false" ht="52" hidden="false" customHeight="true" outlineLevel="0" collapsed="false">
      <c r="A55" s="15" t="s">
        <v>8350</v>
      </c>
      <c r="B55" s="15" t="s">
        <v>8163</v>
      </c>
      <c r="C55" s="15" t="s">
        <v>8299</v>
      </c>
      <c r="D55" s="15" t="str">
        <f aca="false">HYPERLINK("#'Forrásszöveg'!A"&amp;(MATCH("VHR-S1134",Forrásszöveg!$A$6:$A$2497,0)+5),"Vhr. szöveg")</f>
        <v>Vhr. szöveg</v>
      </c>
      <c r="E55" s="15" t="str">
        <f aca="false">HYPERLINK("#'Forrásszöveg'!A"&amp;(MATCH("TV-S0285",Forrásszöveg!$A$6:$A$2497,0)+5),"Tv. szöveg")</f>
        <v>Tv. szöveg</v>
      </c>
    </row>
    <row r="56" customFormat="false" ht="52" hidden="false" customHeight="true" outlineLevel="0" collapsed="false">
      <c r="A56" s="15" t="s">
        <v>8351</v>
      </c>
      <c r="B56" s="15" t="s">
        <v>8166</v>
      </c>
      <c r="C56" s="15" t="s">
        <v>8299</v>
      </c>
      <c r="D56" s="15" t="str">
        <f aca="false">HYPERLINK("#'Forrásszöveg'!A"&amp;(MATCH("VHR-S1135",Forrásszöveg!$A$6:$A$2497,0)+5),"Vhr. szöveg")</f>
        <v>Vhr. szöveg</v>
      </c>
      <c r="E56" s="15" t="str">
        <f aca="false">HYPERLINK("#'Forrásszöveg'!A"&amp;(MATCH("TV-S0285",Forrásszöveg!$A$6:$A$2497,0)+5),"Tv. szöveg")</f>
        <v>Tv. szöveg</v>
      </c>
    </row>
    <row r="57" customFormat="false" ht="52" hidden="false" customHeight="true" outlineLevel="0" collapsed="false">
      <c r="A57" s="15" t="s">
        <v>8352</v>
      </c>
      <c r="B57" s="15" t="s">
        <v>8172</v>
      </c>
      <c r="C57" s="15" t="s">
        <v>8284</v>
      </c>
      <c r="D57" s="15" t="str">
        <f aca="false">HYPERLINK("#'Forrásszöveg'!A"&amp;(MATCH("VHR-S1137",Forrásszöveg!$A$6:$A$2497,0)+5),"Vhr. szöveg")</f>
        <v>Vhr. szöveg</v>
      </c>
      <c r="E57" s="15" t="str">
        <f aca="false">HYPERLINK("#'Forrásszöveg'!A"&amp;(MATCH("TV-S0010",Forrásszöveg!$A$6:$A$2497,0)+5),"Tv. szöveg")</f>
        <v>Tv. szöveg</v>
      </c>
    </row>
    <row r="58" customFormat="false" ht="52" hidden="false" customHeight="true" outlineLevel="0" collapsed="false">
      <c r="A58" s="15" t="s">
        <v>8353</v>
      </c>
      <c r="B58" s="15" t="s">
        <v>8172</v>
      </c>
      <c r="C58" s="15" t="s">
        <v>8299</v>
      </c>
      <c r="D58" s="15" t="str">
        <f aca="false">HYPERLINK("#'Forrásszöveg'!A"&amp;(MATCH("VHR-S1137",Forrásszöveg!$A$6:$A$2497,0)+5),"Vhr. szöveg")</f>
        <v>Vhr. szöveg</v>
      </c>
      <c r="E58" s="15" t="str">
        <f aca="false">HYPERLINK("#'Forrásszöveg'!A"&amp;(MATCH("TV-S0285",Forrásszöveg!$A$6:$A$2497,0)+5),"Tv. szöveg")</f>
        <v>Tv. szöveg</v>
      </c>
    </row>
    <row r="59" customFormat="false" ht="52" hidden="false" customHeight="true" outlineLevel="0" collapsed="false">
      <c r="A59" s="15" t="s">
        <v>8354</v>
      </c>
      <c r="B59" s="15" t="s">
        <v>8175</v>
      </c>
      <c r="C59" s="15" t="s">
        <v>8284</v>
      </c>
      <c r="D59" s="15" t="str">
        <f aca="false">HYPERLINK("#'Forrásszöveg'!A"&amp;(MATCH("VHR-S1138",Forrásszöveg!$A$6:$A$2497,0)+5),"Vhr. szöveg")</f>
        <v>Vhr. szöveg</v>
      </c>
      <c r="E59" s="15" t="str">
        <f aca="false">HYPERLINK("#'Forrásszöveg'!A"&amp;(MATCH("TV-S0010",Forrásszöveg!$A$6:$A$2497,0)+5),"Tv. szöveg")</f>
        <v>Tv. szöveg</v>
      </c>
    </row>
    <row r="60" customFormat="false" ht="52" hidden="false" customHeight="true" outlineLevel="0" collapsed="false">
      <c r="A60" s="15" t="s">
        <v>8355</v>
      </c>
      <c r="B60" s="15" t="s">
        <v>8175</v>
      </c>
      <c r="C60" s="15" t="s">
        <v>8299</v>
      </c>
      <c r="D60" s="15" t="str">
        <f aca="false">HYPERLINK("#'Forrásszöveg'!A"&amp;(MATCH("VHR-S1138",Forrásszöveg!$A$6:$A$2497,0)+5),"Vhr. szöveg")</f>
        <v>Vhr. szöveg</v>
      </c>
      <c r="E60" s="15" t="str">
        <f aca="false">HYPERLINK("#'Forrásszöveg'!A"&amp;(MATCH("TV-S0285",Forrásszöveg!$A$6:$A$2497,0)+5),"Tv. szöveg")</f>
        <v>Tv. szöveg</v>
      </c>
    </row>
    <row r="61" customFormat="false" ht="52" hidden="false" customHeight="true" outlineLevel="0" collapsed="false">
      <c r="A61" s="15" t="s">
        <v>8356</v>
      </c>
      <c r="B61" s="15" t="s">
        <v>8178</v>
      </c>
      <c r="C61" s="15" t="s">
        <v>8284</v>
      </c>
      <c r="D61" s="15" t="str">
        <f aca="false">HYPERLINK("#'Forrásszöveg'!A"&amp;(MATCH("VHR-S1139",Forrásszöveg!$A$6:$A$2497,0)+5),"Vhr. szöveg")</f>
        <v>Vhr. szöveg</v>
      </c>
      <c r="E61" s="15" t="str">
        <f aca="false">HYPERLINK("#'Forrásszöveg'!A"&amp;(MATCH("TV-S0010",Forrásszöveg!$A$6:$A$2497,0)+5),"Tv. szöveg")</f>
        <v>Tv. szöveg</v>
      </c>
    </row>
    <row r="62" customFormat="false" ht="52" hidden="false" customHeight="true" outlineLevel="0" collapsed="false">
      <c r="A62" s="15" t="s">
        <v>8357</v>
      </c>
      <c r="B62" s="15" t="s">
        <v>8178</v>
      </c>
      <c r="C62" s="15" t="s">
        <v>8320</v>
      </c>
      <c r="D62" s="15" t="str">
        <f aca="false">HYPERLINK("#'Forrásszöveg'!A"&amp;(MATCH("VHR-S1139",Forrásszöveg!$A$6:$A$2497,0)+5),"Vhr. szöveg")</f>
        <v>Vhr. szöveg</v>
      </c>
      <c r="E62" s="15" t="str">
        <f aca="false">HYPERLINK("#'Forrásszöveg'!A"&amp;(MATCH("TV-S0282",Forrásszöveg!$A$6:$A$2497,0)+5),"Tv. szöveg")</f>
        <v>Tv. szöveg</v>
      </c>
    </row>
    <row r="63" customFormat="false" ht="52" hidden="false" customHeight="true" outlineLevel="0" collapsed="false">
      <c r="A63" s="15" t="s">
        <v>8358</v>
      </c>
      <c r="B63" s="15" t="s">
        <v>8181</v>
      </c>
      <c r="C63" s="15" t="s">
        <v>8284</v>
      </c>
      <c r="D63" s="15" t="str">
        <f aca="false">HYPERLINK("#'Forrásszöveg'!A"&amp;(MATCH("VHR-S1140",Forrásszöveg!$A$6:$A$2497,0)+5),"Vhr. szöveg")</f>
        <v>Vhr. szöveg</v>
      </c>
      <c r="E63" s="15" t="str">
        <f aca="false">HYPERLINK("#'Forrásszöveg'!A"&amp;(MATCH("TV-S0010",Forrásszöveg!$A$6:$A$2497,0)+5),"Tv. szöveg")</f>
        <v>Tv. szöveg</v>
      </c>
    </row>
    <row r="64" customFormat="false" ht="52" hidden="false" customHeight="true" outlineLevel="0" collapsed="false">
      <c r="A64" s="15" t="s">
        <v>8359</v>
      </c>
      <c r="B64" s="15" t="s">
        <v>8181</v>
      </c>
      <c r="C64" s="15" t="s">
        <v>8360</v>
      </c>
      <c r="D64" s="15" t="str">
        <f aca="false">HYPERLINK("#'Forrásszöveg'!A"&amp;(MATCH("VHR-S1140",Forrásszöveg!$A$6:$A$2497,0)+5),"Vhr. szöveg")</f>
        <v>Vhr. szöveg</v>
      </c>
      <c r="E64" s="15" t="str">
        <f aca="false">HYPERLINK("#'Forrásszöveg'!A"&amp;(MATCH("TV-S0387",Forrásszöveg!$A$6:$A$2497,0)+5),"Tv. szöveg")</f>
        <v>Tv. szöveg</v>
      </c>
    </row>
    <row r="65" customFormat="false" ht="52" hidden="false" customHeight="true" outlineLevel="0" collapsed="false">
      <c r="A65" s="15" t="s">
        <v>8361</v>
      </c>
      <c r="B65" s="15" t="s">
        <v>8202</v>
      </c>
      <c r="C65" s="15" t="s">
        <v>8339</v>
      </c>
      <c r="D65" s="15" t="str">
        <f aca="false">HYPERLINK("#'Forrásszöveg'!A"&amp;(MATCH("VHR-S1147",Forrásszöveg!$A$6:$A$2497,0)+5),"Vhr. szöveg")</f>
        <v>Vhr. szöveg</v>
      </c>
      <c r="E65" s="15" t="str">
        <f aca="false">HYPERLINK("#'Forrásszöveg'!A"&amp;(MATCH("TV-S0947",Forrásszöveg!$A$6:$A$2497,0)+5),"Tv. szöveg")</f>
        <v>Tv. szöveg</v>
      </c>
    </row>
    <row r="66" customFormat="false" ht="52" hidden="false" customHeight="true" outlineLevel="0" collapsed="false">
      <c r="A66" s="15" t="s">
        <v>8362</v>
      </c>
      <c r="B66" s="15" t="s">
        <v>8225</v>
      </c>
      <c r="C66" s="15" t="s">
        <v>8299</v>
      </c>
      <c r="D66" s="15" t="str">
        <f aca="false">HYPERLINK("#'Forrásszöveg'!A"&amp;(MATCH("VHR-S1157",Forrásszöveg!$A$6:$A$2497,0)+5),"Vhr. szöveg")</f>
        <v>Vhr. szöveg</v>
      </c>
      <c r="E66" s="15" t="str">
        <f aca="false">HYPERLINK("#'Forrásszöveg'!A"&amp;(MATCH("TV-S0285",Forrásszöveg!$A$6:$A$2497,0)+5),"Tv. szöveg")</f>
        <v>Tv. szöveg</v>
      </c>
    </row>
    <row r="67" customFormat="false" ht="52" hidden="false" customHeight="true" outlineLevel="0" collapsed="false">
      <c r="A67" s="15" t="s">
        <v>8363</v>
      </c>
      <c r="B67" s="15" t="s">
        <v>8225</v>
      </c>
      <c r="C67" s="15" t="s">
        <v>8284</v>
      </c>
      <c r="D67" s="15" t="str">
        <f aca="false">HYPERLINK("#'Forrásszöveg'!A"&amp;(MATCH("VHR-S1157",Forrásszöveg!$A$6:$A$2497,0)+5),"Vhr. szöveg")</f>
        <v>Vhr. szöveg</v>
      </c>
      <c r="E67" s="15" t="str">
        <f aca="false">HYPERLINK("#'Forrásszöveg'!A"&amp;(MATCH("TV-S0010",Forrásszöveg!$A$6:$A$2497,0)+5),"Tv. szöveg")</f>
        <v>Tv. szöveg</v>
      </c>
    </row>
    <row r="68" customFormat="false" ht="52" hidden="false" customHeight="true" outlineLevel="0" collapsed="false">
      <c r="A68" s="15" t="s">
        <v>8364</v>
      </c>
      <c r="B68" s="15" t="s">
        <v>8228</v>
      </c>
      <c r="C68" s="15" t="s">
        <v>8299</v>
      </c>
      <c r="D68" s="15" t="str">
        <f aca="false">HYPERLINK("#'Forrásszöveg'!A"&amp;(MATCH("VHR-S1158",Forrásszöveg!$A$6:$A$2497,0)+5),"Vhr. szöveg")</f>
        <v>Vhr. szöveg</v>
      </c>
      <c r="E68" s="15" t="str">
        <f aca="false">HYPERLINK("#'Forrásszöveg'!A"&amp;(MATCH("TV-S0285",Forrásszöveg!$A$6:$A$2497,0)+5),"Tv. szöveg")</f>
        <v>Tv. szöveg</v>
      </c>
    </row>
    <row r="69" customFormat="false" ht="52" hidden="false" customHeight="true" outlineLevel="0" collapsed="false">
      <c r="A69" s="15" t="s">
        <v>8365</v>
      </c>
      <c r="B69" s="15" t="s">
        <v>8228</v>
      </c>
      <c r="C69" s="15" t="s">
        <v>8284</v>
      </c>
      <c r="D69" s="15" t="str">
        <f aca="false">HYPERLINK("#'Forrásszöveg'!A"&amp;(MATCH("VHR-S1158",Forrásszöveg!$A$6:$A$2497,0)+5),"Vhr. szöveg")</f>
        <v>Vhr. szöveg</v>
      </c>
      <c r="E69" s="15" t="str">
        <f aca="false">HYPERLINK("#'Forrásszöveg'!A"&amp;(MATCH("TV-S0010",Forrásszöveg!$A$6:$A$2497,0)+5),"Tv. szöveg")</f>
        <v>Tv. szöveg</v>
      </c>
    </row>
    <row r="70" customFormat="false" ht="52" hidden="false" customHeight="true" outlineLevel="0" collapsed="false">
      <c r="A70" s="15" t="s">
        <v>8366</v>
      </c>
      <c r="B70" s="15" t="s">
        <v>8231</v>
      </c>
      <c r="C70" s="15" t="s">
        <v>8320</v>
      </c>
      <c r="D70" s="15" t="str">
        <f aca="false">HYPERLINK("#'Forrásszöveg'!A"&amp;(MATCH("VHR-S1159",Forrásszöveg!$A$6:$A$2497,0)+5),"Vhr. szöveg")</f>
        <v>Vhr. szöveg</v>
      </c>
      <c r="E70" s="15" t="str">
        <f aca="false">HYPERLINK("#'Forrásszöveg'!A"&amp;(MATCH("TV-S0282",Forrásszöveg!$A$6:$A$2497,0)+5),"Tv. szöveg")</f>
        <v>Tv. szöveg</v>
      </c>
    </row>
    <row r="71" customFormat="false" ht="52" hidden="false" customHeight="true" outlineLevel="0" collapsed="false">
      <c r="A71" s="15" t="s">
        <v>8367</v>
      </c>
      <c r="B71" s="15" t="s">
        <v>8234</v>
      </c>
      <c r="C71" s="15" t="s">
        <v>8299</v>
      </c>
      <c r="D71" s="15" t="str">
        <f aca="false">HYPERLINK("#'Forrásszöveg'!A"&amp;(MATCH("VHR-S1160",Forrásszöveg!$A$6:$A$2497,0)+5),"Vhr. szöveg")</f>
        <v>Vhr. szöveg</v>
      </c>
      <c r="E71" s="15" t="str">
        <f aca="false">HYPERLINK("#'Forrásszöveg'!A"&amp;(MATCH("TV-S0285",Forrásszöveg!$A$6:$A$2497,0)+5),"Tv. szöveg")</f>
        <v>Tv. szöveg</v>
      </c>
    </row>
    <row r="72" customFormat="false" ht="52" hidden="false" customHeight="true" outlineLevel="0" collapsed="false">
      <c r="A72" s="15" t="s">
        <v>8368</v>
      </c>
      <c r="B72" s="15" t="s">
        <v>8237</v>
      </c>
      <c r="C72" s="15" t="s">
        <v>8369</v>
      </c>
      <c r="D72" s="15" t="str">
        <f aca="false">HYPERLINK("#'Forrásszöveg'!A"&amp;(MATCH("VHR-S1161",Forrásszöveg!$A$6:$A$2497,0)+5),"Vhr. szöveg")</f>
        <v>Vhr. szöveg</v>
      </c>
      <c r="E72" s="15" t="str">
        <f aca="false">HYPERLINK("#'Forrásszöveg'!A"&amp;(MATCH("TV-S0240",Forrásszöveg!$A$6:$A$2497,0)+5),"Tv. szöveg")</f>
        <v>Tv. szöveg</v>
      </c>
    </row>
    <row r="73" customFormat="false" ht="52" hidden="false" customHeight="true" outlineLevel="0" collapsed="false">
      <c r="A73" s="15" t="s">
        <v>8370</v>
      </c>
      <c r="B73" s="15" t="s">
        <v>8240</v>
      </c>
      <c r="C73" s="15" t="s">
        <v>8371</v>
      </c>
      <c r="D73" s="15" t="str">
        <f aca="false">HYPERLINK("#'Forrásszöveg'!A"&amp;(MATCH("VHR-S1162",Forrásszöveg!$A$6:$A$2497,0)+5),"Vhr. szöveg")</f>
        <v>Vhr. szöveg</v>
      </c>
      <c r="E73" s="15" t="str">
        <f aca="false">HYPERLINK("#'Forrásszöveg'!A"&amp;(MATCH("TV-S0455",Forrásszöveg!$A$6:$A$2497,0)+5),"Tv. szöveg")</f>
        <v>Tv. szöveg</v>
      </c>
    </row>
    <row r="74" customFormat="false" ht="52" hidden="false" customHeight="true" outlineLevel="0" collapsed="false">
      <c r="A74" s="15" t="s">
        <v>8372</v>
      </c>
      <c r="B74" s="15" t="s">
        <v>8243</v>
      </c>
      <c r="C74" s="15" t="s">
        <v>8360</v>
      </c>
      <c r="D74" s="15" t="str">
        <f aca="false">HYPERLINK("#'Forrásszöveg'!A"&amp;(MATCH("VHR-S1163",Forrásszöveg!$A$6:$A$2497,0)+5),"Vhr. szöveg")</f>
        <v>Vhr. szöveg</v>
      </c>
      <c r="E74" s="15" t="str">
        <f aca="false">HYPERLINK("#'Forrásszöveg'!A"&amp;(MATCH("TV-S0387",Forrásszöveg!$A$6:$A$2497,0)+5),"Tv. szöveg")</f>
        <v>Tv. szöveg</v>
      </c>
    </row>
    <row r="75" customFormat="false" ht="52" hidden="false" customHeight="true" outlineLevel="0" collapsed="false">
      <c r="A75" s="15" t="s">
        <v>8373</v>
      </c>
      <c r="B75" s="15" t="s">
        <v>8243</v>
      </c>
      <c r="C75" s="15" t="s">
        <v>8284</v>
      </c>
      <c r="D75" s="15" t="str">
        <f aca="false">HYPERLINK("#'Forrásszöveg'!A"&amp;(MATCH("VHR-S1163",Forrásszöveg!$A$6:$A$2497,0)+5),"Vhr. szöveg")</f>
        <v>Vhr. szöveg</v>
      </c>
      <c r="E75" s="15" t="str">
        <f aca="false">HYPERLINK("#'Forrásszöveg'!A"&amp;(MATCH("TV-S0010",Forrásszöveg!$A$6:$A$2497,0)+5),"Tv. szöveg")</f>
        <v>Tv. szöveg</v>
      </c>
    </row>
    <row r="76" customFormat="false" ht="52" hidden="false" customHeight="true" outlineLevel="0" collapsed="false">
      <c r="A76" s="15" t="s">
        <v>8374</v>
      </c>
      <c r="B76" s="15" t="s">
        <v>8246</v>
      </c>
      <c r="C76" s="15" t="s">
        <v>8339</v>
      </c>
      <c r="D76" s="15" t="str">
        <f aca="false">HYPERLINK("#'Forrásszöveg'!A"&amp;(MATCH("VHR-S1164",Forrásszöveg!$A$6:$A$2497,0)+5),"Vhr. szöveg")</f>
        <v>Vhr. szöveg</v>
      </c>
      <c r="E76" s="15" t="str">
        <f aca="false">HYPERLINK("#'Forrásszöveg'!A"&amp;(MATCH("TV-S0947",Forrásszöveg!$A$6:$A$2497,0)+5),"Tv. szöveg")</f>
        <v>Tv. szöveg</v>
      </c>
    </row>
    <row r="77" customFormat="false" ht="52" hidden="false" customHeight="true" outlineLevel="0" collapsed="false">
      <c r="A77" s="15" t="s">
        <v>8375</v>
      </c>
      <c r="B77" s="15" t="s">
        <v>8260</v>
      </c>
      <c r="C77" s="15" t="s">
        <v>8376</v>
      </c>
      <c r="D77" s="15" t="str">
        <f aca="false">HYPERLINK("#'Forrásszöveg'!A"&amp;(MATCH("VHR-S1170",Forrásszöveg!$A$6:$A$2497,0)+5),"Vhr. szöveg")</f>
        <v>Vhr. szöveg</v>
      </c>
      <c r="E77" s="15" t="str">
        <f aca="false">HYPERLINK("#'Forrásszöveg'!A"&amp;(MATCH("TV-S0759",Forrásszöveg!$A$6:$A$2497,0)+5),"Tv. szöveg")</f>
        <v>Tv. szöveg</v>
      </c>
    </row>
    <row r="78" customFormat="false" ht="52" hidden="false" customHeight="true" outlineLevel="0" collapsed="false">
      <c r="A78" s="15" t="s">
        <v>8377</v>
      </c>
      <c r="B78" s="15" t="s">
        <v>8263</v>
      </c>
      <c r="C78" s="15" t="s">
        <v>8378</v>
      </c>
      <c r="D78" s="15" t="str">
        <f aca="false">HYPERLINK("#'Forrásszöveg'!A"&amp;(MATCH("VHR-S1171",Forrásszöveg!$A$6:$A$2497,0)+5),"Vhr. szöveg")</f>
        <v>Vhr. szöveg</v>
      </c>
      <c r="E78" s="15" t="str">
        <f aca="false">HYPERLINK("#'Forrásszöveg'!A"&amp;(MATCH("TV-S0762",Forrásszöveg!$A$6:$A$2497,0)+5),"Tv. szöveg")</f>
        <v>Tv. szöveg</v>
      </c>
    </row>
    <row r="79" customFormat="false" ht="52" hidden="false" customHeight="true" outlineLevel="0" collapsed="false">
      <c r="A79" s="15" t="s">
        <v>8379</v>
      </c>
      <c r="B79" s="15" t="s">
        <v>8266</v>
      </c>
      <c r="C79" s="15" t="s">
        <v>8380</v>
      </c>
      <c r="D79" s="15" t="str">
        <f aca="false">HYPERLINK("#'Forrásszöveg'!A"&amp;(MATCH("VHR-S1172",Forrásszöveg!$A$6:$A$2497,0)+5),"Vhr. szöveg")</f>
        <v>Vhr. szöveg</v>
      </c>
      <c r="E79" s="15" t="str">
        <f aca="false">HYPERLINK("#'Forrásszöveg'!A"&amp;(MATCH("TV-S0756",Forrásszöveg!$A$6:$A$2497,0)+5),"Tv. szöveg")</f>
        <v>Tv. szöveg</v>
      </c>
    </row>
    <row r="80" customFormat="false" ht="52" hidden="false" customHeight="true" outlineLevel="0" collapsed="false">
      <c r="A80" s="15" t="s">
        <v>8381</v>
      </c>
      <c r="B80" s="15" t="s">
        <v>8269</v>
      </c>
      <c r="C80" s="15" t="s">
        <v>8382</v>
      </c>
      <c r="D80" s="15" t="str">
        <f aca="false">HYPERLINK("#'Forrásszöveg'!A"&amp;(MATCH("VHR-S1173",Forrásszöveg!$A$6:$A$2497,0)+5),"Vhr. szöveg")</f>
        <v>Vhr. szöveg</v>
      </c>
      <c r="E80" s="15" t="str">
        <f aca="false">HYPERLINK("#'Forrásszöveg'!A"&amp;(MATCH("TV-S0802",Forrásszöveg!$A$6:$A$2497,0)+5),"Tv. szöveg")</f>
        <v>Tv. szöveg</v>
      </c>
    </row>
    <row r="81" customFormat="false" ht="52" hidden="false" customHeight="true" outlineLevel="0" collapsed="false">
      <c r="A81" s="15" t="s">
        <v>8383</v>
      </c>
      <c r="B81" s="15" t="s">
        <v>8272</v>
      </c>
      <c r="C81" s="15" t="s">
        <v>8384</v>
      </c>
      <c r="D81" s="15" t="str">
        <f aca="false">HYPERLINK("#'Forrásszöveg'!A"&amp;(MATCH("VHR-S1174",Forrásszöveg!$A$6:$A$2497,0)+5),"Vhr. szöveg")</f>
        <v>Vhr. szöveg</v>
      </c>
      <c r="E81" s="15" t="str">
        <f aca="false">HYPERLINK("#'Forrásszöveg'!A"&amp;(MATCH("TV-S0742",Forrásszöveg!$A$6:$A$2497,0)+5),"Tv. szöveg")</f>
        <v>Tv. szöveg</v>
      </c>
    </row>
    <row r="82" customFormat="false" ht="52" hidden="false" customHeight="true" outlineLevel="0" collapsed="false">
      <c r="A82" s="15" t="s">
        <v>8385</v>
      </c>
      <c r="B82" s="15" t="s">
        <v>8275</v>
      </c>
      <c r="C82" s="15" t="s">
        <v>8329</v>
      </c>
      <c r="D82" s="15" t="str">
        <f aca="false">HYPERLINK("#'Forrásszöveg'!A"&amp;(MATCH("VHR-S1175",Forrásszöveg!$A$6:$A$2497,0)+5),"Vhr. szöveg")</f>
        <v>Vhr. szöveg</v>
      </c>
      <c r="E82" s="15" t="str">
        <f aca="false">HYPERLINK("#'Forrásszöveg'!A"&amp;(MATCH("TV-S0827",Forrásszöveg!$A$6:$A$2497,0)+5),"Tv. szöveg")</f>
        <v>Tv. szöveg</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C8A"/>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60"/>
    <col collapsed="false" customWidth="true" hidden="false" outlineLevel="0" max="3" min="3" style="0" width="29"/>
    <col collapsed="false" customWidth="true" hidden="false" outlineLevel="0" max="4" min="4" style="0" width="22"/>
    <col collapsed="false" customWidth="true" hidden="false" outlineLevel="0" max="5" min="5" style="0" width="42"/>
    <col collapsed="false" customWidth="true" hidden="false" outlineLevel="0" max="6" min="6" style="0" width="64"/>
  </cols>
  <sheetData>
    <row r="1" customFormat="false" ht="15" hidden="false" customHeight="false" outlineLevel="0" collapsed="false">
      <c r="A1" s="10"/>
      <c r="B1" s="10"/>
      <c r="C1" s="10"/>
      <c r="D1" s="10"/>
      <c r="E1" s="10"/>
      <c r="F1" s="10"/>
    </row>
    <row r="2" customFormat="false" ht="18.55" hidden="false" customHeight="false" outlineLevel="0" collapsed="false">
      <c r="A2" s="11" t="s">
        <v>8386</v>
      </c>
      <c r="B2" s="10"/>
      <c r="C2" s="10"/>
      <c r="D2" s="10"/>
      <c r="E2" s="10"/>
      <c r="F2" s="12" t="str">
        <f aca="false">HYPERLINK("#'Áttekintő'!A1","Áttekintő")</f>
        <v>Áttekintő</v>
      </c>
    </row>
    <row r="3" customFormat="false" ht="15" hidden="false" customHeight="false" outlineLevel="0" collapsed="false">
      <c r="A3" s="13" t="s">
        <v>8387</v>
      </c>
      <c r="B3" s="10"/>
      <c r="C3" s="10"/>
      <c r="D3" s="10"/>
      <c r="E3" s="10"/>
      <c r="F3" s="10"/>
    </row>
    <row r="4" customFormat="false" ht="15" hidden="false" customHeight="false" outlineLevel="0" collapsed="false">
      <c r="A4" s="10"/>
      <c r="B4" s="10"/>
      <c r="C4" s="10"/>
      <c r="D4" s="10"/>
      <c r="E4" s="10"/>
      <c r="F4" s="10"/>
    </row>
    <row r="5" customFormat="false" ht="30" hidden="false" customHeight="true" outlineLevel="0" collapsed="false">
      <c r="A5" s="14" t="s">
        <v>8388</v>
      </c>
      <c r="B5" s="14" t="s">
        <v>1294</v>
      </c>
      <c r="C5" s="14" t="s">
        <v>8389</v>
      </c>
      <c r="D5" s="14" t="s">
        <v>8390</v>
      </c>
      <c r="E5" s="14" t="s">
        <v>8391</v>
      </c>
      <c r="F5" s="14" t="s">
        <v>8392</v>
      </c>
    </row>
    <row r="6" customFormat="false" ht="52" hidden="false" customHeight="true" outlineLevel="0" collapsed="false">
      <c r="A6" s="15" t="s">
        <v>1299</v>
      </c>
      <c r="B6" s="15" t="s">
        <v>8393</v>
      </c>
      <c r="C6" s="15" t="s">
        <v>8394</v>
      </c>
      <c r="D6" s="18" t="n">
        <v>46278</v>
      </c>
      <c r="E6" s="15" t="s">
        <v>8395</v>
      </c>
      <c r="F6" s="15" t="str">
        <f aca="false">HYPERLINK("https://net.jogtar.hu/jogszabaly?docid=a2400069.tv","https://net.jogtar.hu/jogszabaly?docid=a2400069.tv")</f>
        <v>https://net.jogtar.hu/jogszabaly?docid=a2400069.tv</v>
      </c>
    </row>
    <row r="7" customFormat="false" ht="52" hidden="false" customHeight="true" outlineLevel="0" collapsed="false">
      <c r="A7" s="15" t="s">
        <v>1471</v>
      </c>
      <c r="B7" s="15" t="s">
        <v>8396</v>
      </c>
      <c r="C7" s="15" t="s">
        <v>8397</v>
      </c>
      <c r="D7" s="18" t="n">
        <v>46278</v>
      </c>
      <c r="E7" s="15" t="s">
        <v>8395</v>
      </c>
      <c r="F7" s="15" t="str">
        <f aca="false">HYPERLINK("https://net.jogtar.hu/jogszabaly?docid=a2400418.kor","https://net.jogtar.hu/jogszabaly?docid=a2400418.kor")</f>
        <v>https://net.jogtar.hu/jogszabaly?docid=a2400418.kor</v>
      </c>
    </row>
    <row r="8" customFormat="false" ht="15" hidden="false" customHeight="false" outlineLevel="0" collapsed="false">
      <c r="A8" s="10"/>
      <c r="B8" s="10"/>
      <c r="C8" s="10"/>
      <c r="D8" s="10"/>
      <c r="E8" s="10"/>
      <c r="F8" s="10"/>
    </row>
    <row r="9" customFormat="false" ht="15" hidden="false" customHeight="false" outlineLevel="0" collapsed="false">
      <c r="A9" s="10"/>
      <c r="B9" s="10"/>
      <c r="C9" s="10"/>
      <c r="D9" s="10"/>
      <c r="E9" s="10"/>
      <c r="F9" s="10"/>
    </row>
    <row r="10" customFormat="false" ht="58" hidden="false" customHeight="true" outlineLevel="0" collapsed="false">
      <c r="A10" s="19" t="s">
        <v>8398</v>
      </c>
      <c r="B10" s="15" t="s">
        <v>8399</v>
      </c>
      <c r="C10" s="15"/>
      <c r="D10" s="15"/>
      <c r="E10" s="15"/>
      <c r="F10" s="15"/>
    </row>
    <row r="11" customFormat="false" ht="58" hidden="false" customHeight="true" outlineLevel="0" collapsed="false">
      <c r="A11" s="20" t="s">
        <v>8400</v>
      </c>
      <c r="B11" s="21" t="s">
        <v>8401</v>
      </c>
      <c r="C11" s="21"/>
      <c r="D11" s="21"/>
      <c r="E11" s="21"/>
      <c r="F11" s="21"/>
    </row>
    <row r="12" customFormat="false" ht="58" hidden="false" customHeight="true" outlineLevel="0" collapsed="false">
      <c r="A12" s="20" t="s">
        <v>8402</v>
      </c>
      <c r="B12" s="21" t="s">
        <v>8403</v>
      </c>
      <c r="C12" s="21"/>
      <c r="D12" s="21"/>
      <c r="E12" s="21"/>
      <c r="F12" s="21"/>
    </row>
    <row r="13" customFormat="false" ht="58" hidden="false" customHeight="true" outlineLevel="0" collapsed="false">
      <c r="A13" s="20" t="s">
        <v>8404</v>
      </c>
      <c r="B13" s="21" t="s">
        <v>8405</v>
      </c>
      <c r="C13" s="21"/>
      <c r="D13" s="21"/>
      <c r="E13" s="21"/>
      <c r="F13" s="21"/>
    </row>
    <row r="14" customFormat="false" ht="58" hidden="false" customHeight="true" outlineLevel="0" collapsed="false">
      <c r="A14" s="20" t="s">
        <v>8406</v>
      </c>
      <c r="B14" s="21" t="s">
        <v>8407</v>
      </c>
      <c r="C14" s="21"/>
      <c r="D14" s="21"/>
      <c r="E14" s="21"/>
      <c r="F14" s="21"/>
    </row>
    <row r="15" customFormat="false" ht="58" hidden="false" customHeight="true" outlineLevel="0" collapsed="false">
      <c r="A15" s="20" t="s">
        <v>8408</v>
      </c>
      <c r="B15" s="21" t="s">
        <v>8409</v>
      </c>
      <c r="C15" s="21"/>
      <c r="D15" s="21"/>
      <c r="E15" s="21"/>
      <c r="F15" s="21"/>
    </row>
    <row r="16" customFormat="false" ht="58" hidden="false" customHeight="true" outlineLevel="0" collapsed="false">
      <c r="A16" s="20" t="s">
        <v>8410</v>
      </c>
      <c r="B16" s="21" t="s">
        <v>8411</v>
      </c>
      <c r="C16" s="21"/>
      <c r="D16" s="21"/>
      <c r="E16" s="21"/>
      <c r="F16" s="21"/>
    </row>
    <row r="17" customFormat="false" ht="58" hidden="false" customHeight="true" outlineLevel="0" collapsed="false">
      <c r="A17" s="20" t="s">
        <v>8412</v>
      </c>
      <c r="B17" s="21" t="s">
        <v>8413</v>
      </c>
      <c r="C17" s="21"/>
      <c r="D17" s="21"/>
      <c r="E17" s="21"/>
      <c r="F17" s="21"/>
    </row>
    <row r="18" customFormat="false" ht="58" hidden="false" customHeight="true" outlineLevel="0" collapsed="false">
      <c r="A18" s="20" t="s">
        <v>8414</v>
      </c>
      <c r="B18" s="21" t="s">
        <v>8415</v>
      </c>
      <c r="C18" s="21"/>
      <c r="D18" s="21"/>
      <c r="E18" s="21"/>
      <c r="F18" s="21"/>
    </row>
  </sheetData>
  <mergeCells count="9">
    <mergeCell ref="B10:F10"/>
    <mergeCell ref="B11:F11"/>
    <mergeCell ref="B12:F12"/>
    <mergeCell ref="B13:F13"/>
    <mergeCell ref="B14:F14"/>
    <mergeCell ref="B15:F15"/>
    <mergeCell ref="B16:F16"/>
    <mergeCell ref="B17:F17"/>
    <mergeCell ref="B18:F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